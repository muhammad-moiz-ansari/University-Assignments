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cuments\Assignments\ICT\"/>
    </mc:Choice>
  </mc:AlternateContent>
  <xr:revisionPtr revIDLastSave="0" documentId="13_ncr:1_{7E376CCB-7725-4A2E-98A4-254B03D23889}" xr6:coauthVersionLast="47" xr6:coauthVersionMax="47" xr10:uidLastSave="{00000000-0000-0000-0000-000000000000}"/>
  <bookViews>
    <workbookView xWindow="-110" yWindow="-110" windowWidth="19420" windowHeight="10300" xr2:uid="{7CB8E456-D616-4A9C-A1B6-77C1A8173558}"/>
  </bookViews>
  <sheets>
    <sheet name="Task" sheetId="1" r:id="rId1"/>
    <sheet name="Dataset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K4" i="2"/>
  <c r="D14" i="1"/>
  <c r="D13" i="1"/>
  <c r="D12" i="1"/>
  <c r="D8" i="1"/>
  <c r="D11" i="1"/>
  <c r="D10" i="1"/>
  <c r="D9" i="1"/>
  <c r="R5" i="1" a="1"/>
  <c r="R10" i="1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R11" i="1" l="1"/>
  <c r="R9" i="1"/>
  <c r="R8" i="1"/>
  <c r="R7" i="1"/>
  <c r="R6" i="1"/>
  <c r="R13" i="1"/>
  <c r="R5" i="1"/>
  <c r="R12" i="1"/>
</calcChain>
</file>

<file path=xl/sharedStrings.xml><?xml version="1.0" encoding="utf-8"?>
<sst xmlns="http://schemas.openxmlformats.org/spreadsheetml/2006/main" count="325" uniqueCount="114">
  <si>
    <t>Practice Sheet</t>
  </si>
  <si>
    <t>Average</t>
  </si>
  <si>
    <t>Sum</t>
  </si>
  <si>
    <t>Max</t>
  </si>
  <si>
    <t>Min</t>
  </si>
  <si>
    <t>Mean</t>
  </si>
  <si>
    <t>Mode</t>
  </si>
  <si>
    <t>Frequency</t>
  </si>
  <si>
    <t>Tasks</t>
  </si>
  <si>
    <t>Vlookup</t>
  </si>
  <si>
    <t>Charts</t>
  </si>
  <si>
    <t>Pivot Table</t>
  </si>
  <si>
    <t xml:space="preserve">A sample dataset is given with sheet name "Dataset"on which you have to perform following task . For help use excel guide shared in pdf. </t>
  </si>
  <si>
    <t>All the tasks are to be done on this excel sheet . Make sure to highlight the particular task.</t>
  </si>
  <si>
    <t>ID07351</t>
  </si>
  <si>
    <t>East</t>
  </si>
  <si>
    <t>Boston</t>
  </si>
  <si>
    <t>Bars</t>
  </si>
  <si>
    <t>Carrot</t>
  </si>
  <si>
    <t>ID07352</t>
  </si>
  <si>
    <t>Crackers</t>
  </si>
  <si>
    <t>Whole Wheat</t>
  </si>
  <si>
    <t>ID07353</t>
  </si>
  <si>
    <t>West</t>
  </si>
  <si>
    <t>Los Angeles</t>
  </si>
  <si>
    <t>Cookies</t>
  </si>
  <si>
    <t>Chocolate Chip</t>
  </si>
  <si>
    <t>ID07354</t>
  </si>
  <si>
    <t>New York</t>
  </si>
  <si>
    <t>ID07355</t>
  </si>
  <si>
    <t>Arrowroot</t>
  </si>
  <si>
    <t>ID07356</t>
  </si>
  <si>
    <t>ID07357</t>
  </si>
  <si>
    <t>ID07358</t>
  </si>
  <si>
    <t>ID07359</t>
  </si>
  <si>
    <t>ID07360</t>
  </si>
  <si>
    <t>Snacks</t>
  </si>
  <si>
    <t>Potato Chips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</si>
  <si>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</si>
  <si>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</si>
  <si>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</si>
  <si>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</si>
  <si>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</si>
  <si>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</si>
  <si>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</si>
  <si>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</si>
  <si>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Oatmeal Raisin</t>
  </si>
  <si>
    <t>ID07369</t>
  </si>
  <si>
    <t>Bran</t>
  </si>
  <si>
    <t>ID07370</t>
  </si>
  <si>
    <t>ID07371</t>
  </si>
  <si>
    <t>ID07372</t>
  </si>
  <si>
    <t>San Diego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</si>
  <si>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</si>
  <si>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</si>
  <si>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</si>
  <si>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</si>
  <si>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</si>
  <si>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</si>
  <si>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</si>
  <si>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</si>
  <si>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</si>
  <si>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ID07382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</si>
  <si>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</si>
  <si>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</si>
  <si>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</si>
  <si>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</si>
  <si>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</si>
  <si>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</si>
  <si>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</si>
  <si>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</si>
  <si>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</si>
  <si>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</si>
  <si>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ID07393</t>
  </si>
  <si>
    <t>ID07394</t>
  </si>
  <si>
    <t>ID07395</t>
  </si>
  <si>
    <t>ID07396</t>
  </si>
  <si>
    <t>ID07397</t>
  </si>
  <si>
    <t>ID07398</t>
  </si>
  <si>
    <t>ID07399</t>
  </si>
  <si>
    <t>ID</t>
  </si>
  <si>
    <t>Date</t>
  </si>
  <si>
    <t>Region</t>
  </si>
  <si>
    <t>City</t>
  </si>
  <si>
    <t>Category</t>
  </si>
  <si>
    <t>Product</t>
  </si>
  <si>
    <t>Qty</t>
  </si>
  <si>
    <t>UnitPrice</t>
  </si>
  <si>
    <t>TotalPrice</t>
  </si>
  <si>
    <t>of Total price</t>
  </si>
  <si>
    <t>of Unit</t>
  </si>
  <si>
    <t>Quantity (QTY)</t>
  </si>
  <si>
    <t>Total Price</t>
  </si>
  <si>
    <t>Median</t>
  </si>
  <si>
    <t>City and Category</t>
  </si>
  <si>
    <t xml:space="preserve">Average Sales of items </t>
  </si>
  <si>
    <t>Row Labels</t>
  </si>
  <si>
    <t>Grand Total</t>
  </si>
  <si>
    <t>Column Labels</t>
  </si>
  <si>
    <t>(All)</t>
  </si>
  <si>
    <t>Average of TotalPrice</t>
  </si>
  <si>
    <t>Done</t>
  </si>
  <si>
    <t>Intervals</t>
  </si>
  <si>
    <t>Bins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</si>
  <si>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</si>
  <si>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</si>
  <si>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</si>
  <si>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</si>
  <si>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</si>
  <si>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</si>
  <si>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</si>
  <si>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</si>
  <si>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</si>
  <si>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Carrots (Qty)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</si>
</sst>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2"/>
      <color indexed="12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E26B0A"/>
        <bgColor rgb="FF000000"/>
      </patternFill>
    </fill>
    <fill>
      <patternFill patternType="solid">
        <fgColor rgb="FFD9D9D9"/>
        <bgColor rgb="FF000000"/>
      </patternFill>
    </fill>
  </fills>
  <borders count="31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horizontal="left" indent="1"/>
    </xf>
    <xf numFmtId="0" fontId="5" fillId="0" borderId="0" applyNumberFormat="0" applyFill="0" applyBorder="0" applyAlignment="0" applyProtection="0"/>
  </cellStyleXfs>
  <cellXfs count="66">
    <xf numFmtId="0" fontId="0" fillId="0" borderId="0" xfId="0"/>
    <xf numFmtId="14" fontId="6" fillId="6" borderId="1" xfId="0" applyNumberFormat="1" applyFont="1" applyFill="1" applyBorder="1"/>
    <xf numFmtId="14" fontId="6" fillId="6" borderId="2" xfId="0" applyNumberFormat="1" applyFont="1" applyFill="1" applyBorder="1"/>
    <xf numFmtId="0" fontId="6" fillId="6" borderId="2" xfId="0" applyFont="1" applyFill="1" applyBorder="1"/>
    <xf numFmtId="0" fontId="6" fillId="7" borderId="3" xfId="0" applyFont="1" applyFill="1" applyBorder="1"/>
    <xf numFmtId="14" fontId="7" fillId="0" borderId="1" xfId="0" applyNumberFormat="1" applyFont="1" applyBorder="1"/>
    <xf numFmtId="164" fontId="7" fillId="0" borderId="2" xfId="0" applyNumberFormat="1" applyFont="1" applyBorder="1"/>
    <xf numFmtId="0" fontId="7" fillId="0" borderId="2" xfId="0" applyFont="1" applyBorder="1"/>
    <xf numFmtId="0" fontId="7" fillId="8" borderId="3" xfId="0" applyFont="1" applyFill="1" applyBorder="1"/>
    <xf numFmtId="0" fontId="0" fillId="0" borderId="4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7" xfId="0" applyFont="1" applyBorder="1"/>
    <xf numFmtId="0" fontId="1" fillId="0" borderId="18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4" xfId="0" applyBorder="1" applyAlignment="1">
      <alignment horizontal="right"/>
    </xf>
    <xf numFmtId="0" fontId="1" fillId="0" borderId="7" xfId="0" applyFont="1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10" xfId="0" applyFont="1" applyBorder="1"/>
    <xf numFmtId="0" fontId="0" fillId="0" borderId="11" xfId="0" applyBorder="1" applyAlignment="1">
      <alignment horizontal="right"/>
    </xf>
    <xf numFmtId="0" fontId="1" fillId="0" borderId="14" xfId="0" applyFont="1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2" xfId="0" applyBorder="1"/>
    <xf numFmtId="0" fontId="0" fillId="0" borderId="12" xfId="0" applyBorder="1"/>
    <xf numFmtId="0" fontId="1" fillId="0" borderId="28" xfId="0" applyFont="1" applyBorder="1"/>
    <xf numFmtId="0" fontId="0" fillId="0" borderId="29" xfId="0" applyBorder="1"/>
    <xf numFmtId="0" fontId="0" fillId="0" borderId="13" xfId="0" applyBorder="1"/>
    <xf numFmtId="0" fontId="0" fillId="0" borderId="30" xfId="0" applyBorder="1"/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3" borderId="4" xfId="0" applyFill="1" applyBorder="1"/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3" borderId="12" xfId="0" applyFill="1" applyBorder="1"/>
    <xf numFmtId="0" fontId="0" fillId="3" borderId="5" xfId="0" applyFill="1" applyBorder="1"/>
    <xf numFmtId="0" fontId="0" fillId="3" borderId="14" xfId="0" applyFill="1" applyBorder="1"/>
    <xf numFmtId="0" fontId="0" fillId="3" borderId="15" xfId="0" applyFill="1" applyBorder="1"/>
  </cellXfs>
  <cellStyles count="4">
    <cellStyle name="Ctx_Hyperlink" xfId="2" xr:uid="{001EBE5C-A1BB-4A20-B760-55BD1F890746}"/>
    <cellStyle name="Hyperlink" xfId="3" builtinId="8" customBuiltin="1"/>
    <cellStyle name="Normal" xfId="0" builtinId="0"/>
    <cellStyle name="Normal 2" xfId="1" xr:uid="{9D224CA8-3365-449C-9B6A-CBA2335E00FD}"/>
  </cellStyles>
  <dxfs count="11">
    <dxf>
      <numFmt numFmtId="0" formatCode="General"/>
      <fill>
        <patternFill patternType="solid">
          <fgColor rgb="FF000000"/>
          <bgColor rgb="FFD9D9D9"/>
        </patternFill>
      </fill>
    </dxf>
    <dxf>
      <numFmt numFmtId="0" formatCode="General"/>
    </dxf>
    <dxf>
      <numFmt numFmtId="164" formatCode="[$-409]d\-mmm;@"/>
    </dxf>
    <dxf>
      <numFmt numFmtId="19" formatCode="m/d/yyyy"/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DF381EA4-CE23-4D22-989A-C4C80C1F46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088064896909393E-2"/>
          <c:y val="0.11184013926943033"/>
          <c:w val="0.93130211319926992"/>
          <c:h val="0.7831248550102919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Boston</c:v>
              </c:pt>
              <c:pt idx="1">
                <c:v>Los Angeles</c:v>
              </c:pt>
              <c:pt idx="2">
                <c:v>New York</c:v>
              </c:pt>
              <c:pt idx="3">
                <c:v>San Diego</c:v>
              </c:pt>
            </c:strLit>
          </c:cat>
          <c:val>
            <c:numLit>
              <c:formatCode>General</c:formatCode>
              <c:ptCount val="4"/>
              <c:pt idx="0">
                <c:v>19</c:v>
              </c:pt>
              <c:pt idx="1">
                <c:v>11</c:v>
              </c:pt>
              <c:pt idx="2">
                <c:v>14</c:v>
              </c:pt>
              <c:pt idx="3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7565-482A-B928-8657D18A1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165375"/>
        <c:axId val="378473535"/>
      </c:barChart>
      <c:catAx>
        <c:axId val="21716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73535"/>
        <c:crosses val="autoZero"/>
        <c:auto val="1"/>
        <c:lblAlgn val="ctr"/>
        <c:lblOffset val="100"/>
        <c:noMultiLvlLbl val="0"/>
      </c:catAx>
      <c:valAx>
        <c:axId val="3784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6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389099185213143E-2"/>
          <c:y val="0.12451839482107092"/>
          <c:w val="0.92185668411560284"/>
          <c:h val="0.7692315111328786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Bars</c:v>
              </c:pt>
              <c:pt idx="1">
                <c:v>Cookies</c:v>
              </c:pt>
              <c:pt idx="2">
                <c:v>Crackers</c:v>
              </c:pt>
              <c:pt idx="3">
                <c:v>Snacks</c:v>
              </c:pt>
            </c:strLit>
          </c:cat>
          <c:val>
            <c:numLit>
              <c:formatCode>General</c:formatCode>
              <c:ptCount val="4"/>
              <c:pt idx="0">
                <c:v>18</c:v>
              </c:pt>
              <c:pt idx="1">
                <c:v>17</c:v>
              </c:pt>
              <c:pt idx="2">
                <c:v>6</c:v>
              </c:pt>
              <c:pt idx="3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0-FE79-4E1D-83D2-D75241536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48223"/>
        <c:axId val="378459615"/>
      </c:barChart>
      <c:catAx>
        <c:axId val="1942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59615"/>
        <c:crosses val="autoZero"/>
        <c:auto val="1"/>
        <c:lblAlgn val="ctr"/>
        <c:lblOffset val="100"/>
        <c:noMultiLvlLbl val="0"/>
      </c:catAx>
      <c:valAx>
        <c:axId val="37845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749401</xdr:colOff>
      <xdr:row>30</xdr:row>
      <xdr:rowOff>16000</xdr:rowOff>
    </xdr:from>
    <xdr:to>
      <xdr:col>8</xdr:col>
      <xdr:colOff>275419</xdr:colOff>
      <xdr:row>49</xdr:row>
      <xdr:rowOff>44852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8DF801-FB80-4391-9F1C-B6F873F6A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3400</xdr:colOff>
      <xdr:row>30</xdr:row>
      <xdr:rowOff>5794</xdr:rowOff>
    </xdr:from>
    <xdr:to>
      <xdr:col>16</xdr:col>
      <xdr:colOff>127000</xdr:colOff>
      <xdr:row>49</xdr:row>
      <xdr:rowOff>18772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4C9A3A-2FA4-440B-B9C1-3DF814DB9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iz Ansari" refreshedDate="45197.341010069445" createdVersion="8" refreshedVersion="8" minRefreshableVersion="3" recordCount="49" xr:uid="{4458C855-00E2-41A7-988A-37DDD5074205}">
  <cacheSource type="worksheet">
    <worksheetSource ref="A44:I93" sheet="Task"/>
  </cacheSource>
  <cacheFields count="9">
    <cacheField name="ID" numFmtId="14">
      <sharedItems/>
    </cacheField>
    <cacheField name="Date" numFmtId="164">
      <sharedItems containsSemiMixedTypes="0" containsNonDate="0" containsDate="1" containsString="0" minDate="2022-01-01T00:00:00" maxDate="2022-05-26T00:00:00"/>
    </cacheField>
    <cacheField name="Region" numFmtId="0">
      <sharedItems count="2">
        <s v="East"/>
        <s v="West"/>
      </sharedItems>
    </cacheField>
    <cacheField name="City" numFmtId="0">
      <sharedItems count="4">
        <s v="Boston"/>
        <s v="Los Angeles"/>
        <s v="New York"/>
        <s v="San Diego"/>
      </sharedItems>
    </cacheField>
    <cacheField name="Category" numFmtId="0">
      <sharedItems count="4">
        <s v="Bars"/>
        <s v="Crackers"/>
        <s v="Cookies"/>
        <s v="Snacks"/>
      </sharedItems>
    </cacheField>
    <cacheField name="Product" numFmtId="0">
      <sharedItems count="7">
        <s v="Carrot"/>
        <s v="Whole Wheat"/>
        <s v="Chocolate Chip"/>
        <s v="Arrowroot"/>
        <s v="Potato Chips"/>
        <s v="Oatmeal Raisin"/>
        <s v="Bran"/>
      </sharedItems>
    </cacheField>
    <cacheField name="Qty" numFmtId="0">
      <sharedItems containsSemiMixedTypes="0" containsString="0" containsNumber="1" containsInteger="1" minValue="20" maxValue="193"/>
    </cacheField>
    <cacheField name="UnitPrice" numFmtId="0">
      <sharedItems containsSemiMixedTypes="0" containsString="0" containsNumber="1" minValue="1.35" maxValue="3.49"/>
    </cacheField>
    <cacheField name="TotalPrice" numFmtId="0">
      <sharedItems containsSemiMixedTypes="0" containsString="0" containsNumber="1" minValue="35.4" maxValue="548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ID07351"/>
    <d v="2022-01-01T00:00:00"/>
    <x v="0"/>
    <x v="0"/>
    <x v="0"/>
    <x v="0"/>
    <n v="33"/>
    <n v="1.7699999999999998"/>
    <n v="58.41"/>
  </r>
  <r>
    <s v="ID07352"/>
    <d v="2022-01-04T00:00:00"/>
    <x v="0"/>
    <x v="0"/>
    <x v="1"/>
    <x v="1"/>
    <n v="87"/>
    <n v="3.4899999999999998"/>
    <n v="303.63"/>
  </r>
  <r>
    <s v="ID07353"/>
    <d v="2022-01-07T00:00:00"/>
    <x v="1"/>
    <x v="1"/>
    <x v="2"/>
    <x v="2"/>
    <n v="58"/>
    <n v="1.8699999999999999"/>
    <n v="108.46"/>
  </r>
  <r>
    <s v="ID07354"/>
    <d v="2022-01-10T00:00:00"/>
    <x v="0"/>
    <x v="2"/>
    <x v="2"/>
    <x v="2"/>
    <n v="82"/>
    <n v="1.87"/>
    <n v="153.34"/>
  </r>
  <r>
    <s v="ID07355"/>
    <d v="2022-01-13T00:00:00"/>
    <x v="0"/>
    <x v="0"/>
    <x v="2"/>
    <x v="3"/>
    <n v="38"/>
    <n v="2.1800000000000002"/>
    <n v="82.84"/>
  </r>
  <r>
    <s v="ID07356"/>
    <d v="2022-01-16T00:00:00"/>
    <x v="0"/>
    <x v="0"/>
    <x v="0"/>
    <x v="0"/>
    <n v="54"/>
    <n v="1.77"/>
    <n v="95.58"/>
  </r>
  <r>
    <s v="ID07357"/>
    <d v="2022-01-19T00:00:00"/>
    <x v="0"/>
    <x v="0"/>
    <x v="1"/>
    <x v="1"/>
    <n v="149"/>
    <n v="3.4899999999999998"/>
    <n v="520.01"/>
  </r>
  <r>
    <s v="ID07358"/>
    <d v="2022-01-22T00:00:00"/>
    <x v="1"/>
    <x v="1"/>
    <x v="0"/>
    <x v="0"/>
    <n v="51"/>
    <n v="1.77"/>
    <n v="90.27"/>
  </r>
  <r>
    <s v="ID07359"/>
    <d v="2022-01-25T00:00:00"/>
    <x v="0"/>
    <x v="2"/>
    <x v="0"/>
    <x v="0"/>
    <n v="100"/>
    <n v="1.77"/>
    <n v="177"/>
  </r>
  <r>
    <s v="ID07360"/>
    <d v="2022-01-28T00:00:00"/>
    <x v="0"/>
    <x v="2"/>
    <x v="3"/>
    <x v="4"/>
    <n v="28"/>
    <n v="1.35"/>
    <n v="37.800000000000004"/>
  </r>
  <r>
    <s v="ID07361"/>
    <d v="2022-01-31T00:00:00"/>
    <x v="0"/>
    <x v="0"/>
    <x v="2"/>
    <x v="3"/>
    <n v="36"/>
    <n v="2.1800000000000002"/>
    <n v="78.48"/>
  </r>
  <r>
    <s v="ID07362"/>
    <d v="2022-02-03T00:00:00"/>
    <x v="0"/>
    <x v="0"/>
    <x v="2"/>
    <x v="2"/>
    <n v="31"/>
    <n v="1.8699999999999999"/>
    <n v="57.97"/>
  </r>
  <r>
    <s v="ID07363"/>
    <d v="2022-02-06T00:00:00"/>
    <x v="0"/>
    <x v="0"/>
    <x v="1"/>
    <x v="1"/>
    <n v="28"/>
    <n v="3.4899999999999998"/>
    <n v="97.72"/>
  </r>
  <r>
    <s v="ID07364"/>
    <d v="2022-02-09T00:00:00"/>
    <x v="1"/>
    <x v="1"/>
    <x v="0"/>
    <x v="0"/>
    <n v="44"/>
    <n v="1.7699999999999998"/>
    <n v="77.88"/>
  </r>
  <r>
    <s v="ID07365"/>
    <d v="2022-02-12T00:00:00"/>
    <x v="0"/>
    <x v="2"/>
    <x v="0"/>
    <x v="0"/>
    <n v="23"/>
    <n v="1.77"/>
    <n v="40.71"/>
  </r>
  <r>
    <s v="ID07366"/>
    <d v="2022-02-15T00:00:00"/>
    <x v="0"/>
    <x v="2"/>
    <x v="3"/>
    <x v="4"/>
    <n v="27"/>
    <n v="1.35"/>
    <n v="36.450000000000003"/>
  </r>
  <r>
    <s v="ID07367"/>
    <d v="2022-02-18T00:00:00"/>
    <x v="0"/>
    <x v="0"/>
    <x v="2"/>
    <x v="3"/>
    <n v="43"/>
    <n v="2.1799999999999997"/>
    <n v="93.739999999999981"/>
  </r>
  <r>
    <s v="ID07368"/>
    <d v="2022-02-21T00:00:00"/>
    <x v="0"/>
    <x v="0"/>
    <x v="2"/>
    <x v="5"/>
    <n v="123"/>
    <n v="2.84"/>
    <n v="349.32"/>
  </r>
  <r>
    <s v="ID07369"/>
    <d v="2022-02-24T00:00:00"/>
    <x v="1"/>
    <x v="1"/>
    <x v="0"/>
    <x v="6"/>
    <n v="42"/>
    <n v="1.87"/>
    <n v="78.540000000000006"/>
  </r>
  <r>
    <s v="ID07370"/>
    <d v="2022-02-27T00:00:00"/>
    <x v="1"/>
    <x v="1"/>
    <x v="2"/>
    <x v="5"/>
    <n v="33"/>
    <n v="2.84"/>
    <n v="93.72"/>
  </r>
  <r>
    <s v="ID07371"/>
    <d v="2022-03-02T00:00:00"/>
    <x v="0"/>
    <x v="2"/>
    <x v="2"/>
    <x v="2"/>
    <n v="85"/>
    <n v="1.8699999999999999"/>
    <n v="158.94999999999999"/>
  </r>
  <r>
    <s v="ID07372"/>
    <d v="2022-03-05T00:00:00"/>
    <x v="1"/>
    <x v="3"/>
    <x v="2"/>
    <x v="5"/>
    <n v="30"/>
    <n v="2.8400000000000003"/>
    <n v="85.2"/>
  </r>
  <r>
    <s v="ID07373"/>
    <d v="2022-03-08T00:00:00"/>
    <x v="0"/>
    <x v="0"/>
    <x v="0"/>
    <x v="0"/>
    <n v="61"/>
    <n v="1.77"/>
    <n v="107.97"/>
  </r>
  <r>
    <s v="ID07374"/>
    <d v="2022-03-11T00:00:00"/>
    <x v="0"/>
    <x v="0"/>
    <x v="1"/>
    <x v="1"/>
    <n v="40"/>
    <n v="3.4899999999999998"/>
    <n v="139.6"/>
  </r>
  <r>
    <s v="ID07375"/>
    <d v="2022-03-14T00:00:00"/>
    <x v="1"/>
    <x v="1"/>
    <x v="2"/>
    <x v="2"/>
    <n v="86"/>
    <n v="1.8699999999999999"/>
    <n v="160.82"/>
  </r>
  <r>
    <s v="ID07376"/>
    <d v="2022-03-17T00:00:00"/>
    <x v="0"/>
    <x v="2"/>
    <x v="0"/>
    <x v="0"/>
    <n v="38"/>
    <n v="1.7700000000000002"/>
    <n v="67.260000000000005"/>
  </r>
  <r>
    <s v="ID07377"/>
    <d v="2022-03-20T00:00:00"/>
    <x v="0"/>
    <x v="2"/>
    <x v="3"/>
    <x v="4"/>
    <n v="68"/>
    <n v="1.68"/>
    <n v="114.24"/>
  </r>
  <r>
    <s v="ID07378"/>
    <d v="2022-03-23T00:00:00"/>
    <x v="1"/>
    <x v="3"/>
    <x v="2"/>
    <x v="2"/>
    <n v="39"/>
    <n v="1.87"/>
    <n v="72.930000000000007"/>
  </r>
  <r>
    <s v="ID07379"/>
    <d v="2022-03-26T00:00:00"/>
    <x v="0"/>
    <x v="0"/>
    <x v="0"/>
    <x v="6"/>
    <n v="103"/>
    <n v="1.87"/>
    <n v="192.61"/>
  </r>
  <r>
    <s v="ID07380"/>
    <d v="2022-03-29T00:00:00"/>
    <x v="0"/>
    <x v="0"/>
    <x v="2"/>
    <x v="5"/>
    <n v="193"/>
    <n v="2.84"/>
    <n v="548.12"/>
  </r>
  <r>
    <s v="ID07381"/>
    <d v="2022-04-01T00:00:00"/>
    <x v="1"/>
    <x v="1"/>
    <x v="0"/>
    <x v="0"/>
    <n v="58"/>
    <n v="1.77"/>
    <n v="102.66"/>
  </r>
  <r>
    <s v="ID07382"/>
    <d v="2022-04-04T00:00:00"/>
    <x v="1"/>
    <x v="1"/>
    <x v="3"/>
    <x v="4"/>
    <n v="68"/>
    <n v="1.68"/>
    <n v="114.24"/>
  </r>
  <r>
    <s v="ID07383"/>
    <d v="2022-04-07T00:00:00"/>
    <x v="0"/>
    <x v="2"/>
    <x v="0"/>
    <x v="0"/>
    <n v="91"/>
    <n v="1.77"/>
    <n v="161.07"/>
  </r>
  <r>
    <s v="ID07384"/>
    <d v="2022-04-10T00:00:00"/>
    <x v="0"/>
    <x v="2"/>
    <x v="1"/>
    <x v="1"/>
    <n v="23"/>
    <n v="3.4899999999999998"/>
    <n v="80.27"/>
  </r>
  <r>
    <s v="ID07385"/>
    <d v="2022-04-13T00:00:00"/>
    <x v="1"/>
    <x v="3"/>
    <x v="3"/>
    <x v="4"/>
    <n v="28"/>
    <n v="1.68"/>
    <n v="47.04"/>
  </r>
  <r>
    <s v="ID07386"/>
    <d v="2022-04-16T00:00:00"/>
    <x v="0"/>
    <x v="0"/>
    <x v="0"/>
    <x v="0"/>
    <n v="48"/>
    <n v="1.7699999999999998"/>
    <n v="84.96"/>
  </r>
  <r>
    <s v="ID07387"/>
    <d v="2022-04-19T00:00:00"/>
    <x v="0"/>
    <x v="0"/>
    <x v="3"/>
    <x v="4"/>
    <n v="134"/>
    <n v="1.68"/>
    <n v="225.12"/>
  </r>
  <r>
    <s v="ID07388"/>
    <d v="2022-04-22T00:00:00"/>
    <x v="1"/>
    <x v="1"/>
    <x v="0"/>
    <x v="0"/>
    <n v="20"/>
    <n v="1.77"/>
    <n v="35.4"/>
  </r>
  <r>
    <s v="ID07389"/>
    <d v="2022-04-25T00:00:00"/>
    <x v="0"/>
    <x v="2"/>
    <x v="0"/>
    <x v="0"/>
    <n v="53"/>
    <n v="1.77"/>
    <n v="93.81"/>
  </r>
  <r>
    <s v="ID07390"/>
    <d v="2022-04-28T00:00:00"/>
    <x v="0"/>
    <x v="2"/>
    <x v="3"/>
    <x v="4"/>
    <n v="64"/>
    <n v="1.68"/>
    <n v="107.52"/>
  </r>
  <r>
    <s v="ID07391"/>
    <d v="2022-05-01T00:00:00"/>
    <x v="1"/>
    <x v="3"/>
    <x v="2"/>
    <x v="2"/>
    <n v="63"/>
    <n v="1.87"/>
    <n v="117.81"/>
  </r>
  <r>
    <s v="ID07392"/>
    <d v="2022-05-04T00:00:00"/>
    <x v="0"/>
    <x v="0"/>
    <x v="0"/>
    <x v="6"/>
    <n v="105"/>
    <n v="1.8699999999999999"/>
    <n v="196.35"/>
  </r>
  <r>
    <s v="ID07393"/>
    <d v="2022-05-07T00:00:00"/>
    <x v="0"/>
    <x v="0"/>
    <x v="2"/>
    <x v="5"/>
    <n v="138"/>
    <n v="2.8400000000000003"/>
    <n v="391.92"/>
  </r>
  <r>
    <s v="ID07394"/>
    <d v="2022-05-10T00:00:00"/>
    <x v="1"/>
    <x v="1"/>
    <x v="0"/>
    <x v="0"/>
    <n v="25"/>
    <n v="1.77"/>
    <n v="44.25"/>
  </r>
  <r>
    <s v="ID07395"/>
    <d v="2022-05-13T00:00:00"/>
    <x v="1"/>
    <x v="1"/>
    <x v="1"/>
    <x v="1"/>
    <n v="21"/>
    <n v="3.49"/>
    <n v="73.290000000000006"/>
  </r>
  <r>
    <s v="ID07396"/>
    <d v="2022-05-16T00:00:00"/>
    <x v="0"/>
    <x v="2"/>
    <x v="0"/>
    <x v="0"/>
    <n v="61"/>
    <n v="1.77"/>
    <n v="107.97"/>
  </r>
  <r>
    <s v="ID07397"/>
    <d v="2022-05-19T00:00:00"/>
    <x v="0"/>
    <x v="2"/>
    <x v="3"/>
    <x v="4"/>
    <n v="49"/>
    <n v="1.68"/>
    <n v="82.32"/>
  </r>
  <r>
    <s v="ID07398"/>
    <d v="2022-05-22T00:00:00"/>
    <x v="1"/>
    <x v="3"/>
    <x v="2"/>
    <x v="2"/>
    <n v="55"/>
    <n v="1.8699999999999999"/>
    <n v="102.85"/>
  </r>
  <r>
    <s v="ID07399"/>
    <d v="2022-05-25T00:00:00"/>
    <x v="0"/>
    <x v="0"/>
    <x v="2"/>
    <x v="3"/>
    <n v="27"/>
    <n v="2.1800000000000002"/>
    <n v="58.860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54A32-9F2A-4D16-BBDA-4E1F30555D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29" firstHeaderRow="1" firstDataRow="2" firstDataCol="1" rowPageCount="2" colPageCount="1"/>
  <pivotFields count="9">
    <pivotField showAll="0"/>
    <pivotField numFmtId="164" showAll="0"/>
    <pivotField axis="axisRow" showAll="0">
      <items count="3"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5">
        <item x="0"/>
        <item x="2"/>
        <item x="1"/>
        <item x="3"/>
        <item t="default"/>
      </items>
    </pivotField>
    <pivotField axis="axisCol" showAll="0">
      <items count="8">
        <item x="3"/>
        <item x="6"/>
        <item x="0"/>
        <item x="2"/>
        <item x="5"/>
        <item x="4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3" hier="-1"/>
    <pageField fld="4" hier="-1"/>
  </pageFields>
  <dataFields count="1">
    <dataField name="Average of TotalPrice" fld="8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8222CA-18E3-4FFA-BD22-9721B44A9535}" name="Sales_Data" displayName="Sales_Data" ref="A1:I240" totalsRowShown="0">
  <autoFilter ref="A1:I240" xr:uid="{148222CA-18E3-4FFA-BD22-9721B44A9535}"/>
  <sortState xmlns:xlrd2="http://schemas.microsoft.com/office/spreadsheetml/2017/richdata2" ref="A2:H240">
    <sortCondition ref="A2"/>
  </sortState>
  <tableColumns count="9">
    <tableColumn id="8" xr3:uid="{99146189-D587-4001-A349-8164F395FACD}" name="ID" dataDxfId="3"/>
    <tableColumn id="1" xr3:uid="{97F8C1BF-501A-41B6-B67F-930E50C6193F}" name="Date" dataDxfId="2"/>
    <tableColumn id="2" xr3:uid="{F672BD2B-1D1E-4015-B885-A3DC95FF8565}" name="Region"/>
    <tableColumn id="3" xr3:uid="{C743762F-FBED-4F72-89CC-BBA6BCAFFDF7}" name="City"/>
    <tableColumn id="5" xr3:uid="{F1740AFC-B2F2-4980-96FB-F68F23654770}" name="Category"/>
    <tableColumn id="6" xr3:uid="{C5763A1D-55B8-4248-8867-546489D24AF4}" name="Product"/>
    <tableColumn id="7" xr3:uid="{905C6285-AD10-458A-A17B-CC67EFB781B8}" name="Qty"/>
    <tableColumn id="4" xr3:uid="{69CDE7CE-B929-42D0-8E39-BE4065C23914}" name="UnitPrice" dataDxfId="1"/>
    <tableColumn id="14" xr3:uid="{37CCD759-F0F9-45D0-9C3D-7E2F75903DDA}" name="TotalPrice" dataDxfId="0">
      <calculatedColumnFormula>Sales_Data[[#This Row],[Qty]]*Sales_Data[[#This Row],[UnitPrice]]</calculatedColumnFormula>
    </tableColumn>
  </tableColumns>
  <tableStyleInfo name="TableStyleMedium2 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2BE3-0487-4BA2-8943-75021EC349A6}">
  <dimension ref="A1:R29"/>
  <sheetViews>
    <sheetView tabSelected="1" zoomScale="90" zoomScaleNormal="90" workbookViewId="0">
      <selection activeCell="D18" sqref="D18"/>
    </sheetView>
  </sheetViews>
  <sheetFormatPr defaultRowHeight="14.5" x14ac:dyDescent="0.35"/>
  <cols>
    <col min="1" max="1" width="11" customWidth="1"/>
    <col min="3" max="3" width="21.90625" customWidth="1"/>
    <col min="4" max="4" width="15.90625" bestFit="1" customWidth="1"/>
    <col min="5" max="5" width="10.453125" customWidth="1"/>
    <col min="6" max="6" width="10.6328125" customWidth="1"/>
    <col min="7" max="7" width="14.54296875" bestFit="1" customWidth="1"/>
    <col min="8" max="8" width="13.453125" bestFit="1" customWidth="1"/>
    <col min="9" max="9" width="11.54296875" bestFit="1" customWidth="1"/>
    <col min="10" max="10" width="12.36328125" bestFit="1" customWidth="1"/>
    <col min="11" max="11" width="11.81640625" bestFit="1" customWidth="1"/>
    <col min="15" max="15" width="19.08984375" bestFit="1" customWidth="1"/>
    <col min="16" max="16" width="15.81640625" bestFit="1" customWidth="1"/>
    <col min="17" max="17" width="14.1796875" customWidth="1"/>
    <col min="18" max="18" width="10.36328125" customWidth="1"/>
    <col min="19" max="20" width="13.81640625" bestFit="1" customWidth="1"/>
    <col min="21" max="21" width="14.08984375" bestFit="1" customWidth="1"/>
    <col min="22" max="22" width="13.81640625" bestFit="1" customWidth="1"/>
    <col min="23" max="23" width="11.90625" bestFit="1" customWidth="1"/>
    <col min="24" max="24" width="12.7265625" bestFit="1" customWidth="1"/>
    <col min="25" max="25" width="12.26953125" bestFit="1" customWidth="1"/>
  </cols>
  <sheetData>
    <row r="1" spans="1:18" ht="15" customHeigh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8" ht="15" customHeight="1" x14ac:dyDescent="0.3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7"/>
    </row>
    <row r="3" spans="1:18" ht="15" thickBot="1" x14ac:dyDescent="0.4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</row>
    <row r="4" spans="1:18" ht="15" thickBot="1" x14ac:dyDescent="0.4">
      <c r="A4" s="51" t="s">
        <v>12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O4" s="21" t="s">
        <v>113</v>
      </c>
      <c r="P4" s="20" t="s">
        <v>102</v>
      </c>
      <c r="Q4" s="38" t="s">
        <v>103</v>
      </c>
      <c r="R4" s="20" t="s">
        <v>7</v>
      </c>
    </row>
    <row r="5" spans="1:18" x14ac:dyDescent="0.35">
      <c r="A5" s="51" t="s">
        <v>13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3"/>
      <c r="O5" s="36">
        <v>33</v>
      </c>
      <c r="P5" s="19" t="s">
        <v>104</v>
      </c>
      <c r="Q5" s="39">
        <v>29</v>
      </c>
      <c r="R5" s="19">
        <f t="array" ref="R5:R13">FREQUENCY(O5:O19,Q5:Q12)</f>
        <v>3</v>
      </c>
    </row>
    <row r="6" spans="1:18" x14ac:dyDescent="0.35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  <c r="O6" s="37">
        <v>54</v>
      </c>
      <c r="P6" s="17" t="s">
        <v>105</v>
      </c>
      <c r="Q6" s="40">
        <v>39</v>
      </c>
      <c r="R6" s="17">
        <v>2</v>
      </c>
    </row>
    <row r="7" spans="1:18" x14ac:dyDescent="0.35">
      <c r="A7" s="59" t="s">
        <v>8</v>
      </c>
      <c r="B7" s="60"/>
      <c r="C7" s="61"/>
      <c r="D7" s="9"/>
      <c r="E7" s="9"/>
      <c r="F7" s="9"/>
      <c r="G7" s="9"/>
      <c r="H7" s="9"/>
      <c r="I7" s="9"/>
      <c r="J7" s="9"/>
      <c r="K7" s="9"/>
      <c r="L7" s="9"/>
      <c r="M7" s="10"/>
      <c r="O7" s="37">
        <v>51</v>
      </c>
      <c r="P7" s="17" t="s">
        <v>106</v>
      </c>
      <c r="Q7" s="40">
        <v>49</v>
      </c>
      <c r="R7" s="17">
        <v>2</v>
      </c>
    </row>
    <row r="8" spans="1:18" x14ac:dyDescent="0.35">
      <c r="A8" s="54" t="s">
        <v>2</v>
      </c>
      <c r="B8" s="55"/>
      <c r="C8" s="9" t="s">
        <v>89</v>
      </c>
      <c r="D8" s="9">
        <f>SUM(Dataset!I2:I50)</f>
        <v>6507.2800000000007</v>
      </c>
      <c r="F8" s="9"/>
      <c r="G8" s="9"/>
      <c r="H8" s="9"/>
      <c r="I8" s="9"/>
      <c r="J8" s="9"/>
      <c r="K8" s="9"/>
      <c r="L8" s="9"/>
      <c r="M8" s="10"/>
      <c r="O8" s="37">
        <v>100</v>
      </c>
      <c r="P8" s="17" t="s">
        <v>107</v>
      </c>
      <c r="Q8" s="40">
        <v>59</v>
      </c>
      <c r="R8" s="17">
        <v>4</v>
      </c>
    </row>
    <row r="9" spans="1:18" x14ac:dyDescent="0.35">
      <c r="A9" s="54" t="s">
        <v>1</v>
      </c>
      <c r="B9" s="55"/>
      <c r="C9" s="9" t="s">
        <v>90</v>
      </c>
      <c r="D9" s="9">
        <f>AVERAGE(Dataset!H2:H50)</f>
        <v>2.1175510204081638</v>
      </c>
      <c r="E9" s="9"/>
      <c r="F9" s="9"/>
      <c r="G9" s="9"/>
      <c r="H9" s="9"/>
      <c r="I9" s="9"/>
      <c r="J9" s="9"/>
      <c r="K9" s="9"/>
      <c r="L9" s="9"/>
      <c r="M9" s="10"/>
      <c r="O9" s="37">
        <v>44</v>
      </c>
      <c r="P9" s="17" t="s">
        <v>108</v>
      </c>
      <c r="Q9" s="40">
        <v>69</v>
      </c>
      <c r="R9" s="17">
        <v>2</v>
      </c>
    </row>
    <row r="10" spans="1:18" x14ac:dyDescent="0.35">
      <c r="A10" s="54" t="s">
        <v>3</v>
      </c>
      <c r="B10" s="55"/>
      <c r="C10" s="9" t="s">
        <v>91</v>
      </c>
      <c r="D10" s="9">
        <f>MAX(Dataset!G2:G50)</f>
        <v>193</v>
      </c>
      <c r="E10" s="9"/>
      <c r="F10" s="9"/>
      <c r="G10" s="9"/>
      <c r="H10" s="9"/>
      <c r="I10" s="9"/>
      <c r="J10" s="9"/>
      <c r="K10" s="9"/>
      <c r="L10" s="9"/>
      <c r="M10" s="10"/>
      <c r="O10" s="37">
        <v>23</v>
      </c>
      <c r="P10" s="17" t="s">
        <v>109</v>
      </c>
      <c r="Q10" s="40">
        <v>79</v>
      </c>
      <c r="R10" s="17">
        <v>0</v>
      </c>
    </row>
    <row r="11" spans="1:18" x14ac:dyDescent="0.35">
      <c r="A11" s="54" t="s">
        <v>4</v>
      </c>
      <c r="B11" s="55"/>
      <c r="C11" s="9" t="s">
        <v>91</v>
      </c>
      <c r="D11" s="9">
        <f>MIN(Dataset!G2:G50)</f>
        <v>20</v>
      </c>
      <c r="E11" s="9"/>
      <c r="F11" s="9"/>
      <c r="G11" s="9"/>
      <c r="H11" s="9"/>
      <c r="I11" s="9"/>
      <c r="J11" s="9"/>
      <c r="K11" s="9"/>
      <c r="L11" s="9"/>
      <c r="M11" s="10"/>
      <c r="O11" s="37">
        <v>61</v>
      </c>
      <c r="P11" s="17" t="s">
        <v>110</v>
      </c>
      <c r="Q11" s="40">
        <v>89</v>
      </c>
      <c r="R11" s="17">
        <v>0</v>
      </c>
    </row>
    <row r="12" spans="1:18" x14ac:dyDescent="0.35">
      <c r="A12" s="54" t="s">
        <v>5</v>
      </c>
      <c r="B12" s="55"/>
      <c r="C12" s="9" t="s">
        <v>92</v>
      </c>
      <c r="D12" s="9">
        <f>AVERAGE(Dataset!I2:I50)</f>
        <v>132.80163265306123</v>
      </c>
      <c r="E12" s="9"/>
      <c r="F12" s="9"/>
      <c r="G12" s="9"/>
      <c r="H12" s="9"/>
      <c r="I12" s="9"/>
      <c r="J12" s="9"/>
      <c r="K12" s="9"/>
      <c r="L12" s="9"/>
      <c r="M12" s="10"/>
      <c r="O12" s="37">
        <v>38</v>
      </c>
      <c r="P12" s="17" t="s">
        <v>111</v>
      </c>
      <c r="Q12" s="40">
        <v>99</v>
      </c>
      <c r="R12" s="17">
        <v>1</v>
      </c>
    </row>
    <row r="13" spans="1:18" ht="15" thickBot="1" x14ac:dyDescent="0.4">
      <c r="A13" s="54" t="s">
        <v>93</v>
      </c>
      <c r="B13" s="55"/>
      <c r="C13" s="9" t="s">
        <v>92</v>
      </c>
      <c r="D13" s="9">
        <f>MEDIAN(Dataset!I2:I50)</f>
        <v>95.58</v>
      </c>
      <c r="E13" s="9"/>
      <c r="F13" s="9"/>
      <c r="G13" s="9"/>
      <c r="H13" s="9"/>
      <c r="I13" s="9"/>
      <c r="J13" s="9"/>
      <c r="K13" s="9"/>
      <c r="L13" s="9"/>
      <c r="M13" s="10"/>
      <c r="O13" s="37">
        <v>58</v>
      </c>
      <c r="P13" s="18" t="s">
        <v>112</v>
      </c>
      <c r="Q13" s="41"/>
      <c r="R13" s="18">
        <v>1</v>
      </c>
    </row>
    <row r="14" spans="1:18" ht="15" thickBot="1" x14ac:dyDescent="0.4">
      <c r="A14" s="54" t="s">
        <v>6</v>
      </c>
      <c r="B14" s="55"/>
      <c r="C14" s="9" t="s">
        <v>92</v>
      </c>
      <c r="D14" s="25">
        <f>MODE(Dataset!I2:I50)</f>
        <v>107.97</v>
      </c>
      <c r="E14" s="25"/>
      <c r="F14" s="25"/>
      <c r="H14" s="25"/>
      <c r="I14" s="25"/>
      <c r="J14" s="25"/>
      <c r="K14" s="25"/>
      <c r="L14" s="25"/>
      <c r="M14" s="26"/>
      <c r="O14" s="17">
        <v>91</v>
      </c>
    </row>
    <row r="15" spans="1:18" x14ac:dyDescent="0.35">
      <c r="A15" s="54" t="s">
        <v>7</v>
      </c>
      <c r="B15" s="55"/>
      <c r="C15" s="24" t="s">
        <v>18</v>
      </c>
      <c r="D15" s="28" t="s">
        <v>102</v>
      </c>
      <c r="E15" s="29" t="s">
        <v>104</v>
      </c>
      <c r="F15" s="29" t="s">
        <v>105</v>
      </c>
      <c r="G15" s="29" t="s">
        <v>106</v>
      </c>
      <c r="H15" s="29" t="s">
        <v>107</v>
      </c>
      <c r="I15" s="29" t="s">
        <v>108</v>
      </c>
      <c r="J15" s="29" t="s">
        <v>109</v>
      </c>
      <c r="K15" s="29" t="s">
        <v>110</v>
      </c>
      <c r="L15" s="29" t="s">
        <v>111</v>
      </c>
      <c r="M15" s="30" t="s">
        <v>112</v>
      </c>
      <c r="O15" s="17">
        <v>48</v>
      </c>
    </row>
    <row r="16" spans="1:18" x14ac:dyDescent="0.35">
      <c r="A16" s="62"/>
      <c r="B16" s="63"/>
      <c r="C16" s="24"/>
      <c r="D16" s="31" t="s">
        <v>103</v>
      </c>
      <c r="E16" s="27">
        <v>29</v>
      </c>
      <c r="F16" s="27">
        <v>39</v>
      </c>
      <c r="G16" s="27">
        <v>49</v>
      </c>
      <c r="H16" s="27">
        <v>59</v>
      </c>
      <c r="I16" s="27">
        <v>69</v>
      </c>
      <c r="J16" s="27">
        <v>79</v>
      </c>
      <c r="K16" s="27">
        <v>89</v>
      </c>
      <c r="L16" s="27">
        <v>99</v>
      </c>
      <c r="M16" s="32"/>
      <c r="O16" s="17">
        <v>20</v>
      </c>
    </row>
    <row r="17" spans="1:15" ht="15" thickBot="1" x14ac:dyDescent="0.4">
      <c r="A17" s="62"/>
      <c r="B17" s="63"/>
      <c r="C17" s="24"/>
      <c r="D17" s="33" t="s">
        <v>7</v>
      </c>
      <c r="E17" s="34">
        <v>3</v>
      </c>
      <c r="F17" s="34">
        <v>2</v>
      </c>
      <c r="G17" s="34">
        <v>2</v>
      </c>
      <c r="H17" s="34">
        <v>4</v>
      </c>
      <c r="I17" s="34">
        <v>2</v>
      </c>
      <c r="J17" s="34">
        <v>0</v>
      </c>
      <c r="K17" s="34">
        <v>0</v>
      </c>
      <c r="L17" s="34">
        <v>1</v>
      </c>
      <c r="M17" s="35">
        <v>1</v>
      </c>
      <c r="O17" s="17">
        <v>53</v>
      </c>
    </row>
    <row r="18" spans="1:15" x14ac:dyDescent="0.35">
      <c r="A18" s="54" t="s">
        <v>9</v>
      </c>
      <c r="B18" s="55"/>
      <c r="C18" s="9" t="s">
        <v>25</v>
      </c>
      <c r="D18" s="22" t="str">
        <f>VLOOKUP("Cookies",Dataset!E2:F50,2,FALSE)</f>
        <v>Chocolate Chip</v>
      </c>
      <c r="E18" s="22"/>
      <c r="F18" s="22"/>
      <c r="G18" s="22"/>
      <c r="H18" s="22"/>
      <c r="I18" s="22"/>
      <c r="J18" s="22"/>
      <c r="K18" s="22"/>
      <c r="L18" s="22"/>
      <c r="M18" s="23"/>
      <c r="O18" s="17">
        <v>25</v>
      </c>
    </row>
    <row r="19" spans="1:15" ht="15" thickBot="1" x14ac:dyDescent="0.4">
      <c r="A19" s="54" t="s">
        <v>10</v>
      </c>
      <c r="B19" s="55"/>
      <c r="C19" s="9" t="s">
        <v>94</v>
      </c>
      <c r="D19" s="15" t="s">
        <v>101</v>
      </c>
      <c r="E19" s="9"/>
      <c r="F19" s="9"/>
      <c r="G19" s="9"/>
      <c r="H19" s="9"/>
      <c r="I19" s="9"/>
      <c r="J19" s="9"/>
      <c r="K19" s="9"/>
      <c r="L19" s="9"/>
      <c r="M19" s="10"/>
      <c r="O19" s="18">
        <v>61</v>
      </c>
    </row>
    <row r="20" spans="1:15" ht="15" thickBot="1" x14ac:dyDescent="0.4">
      <c r="A20" s="64" t="s">
        <v>11</v>
      </c>
      <c r="B20" s="65"/>
      <c r="C20" s="11" t="s">
        <v>95</v>
      </c>
      <c r="D20" s="16" t="s">
        <v>101</v>
      </c>
      <c r="E20" s="11"/>
      <c r="F20" s="11"/>
      <c r="G20" s="11"/>
      <c r="H20" s="11"/>
      <c r="I20" s="11"/>
      <c r="J20" s="11"/>
      <c r="K20" s="11"/>
      <c r="L20" s="11"/>
      <c r="M20" s="12"/>
    </row>
    <row r="22" spans="1:15" x14ac:dyDescent="0.35">
      <c r="C22" s="13" t="s">
        <v>83</v>
      </c>
      <c r="D22" t="s">
        <v>99</v>
      </c>
    </row>
    <row r="23" spans="1:15" x14ac:dyDescent="0.35">
      <c r="C23" s="13" t="s">
        <v>84</v>
      </c>
      <c r="D23" t="s">
        <v>99</v>
      </c>
    </row>
    <row r="25" spans="1:15" x14ac:dyDescent="0.35">
      <c r="C25" s="13" t="s">
        <v>100</v>
      </c>
      <c r="D25" s="13" t="s">
        <v>98</v>
      </c>
    </row>
    <row r="26" spans="1:15" x14ac:dyDescent="0.35">
      <c r="C26" s="13" t="s">
        <v>96</v>
      </c>
      <c r="D26" t="s">
        <v>30</v>
      </c>
      <c r="E26" t="s">
        <v>48</v>
      </c>
      <c r="F26" t="s">
        <v>18</v>
      </c>
      <c r="G26" t="s">
        <v>26</v>
      </c>
      <c r="H26" t="s">
        <v>46</v>
      </c>
      <c r="I26" t="s">
        <v>37</v>
      </c>
      <c r="J26" t="s">
        <v>21</v>
      </c>
      <c r="K26" t="s">
        <v>97</v>
      </c>
    </row>
    <row r="27" spans="1:15" x14ac:dyDescent="0.35">
      <c r="C27" s="14" t="s">
        <v>15</v>
      </c>
      <c r="D27">
        <v>78.47999999999999</v>
      </c>
      <c r="E27">
        <v>194.48000000000002</v>
      </c>
      <c r="F27">
        <v>99.474000000000004</v>
      </c>
      <c r="G27">
        <v>123.42</v>
      </c>
      <c r="H27">
        <v>429.78666666666669</v>
      </c>
      <c r="I27">
        <v>100.575</v>
      </c>
      <c r="J27">
        <v>228.24600000000001</v>
      </c>
      <c r="K27">
        <v>154.60363636363638</v>
      </c>
    </row>
    <row r="28" spans="1:15" x14ac:dyDescent="0.35">
      <c r="C28" s="14" t="s">
        <v>23</v>
      </c>
      <c r="E28">
        <v>78.540000000000006</v>
      </c>
      <c r="F28">
        <v>70.091999999999985</v>
      </c>
      <c r="G28">
        <v>112.574</v>
      </c>
      <c r="H28">
        <v>89.460000000000008</v>
      </c>
      <c r="I28">
        <v>80.64</v>
      </c>
      <c r="J28">
        <v>73.290000000000006</v>
      </c>
      <c r="K28">
        <v>87.834999999999994</v>
      </c>
    </row>
    <row r="29" spans="1:15" x14ac:dyDescent="0.35">
      <c r="C29" s="14" t="s">
        <v>97</v>
      </c>
      <c r="D29">
        <v>78.47999999999999</v>
      </c>
      <c r="E29">
        <v>155.83333333333334</v>
      </c>
      <c r="F29">
        <v>89.68</v>
      </c>
      <c r="G29">
        <v>116.64125</v>
      </c>
      <c r="H29">
        <v>293.65600000000006</v>
      </c>
      <c r="I29">
        <v>95.591250000000002</v>
      </c>
      <c r="J29">
        <v>202.42</v>
      </c>
      <c r="K29">
        <v>132.80163265306123</v>
      </c>
    </row>
  </sheetData>
  <mergeCells count="19">
    <mergeCell ref="A19:B19"/>
    <mergeCell ref="A20:B20"/>
    <mergeCell ref="A11:B11"/>
    <mergeCell ref="A12:B12"/>
    <mergeCell ref="A13:B13"/>
    <mergeCell ref="A14:B14"/>
    <mergeCell ref="A15:B15"/>
    <mergeCell ref="A9:B9"/>
    <mergeCell ref="A10:B10"/>
    <mergeCell ref="A6:M6"/>
    <mergeCell ref="A7:C7"/>
    <mergeCell ref="A18:B18"/>
    <mergeCell ref="A16:B16"/>
    <mergeCell ref="A17:B17"/>
    <mergeCell ref="A1:M2"/>
    <mergeCell ref="A3:M3"/>
    <mergeCell ref="A4:M4"/>
    <mergeCell ref="A5:M5"/>
    <mergeCell ref="A8:B8"/>
  </mergeCells>
  <phoneticPr fontId="8" type="noConversion"/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BED8-03D0-40C5-9FF5-F65E19F675D0}">
  <dimension ref="A1:K240"/>
  <sheetViews>
    <sheetView topLeftCell="A35" zoomScale="80" zoomScaleNormal="80" workbookViewId="0">
      <selection activeCell="K4" sqref="K4"/>
    </sheetView>
  </sheetViews>
  <sheetFormatPr defaultRowHeight="14.5" x14ac:dyDescent="0.35"/>
  <cols>
    <col min="1" max="1" width="13" customWidth="1"/>
    <col min="2" max="2" width="9.453125" customWidth="1"/>
    <col min="3" max="3" width="49.7265625" customWidth="1"/>
    <col min="4" max="4" width="14.54296875" customWidth="1"/>
    <col min="5" max="5" width="15" customWidth="1"/>
    <col min="6" max="6" width="16.453125" customWidth="1"/>
    <col min="7" max="7" width="12.7265625" customWidth="1"/>
    <col min="8" max="8" width="12.1796875" customWidth="1"/>
    <col min="9" max="9" width="13.54296875" customWidth="1"/>
  </cols>
  <sheetData>
    <row r="1" spans="1:11" ht="15.5" x14ac:dyDescent="0.35">
      <c r="A1" s="1" t="s">
        <v>80</v>
      </c>
      <c r="B1" s="2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4" t="s">
        <v>88</v>
      </c>
    </row>
    <row r="2" spans="1:11" ht="15.5" x14ac:dyDescent="0.35">
      <c r="A2" s="5" t="s">
        <v>14</v>
      </c>
      <c r="B2" s="6">
        <v>44562</v>
      </c>
      <c r="C2" s="7" t="s">
        <v>15</v>
      </c>
      <c r="D2" s="7" t="s">
        <v>16</v>
      </c>
      <c r="E2" s="7" t="s">
        <v>17</v>
      </c>
      <c r="F2" s="7" t="s">
        <v>18</v>
      </c>
      <c r="G2" s="7">
        <v>33</v>
      </c>
      <c r="H2" s="7">
        <v>1.7699999999999998</v>
      </c>
      <c r="I2" s="8">
        <f>Sales_Data[[#This Row],[Qty]]*Sales_Data[[#This Row],[UnitPrice]]</f>
        <v>58.41</v>
      </c>
    </row>
    <row r="3" spans="1:11" ht="15.5" x14ac:dyDescent="0.35">
      <c r="A3" s="5" t="s">
        <v>19</v>
      </c>
      <c r="B3" s="6">
        <v>44565</v>
      </c>
      <c r="C3" s="7" t="s">
        <v>15</v>
      </c>
      <c r="D3" s="7" t="s">
        <v>16</v>
      </c>
      <c r="E3" s="7" t="s">
        <v>20</v>
      </c>
      <c r="F3" s="7" t="s">
        <v>21</v>
      </c>
      <c r="G3" s="7">
        <v>87</v>
      </c>
      <c r="H3" s="7">
        <v>3.4899999999999998</v>
      </c>
      <c r="I3" s="8">
        <f>Sales_Data[[#This Row],[Qty]]*Sales_Data[[#This Row],[UnitPrice]]</f>
        <v>303.63</v>
      </c>
    </row>
    <row r="4" spans="1:11" ht="15.5" x14ac:dyDescent="0.35">
      <c r="A4" s="5" t="s">
        <v>22</v>
      </c>
      <c r="B4" s="6">
        <v>44568</v>
      </c>
      <c r="C4" s="7" t="s">
        <v>23</v>
      </c>
      <c r="D4" s="7" t="s">
        <v>24</v>
      </c>
      <c r="E4" s="7" t="s">
        <v>25</v>
      </c>
      <c r="F4" s="7" t="s">
        <v>26</v>
      </c>
      <c r="G4" s="7">
        <v>58</v>
      </c>
      <c r="H4" s="7">
        <v>1.8699999999999999</v>
      </c>
      <c r="I4" s="8">
        <f>Sales_Data[[#This Row],[Qty]]*Sales_Data[[#This Row],[UnitPrice]]</f>
        <v>108.46</v>
      </c>
      <c r="K4" t="e">
        <f>VLOOKUP(E5,Dataset!A2:I50,6,FALSE)</f>
        <v>#N/A</v>
      </c>
    </row>
    <row r="5" spans="1:11" ht="15.5" x14ac:dyDescent="0.35">
      <c r="A5" s="5" t="s">
        <v>27</v>
      </c>
      <c r="B5" s="6">
        <v>44571</v>
      </c>
      <c r="C5" s="7" t="s">
        <v>15</v>
      </c>
      <c r="D5" s="7" t="s">
        <v>28</v>
      </c>
      <c r="E5" s="7" t="s">
        <v>25</v>
      </c>
      <c r="F5" s="7" t="s">
        <v>26</v>
      </c>
      <c r="G5" s="7">
        <v>82</v>
      </c>
      <c r="H5" s="7">
        <v>1.87</v>
      </c>
      <c r="I5" s="8">
        <f>Sales_Data[[#This Row],[Qty]]*Sales_Data[[#This Row],[UnitPrice]]</f>
        <v>153.34</v>
      </c>
    </row>
    <row r="6" spans="1:11" ht="15.5" x14ac:dyDescent="0.35">
      <c r="A6" s="5" t="s">
        <v>29</v>
      </c>
      <c r="B6" s="6">
        <v>44574</v>
      </c>
      <c r="C6" s="7" t="s">
        <v>15</v>
      </c>
      <c r="D6" s="7" t="s">
        <v>16</v>
      </c>
      <c r="E6" s="7" t="s">
        <v>25</v>
      </c>
      <c r="F6" s="7" t="s">
        <v>30</v>
      </c>
      <c r="G6" s="7">
        <v>38</v>
      </c>
      <c r="H6" s="7">
        <v>2.1800000000000002</v>
      </c>
      <c r="I6" s="8">
        <f>Sales_Data[[#This Row],[Qty]]*Sales_Data[[#This Row],[UnitPrice]]</f>
        <v>82.84</v>
      </c>
    </row>
    <row r="7" spans="1:11" ht="15.5" x14ac:dyDescent="0.35">
      <c r="A7" s="5" t="s">
        <v>31</v>
      </c>
      <c r="B7" s="6">
        <v>44577</v>
      </c>
      <c r="C7" s="7" t="s">
        <v>15</v>
      </c>
      <c r="D7" s="7" t="s">
        <v>16</v>
      </c>
      <c r="E7" s="7" t="s">
        <v>17</v>
      </c>
      <c r="F7" s="7" t="s">
        <v>18</v>
      </c>
      <c r="G7" s="7">
        <v>54</v>
      </c>
      <c r="H7" s="7">
        <v>1.77</v>
      </c>
      <c r="I7" s="8">
        <f>Sales_Data[[#This Row],[Qty]]*Sales_Data[[#This Row],[UnitPrice]]</f>
        <v>95.58</v>
      </c>
    </row>
    <row r="8" spans="1:11" ht="15.5" x14ac:dyDescent="0.35">
      <c r="A8" s="5" t="s">
        <v>32</v>
      </c>
      <c r="B8" s="6">
        <v>44580</v>
      </c>
      <c r="C8" s="7" t="s">
        <v>15</v>
      </c>
      <c r="D8" s="7" t="s">
        <v>16</v>
      </c>
      <c r="E8" s="7" t="s">
        <v>20</v>
      </c>
      <c r="F8" s="7" t="s">
        <v>21</v>
      </c>
      <c r="G8" s="7">
        <v>149</v>
      </c>
      <c r="H8" s="7">
        <v>3.4899999999999998</v>
      </c>
      <c r="I8" s="8">
        <f>Sales_Data[[#This Row],[Qty]]*Sales_Data[[#This Row],[UnitPrice]]</f>
        <v>520.01</v>
      </c>
    </row>
    <row r="9" spans="1:11" ht="15.5" x14ac:dyDescent="0.35">
      <c r="A9" s="5" t="s">
        <v>33</v>
      </c>
      <c r="B9" s="6">
        <v>44583</v>
      </c>
      <c r="C9" s="7" t="s">
        <v>23</v>
      </c>
      <c r="D9" s="7" t="s">
        <v>24</v>
      </c>
      <c r="E9" s="7" t="s">
        <v>17</v>
      </c>
      <c r="F9" s="7" t="s">
        <v>18</v>
      </c>
      <c r="G9" s="7">
        <v>51</v>
      </c>
      <c r="H9" s="7">
        <v>1.77</v>
      </c>
      <c r="I9" s="8">
        <f>Sales_Data[[#This Row],[Qty]]*Sales_Data[[#This Row],[UnitPrice]]</f>
        <v>90.27</v>
      </c>
    </row>
    <row r="10" spans="1:11" ht="15.5" x14ac:dyDescent="0.35">
      <c r="A10" s="5" t="s">
        <v>34</v>
      </c>
      <c r="B10" s="6">
        <v>44586</v>
      </c>
      <c r="C10" s="7" t="s">
        <v>15</v>
      </c>
      <c r="D10" s="7" t="s">
        <v>28</v>
      </c>
      <c r="E10" s="7" t="s">
        <v>17</v>
      </c>
      <c r="F10" s="7" t="s">
        <v>18</v>
      </c>
      <c r="G10" s="7">
        <v>100</v>
      </c>
      <c r="H10" s="7">
        <v>1.77</v>
      </c>
      <c r="I10" s="8">
        <f>Sales_Data[[#This Row],[Qty]]*Sales_Data[[#This Row],[UnitPrice]]</f>
        <v>177</v>
      </c>
    </row>
    <row r="11" spans="1:11" ht="15.5" x14ac:dyDescent="0.35">
      <c r="A11" s="5" t="s">
        <v>35</v>
      </c>
      <c r="B11" s="6">
        <v>44589</v>
      </c>
      <c r="C11" s="7" t="s">
        <v>15</v>
      </c>
      <c r="D11" s="7" t="s">
        <v>28</v>
      </c>
      <c r="E11" s="7" t="s">
        <v>36</v>
      </c>
      <c r="F11" s="7" t="s">
        <v>37</v>
      </c>
      <c r="G11" s="7">
        <v>28</v>
      </c>
      <c r="H11" s="7">
        <v>1.35</v>
      </c>
      <c r="I11" s="8">
        <f>Sales_Data[[#This Row],[Qty]]*Sales_Data[[#This Row],[UnitPrice]]</f>
        <v>37.800000000000004</v>
      </c>
    </row>
    <row r="12" spans="1:11" ht="15.5" x14ac:dyDescent="0.35">
      <c r="A12" s="5" t="s">
        <v>38</v>
      </c>
      <c r="B12" s="6">
        <v>44592</v>
      </c>
      <c r="C12" s="7" t="s">
        <v>15</v>
      </c>
      <c r="D12" s="7" t="s">
        <v>16</v>
      </c>
      <c r="E12" s="7" t="s">
        <v>25</v>
      </c>
      <c r="F12" s="7" t="s">
        <v>30</v>
      </c>
      <c r="G12" s="7">
        <v>36</v>
      </c>
      <c r="H12" s="7">
        <v>2.1800000000000002</v>
      </c>
      <c r="I12" s="8">
        <f>Sales_Data[[#This Row],[Qty]]*Sales_Data[[#This Row],[UnitPrice]]</f>
        <v>78.48</v>
      </c>
    </row>
    <row r="13" spans="1:11" ht="15.5" x14ac:dyDescent="0.35">
      <c r="A13" s="5" t="s">
        <v>39</v>
      </c>
      <c r="B13" s="6">
        <v>44595</v>
      </c>
      <c r="C13" s="7" t="s">
        <v>15</v>
      </c>
      <c r="D13" s="7" t="s">
        <v>16</v>
      </c>
      <c r="E13" s="7" t="s">
        <v>25</v>
      </c>
      <c r="F13" s="7" t="s">
        <v>26</v>
      </c>
      <c r="G13" s="7">
        <v>31</v>
      </c>
      <c r="H13" s="7">
        <v>1.8699999999999999</v>
      </c>
      <c r="I13" s="8">
        <f>Sales_Data[[#This Row],[Qty]]*Sales_Data[[#This Row],[UnitPrice]]</f>
        <v>57.97</v>
      </c>
    </row>
    <row r="14" spans="1:11" ht="15.5" x14ac:dyDescent="0.35">
      <c r="A14" s="5" t="s">
        <v>40</v>
      </c>
      <c r="B14" s="6">
        <v>44598</v>
      </c>
      <c r="C14" s="7" t="s">
        <v>15</v>
      </c>
      <c r="D14" s="7" t="s">
        <v>16</v>
      </c>
      <c r="E14" s="7" t="s">
        <v>20</v>
      </c>
      <c r="F14" s="7" t="s">
        <v>21</v>
      </c>
      <c r="G14" s="7">
        <v>28</v>
      </c>
      <c r="H14" s="7">
        <v>3.4899999999999998</v>
      </c>
      <c r="I14" s="8">
        <f>Sales_Data[[#This Row],[Qty]]*Sales_Data[[#This Row],[UnitPrice]]</f>
        <v>97.72</v>
      </c>
    </row>
    <row r="15" spans="1:11" ht="15.5" x14ac:dyDescent="0.35">
      <c r="A15" s="5" t="s">
        <v>41</v>
      </c>
      <c r="B15" s="6">
        <v>44601</v>
      </c>
      <c r="C15" s="7" t="s">
        <v>23</v>
      </c>
      <c r="D15" s="7" t="s">
        <v>24</v>
      </c>
      <c r="E15" s="7" t="s">
        <v>17</v>
      </c>
      <c r="F15" s="7" t="s">
        <v>18</v>
      </c>
      <c r="G15" s="7">
        <v>44</v>
      </c>
      <c r="H15" s="7">
        <v>1.7699999999999998</v>
      </c>
      <c r="I15" s="8">
        <f>Sales_Data[[#This Row],[Qty]]*Sales_Data[[#This Row],[UnitPrice]]</f>
        <v>77.88</v>
      </c>
    </row>
    <row r="16" spans="1:11" ht="15.5" x14ac:dyDescent="0.35">
      <c r="A16" s="5" t="s">
        <v>42</v>
      </c>
      <c r="B16" s="6">
        <v>44604</v>
      </c>
      <c r="C16" s="7" t="s">
        <v>15</v>
      </c>
      <c r="D16" s="7" t="s">
        <v>28</v>
      </c>
      <c r="E16" s="7" t="s">
        <v>17</v>
      </c>
      <c r="F16" s="7" t="s">
        <v>18</v>
      </c>
      <c r="G16" s="7">
        <v>23</v>
      </c>
      <c r="H16" s="7">
        <v>1.77</v>
      </c>
      <c r="I16" s="8">
        <f>Sales_Data[[#This Row],[Qty]]*Sales_Data[[#This Row],[UnitPrice]]</f>
        <v>40.71</v>
      </c>
    </row>
    <row r="17" spans="1:9" ht="15.5" x14ac:dyDescent="0.35">
      <c r="A17" s="5" t="s">
        <v>43</v>
      </c>
      <c r="B17" s="6">
        <v>44607</v>
      </c>
      <c r="C17" s="7" t="s">
        <v>15</v>
      </c>
      <c r="D17" s="7" t="s">
        <v>28</v>
      </c>
      <c r="E17" s="7" t="s">
        <v>36</v>
      </c>
      <c r="F17" s="7" t="s">
        <v>37</v>
      </c>
      <c r="G17" s="7">
        <v>27</v>
      </c>
      <c r="H17" s="7">
        <v>1.35</v>
      </c>
      <c r="I17" s="8">
        <f>Sales_Data[[#This Row],[Qty]]*Sales_Data[[#This Row],[UnitPrice]]</f>
        <v>36.450000000000003</v>
      </c>
    </row>
    <row r="18" spans="1:9" ht="15.5" x14ac:dyDescent="0.35">
      <c r="A18" s="5" t="s">
        <v>44</v>
      </c>
      <c r="B18" s="6">
        <v>44610</v>
      </c>
      <c r="C18" s="7" t="s">
        <v>15</v>
      </c>
      <c r="D18" s="7" t="s">
        <v>16</v>
      </c>
      <c r="E18" s="7" t="s">
        <v>25</v>
      </c>
      <c r="F18" s="7" t="s">
        <v>30</v>
      </c>
      <c r="G18" s="7">
        <v>43</v>
      </c>
      <c r="H18" s="7">
        <v>2.1799999999999997</v>
      </c>
      <c r="I18" s="8">
        <f>Sales_Data[[#This Row],[Qty]]*Sales_Data[[#This Row],[UnitPrice]]</f>
        <v>93.739999999999981</v>
      </c>
    </row>
    <row r="19" spans="1:9" ht="15.5" x14ac:dyDescent="0.35">
      <c r="A19" s="5" t="s">
        <v>45</v>
      </c>
      <c r="B19" s="6">
        <v>44613</v>
      </c>
      <c r="C19" s="7" t="s">
        <v>15</v>
      </c>
      <c r="D19" s="7" t="s">
        <v>16</v>
      </c>
      <c r="E19" s="7" t="s">
        <v>25</v>
      </c>
      <c r="F19" s="7" t="s">
        <v>46</v>
      </c>
      <c r="G19" s="7">
        <v>123</v>
      </c>
      <c r="H19" s="7">
        <v>2.84</v>
      </c>
      <c r="I19" s="8">
        <f>Sales_Data[[#This Row],[Qty]]*Sales_Data[[#This Row],[UnitPrice]]</f>
        <v>349.32</v>
      </c>
    </row>
    <row r="20" spans="1:9" ht="15.5" x14ac:dyDescent="0.35">
      <c r="A20" s="5" t="s">
        <v>47</v>
      </c>
      <c r="B20" s="6">
        <v>44616</v>
      </c>
      <c r="C20" s="7" t="s">
        <v>23</v>
      </c>
      <c r="D20" s="7" t="s">
        <v>24</v>
      </c>
      <c r="E20" s="7" t="s">
        <v>17</v>
      </c>
      <c r="F20" s="7" t="s">
        <v>48</v>
      </c>
      <c r="G20" s="7">
        <v>42</v>
      </c>
      <c r="H20" s="7">
        <v>1.87</v>
      </c>
      <c r="I20" s="8">
        <f>Sales_Data[[#This Row],[Qty]]*Sales_Data[[#This Row],[UnitPrice]]</f>
        <v>78.540000000000006</v>
      </c>
    </row>
    <row r="21" spans="1:9" ht="15.5" x14ac:dyDescent="0.35">
      <c r="A21" s="5" t="s">
        <v>49</v>
      </c>
      <c r="B21" s="6">
        <v>44619</v>
      </c>
      <c r="C21" s="7" t="s">
        <v>23</v>
      </c>
      <c r="D21" s="7" t="s">
        <v>24</v>
      </c>
      <c r="E21" s="7" t="s">
        <v>25</v>
      </c>
      <c r="F21" s="7" t="s">
        <v>46</v>
      </c>
      <c r="G21" s="7">
        <v>33</v>
      </c>
      <c r="H21" s="7">
        <v>2.84</v>
      </c>
      <c r="I21" s="8">
        <f>Sales_Data[[#This Row],[Qty]]*Sales_Data[[#This Row],[UnitPrice]]</f>
        <v>93.72</v>
      </c>
    </row>
    <row r="22" spans="1:9" ht="15.5" x14ac:dyDescent="0.35">
      <c r="A22" s="5" t="s">
        <v>50</v>
      </c>
      <c r="B22" s="6">
        <v>44622</v>
      </c>
      <c r="C22" s="7" t="s">
        <v>15</v>
      </c>
      <c r="D22" s="7" t="s">
        <v>28</v>
      </c>
      <c r="E22" s="7" t="s">
        <v>25</v>
      </c>
      <c r="F22" s="7" t="s">
        <v>26</v>
      </c>
      <c r="G22" s="7">
        <v>85</v>
      </c>
      <c r="H22" s="7">
        <v>1.8699999999999999</v>
      </c>
      <c r="I22" s="8">
        <f>Sales_Data[[#This Row],[Qty]]*Sales_Data[[#This Row],[UnitPrice]]</f>
        <v>158.94999999999999</v>
      </c>
    </row>
    <row r="23" spans="1:9" ht="15.5" x14ac:dyDescent="0.35">
      <c r="A23" s="5" t="s">
        <v>51</v>
      </c>
      <c r="B23" s="6">
        <v>44625</v>
      </c>
      <c r="C23" s="7" t="s">
        <v>23</v>
      </c>
      <c r="D23" s="7" t="s">
        <v>52</v>
      </c>
      <c r="E23" s="7" t="s">
        <v>25</v>
      </c>
      <c r="F23" s="7" t="s">
        <v>46</v>
      </c>
      <c r="G23" s="7">
        <v>30</v>
      </c>
      <c r="H23" s="7">
        <v>2.8400000000000003</v>
      </c>
      <c r="I23" s="8">
        <f>Sales_Data[[#This Row],[Qty]]*Sales_Data[[#This Row],[UnitPrice]]</f>
        <v>85.2</v>
      </c>
    </row>
    <row r="24" spans="1:9" ht="15.5" x14ac:dyDescent="0.35">
      <c r="A24" s="5" t="s">
        <v>53</v>
      </c>
      <c r="B24" s="6">
        <v>44628</v>
      </c>
      <c r="C24" s="7" t="s">
        <v>15</v>
      </c>
      <c r="D24" s="7" t="s">
        <v>16</v>
      </c>
      <c r="E24" s="7" t="s">
        <v>17</v>
      </c>
      <c r="F24" s="7" t="s">
        <v>18</v>
      </c>
      <c r="G24" s="7">
        <v>61</v>
      </c>
      <c r="H24" s="7">
        <v>1.77</v>
      </c>
      <c r="I24" s="8">
        <f>Sales_Data[[#This Row],[Qty]]*Sales_Data[[#This Row],[UnitPrice]]</f>
        <v>107.97</v>
      </c>
    </row>
    <row r="25" spans="1:9" ht="15.5" x14ac:dyDescent="0.35">
      <c r="A25" s="5" t="s">
        <v>54</v>
      </c>
      <c r="B25" s="6">
        <v>44631</v>
      </c>
      <c r="C25" s="7" t="s">
        <v>15</v>
      </c>
      <c r="D25" s="7" t="s">
        <v>16</v>
      </c>
      <c r="E25" s="7" t="s">
        <v>20</v>
      </c>
      <c r="F25" s="7" t="s">
        <v>21</v>
      </c>
      <c r="G25" s="7">
        <v>40</v>
      </c>
      <c r="H25" s="7">
        <v>3.4899999999999998</v>
      </c>
      <c r="I25" s="8">
        <f>Sales_Data[[#This Row],[Qty]]*Sales_Data[[#This Row],[UnitPrice]]</f>
        <v>139.6</v>
      </c>
    </row>
    <row r="26" spans="1:9" ht="15.5" x14ac:dyDescent="0.35">
      <c r="A26" s="5" t="s">
        <v>55</v>
      </c>
      <c r="B26" s="6">
        <v>44634</v>
      </c>
      <c r="C26" s="7" t="s">
        <v>23</v>
      </c>
      <c r="D26" s="7" t="s">
        <v>24</v>
      </c>
      <c r="E26" s="7" t="s">
        <v>25</v>
      </c>
      <c r="F26" s="7" t="s">
        <v>26</v>
      </c>
      <c r="G26" s="7">
        <v>86</v>
      </c>
      <c r="H26" s="7">
        <v>1.8699999999999999</v>
      </c>
      <c r="I26" s="8">
        <f>Sales_Data[[#This Row],[Qty]]*Sales_Data[[#This Row],[UnitPrice]]</f>
        <v>160.82</v>
      </c>
    </row>
    <row r="27" spans="1:9" ht="15.5" x14ac:dyDescent="0.35">
      <c r="A27" s="5" t="s">
        <v>56</v>
      </c>
      <c r="B27" s="6">
        <v>44637</v>
      </c>
      <c r="C27" s="7" t="s">
        <v>15</v>
      </c>
      <c r="D27" s="7" t="s">
        <v>28</v>
      </c>
      <c r="E27" s="7" t="s">
        <v>17</v>
      </c>
      <c r="F27" s="7" t="s">
        <v>18</v>
      </c>
      <c r="G27" s="7">
        <v>38</v>
      </c>
      <c r="H27" s="7">
        <v>1.7700000000000002</v>
      </c>
      <c r="I27" s="8">
        <f>Sales_Data[[#This Row],[Qty]]*Sales_Data[[#This Row],[UnitPrice]]</f>
        <v>67.260000000000005</v>
      </c>
    </row>
    <row r="28" spans="1:9" ht="15.5" x14ac:dyDescent="0.35">
      <c r="A28" s="5" t="s">
        <v>57</v>
      </c>
      <c r="B28" s="6">
        <v>44640</v>
      </c>
      <c r="C28" s="7" t="s">
        <v>15</v>
      </c>
      <c r="D28" s="7" t="s">
        <v>28</v>
      </c>
      <c r="E28" s="7" t="s">
        <v>36</v>
      </c>
      <c r="F28" s="7" t="s">
        <v>37</v>
      </c>
      <c r="G28" s="7">
        <v>68</v>
      </c>
      <c r="H28" s="7">
        <v>1.68</v>
      </c>
      <c r="I28" s="8">
        <f>Sales_Data[[#This Row],[Qty]]*Sales_Data[[#This Row],[UnitPrice]]</f>
        <v>114.24</v>
      </c>
    </row>
    <row r="29" spans="1:9" ht="15.5" x14ac:dyDescent="0.35">
      <c r="A29" s="5" t="s">
        <v>58</v>
      </c>
      <c r="B29" s="6">
        <v>44643</v>
      </c>
      <c r="C29" s="7" t="s">
        <v>23</v>
      </c>
      <c r="D29" s="7" t="s">
        <v>52</v>
      </c>
      <c r="E29" s="7" t="s">
        <v>25</v>
      </c>
      <c r="F29" s="7" t="s">
        <v>26</v>
      </c>
      <c r="G29" s="7">
        <v>39</v>
      </c>
      <c r="H29" s="7">
        <v>1.87</v>
      </c>
      <c r="I29" s="8">
        <f>Sales_Data[[#This Row],[Qty]]*Sales_Data[[#This Row],[UnitPrice]]</f>
        <v>72.930000000000007</v>
      </c>
    </row>
    <row r="30" spans="1:9" ht="15.5" x14ac:dyDescent="0.35">
      <c r="A30" s="5" t="s">
        <v>59</v>
      </c>
      <c r="B30" s="6">
        <v>44646</v>
      </c>
      <c r="C30" s="7" t="s">
        <v>15</v>
      </c>
      <c r="D30" s="7" t="s">
        <v>16</v>
      </c>
      <c r="E30" s="7" t="s">
        <v>17</v>
      </c>
      <c r="F30" s="7" t="s">
        <v>48</v>
      </c>
      <c r="G30" s="7">
        <v>103</v>
      </c>
      <c r="H30" s="7">
        <v>1.87</v>
      </c>
      <c r="I30" s="8">
        <f>Sales_Data[[#This Row],[Qty]]*Sales_Data[[#This Row],[UnitPrice]]</f>
        <v>192.61</v>
      </c>
    </row>
    <row r="31" spans="1:9" ht="15.5" x14ac:dyDescent="0.35">
      <c r="A31" s="5" t="s">
        <v>60</v>
      </c>
      <c r="B31" s="6">
        <v>44649</v>
      </c>
      <c r="C31" s="7" t="s">
        <v>15</v>
      </c>
      <c r="D31" s="7" t="s">
        <v>16</v>
      </c>
      <c r="E31" s="7" t="s">
        <v>25</v>
      </c>
      <c r="F31" s="7" t="s">
        <v>46</v>
      </c>
      <c r="G31" s="7">
        <v>193</v>
      </c>
      <c r="H31" s="7">
        <v>2.84</v>
      </c>
      <c r="I31" s="8">
        <f>Sales_Data[[#This Row],[Qty]]*Sales_Data[[#This Row],[UnitPrice]]</f>
        <v>548.12</v>
      </c>
    </row>
    <row r="32" spans="1:9" ht="15.5" x14ac:dyDescent="0.35">
      <c r="A32" s="5" t="s">
        <v>61</v>
      </c>
      <c r="B32" s="6">
        <v>44652</v>
      </c>
      <c r="C32" s="7" t="s">
        <v>23</v>
      </c>
      <c r="D32" s="7" t="s">
        <v>24</v>
      </c>
      <c r="E32" s="7" t="s">
        <v>17</v>
      </c>
      <c r="F32" s="7" t="s">
        <v>18</v>
      </c>
      <c r="G32" s="7">
        <v>58</v>
      </c>
      <c r="H32" s="7">
        <v>1.77</v>
      </c>
      <c r="I32" s="8">
        <f>Sales_Data[[#This Row],[Qty]]*Sales_Data[[#This Row],[UnitPrice]]</f>
        <v>102.66</v>
      </c>
    </row>
    <row r="33" spans="1:9" ht="15.5" x14ac:dyDescent="0.35">
      <c r="A33" s="5" t="s">
        <v>62</v>
      </c>
      <c r="B33" s="6">
        <v>44655</v>
      </c>
      <c r="C33" s="7" t="s">
        <v>23</v>
      </c>
      <c r="D33" s="7" t="s">
        <v>24</v>
      </c>
      <c r="E33" s="7" t="s">
        <v>36</v>
      </c>
      <c r="F33" s="7" t="s">
        <v>37</v>
      </c>
      <c r="G33" s="7">
        <v>68</v>
      </c>
      <c r="H33" s="7">
        <v>1.68</v>
      </c>
      <c r="I33" s="8">
        <f>Sales_Data[[#This Row],[Qty]]*Sales_Data[[#This Row],[UnitPrice]]</f>
        <v>114.24</v>
      </c>
    </row>
    <row r="34" spans="1:9" ht="15.5" x14ac:dyDescent="0.35">
      <c r="A34" s="5" t="s">
        <v>63</v>
      </c>
      <c r="B34" s="6">
        <v>44658</v>
      </c>
      <c r="C34" s="7" t="s">
        <v>15</v>
      </c>
      <c r="D34" s="7" t="s">
        <v>28</v>
      </c>
      <c r="E34" s="7" t="s">
        <v>17</v>
      </c>
      <c r="F34" s="7" t="s">
        <v>18</v>
      </c>
      <c r="G34" s="7">
        <v>91</v>
      </c>
      <c r="H34" s="7">
        <v>1.77</v>
      </c>
      <c r="I34" s="8">
        <f>Sales_Data[[#This Row],[Qty]]*Sales_Data[[#This Row],[UnitPrice]]</f>
        <v>161.07</v>
      </c>
    </row>
    <row r="35" spans="1:9" ht="15.5" x14ac:dyDescent="0.35">
      <c r="A35" s="5" t="s">
        <v>64</v>
      </c>
      <c r="B35" s="6">
        <v>44661</v>
      </c>
      <c r="C35" s="7" t="s">
        <v>15</v>
      </c>
      <c r="D35" s="7" t="s">
        <v>28</v>
      </c>
      <c r="E35" s="7" t="s">
        <v>20</v>
      </c>
      <c r="F35" s="7" t="s">
        <v>21</v>
      </c>
      <c r="G35" s="7">
        <v>23</v>
      </c>
      <c r="H35" s="7">
        <v>3.4899999999999998</v>
      </c>
      <c r="I35" s="8">
        <f>Sales_Data[[#This Row],[Qty]]*Sales_Data[[#This Row],[UnitPrice]]</f>
        <v>80.27</v>
      </c>
    </row>
    <row r="36" spans="1:9" ht="15.5" x14ac:dyDescent="0.35">
      <c r="A36" s="5" t="s">
        <v>65</v>
      </c>
      <c r="B36" s="6">
        <v>44664</v>
      </c>
      <c r="C36" s="7" t="s">
        <v>23</v>
      </c>
      <c r="D36" s="7" t="s">
        <v>52</v>
      </c>
      <c r="E36" s="7" t="s">
        <v>36</v>
      </c>
      <c r="F36" s="7" t="s">
        <v>37</v>
      </c>
      <c r="G36" s="7">
        <v>28</v>
      </c>
      <c r="H36" s="7">
        <v>1.68</v>
      </c>
      <c r="I36" s="8">
        <f>Sales_Data[[#This Row],[Qty]]*Sales_Data[[#This Row],[UnitPrice]]</f>
        <v>47.04</v>
      </c>
    </row>
    <row r="37" spans="1:9" ht="15.5" x14ac:dyDescent="0.35">
      <c r="A37" s="5" t="s">
        <v>66</v>
      </c>
      <c r="B37" s="6">
        <v>44667</v>
      </c>
      <c r="C37" s="7" t="s">
        <v>15</v>
      </c>
      <c r="D37" s="7" t="s">
        <v>16</v>
      </c>
      <c r="E37" s="7" t="s">
        <v>17</v>
      </c>
      <c r="F37" s="7" t="s">
        <v>18</v>
      </c>
      <c r="G37" s="7">
        <v>48</v>
      </c>
      <c r="H37" s="7">
        <v>1.7699999999999998</v>
      </c>
      <c r="I37" s="8">
        <f>Sales_Data[[#This Row],[Qty]]*Sales_Data[[#This Row],[UnitPrice]]</f>
        <v>84.96</v>
      </c>
    </row>
    <row r="38" spans="1:9" ht="15.5" x14ac:dyDescent="0.35">
      <c r="A38" s="5" t="s">
        <v>67</v>
      </c>
      <c r="B38" s="6">
        <v>44670</v>
      </c>
      <c r="C38" s="7" t="s">
        <v>15</v>
      </c>
      <c r="D38" s="7" t="s">
        <v>16</v>
      </c>
      <c r="E38" s="7" t="s">
        <v>36</v>
      </c>
      <c r="F38" s="7" t="s">
        <v>37</v>
      </c>
      <c r="G38" s="7">
        <v>134</v>
      </c>
      <c r="H38" s="7">
        <v>1.68</v>
      </c>
      <c r="I38" s="8">
        <f>Sales_Data[[#This Row],[Qty]]*Sales_Data[[#This Row],[UnitPrice]]</f>
        <v>225.12</v>
      </c>
    </row>
    <row r="39" spans="1:9" ht="15.5" x14ac:dyDescent="0.35">
      <c r="A39" s="5" t="s">
        <v>68</v>
      </c>
      <c r="B39" s="6">
        <v>44673</v>
      </c>
      <c r="C39" s="7" t="s">
        <v>23</v>
      </c>
      <c r="D39" s="7" t="s">
        <v>24</v>
      </c>
      <c r="E39" s="7" t="s">
        <v>17</v>
      </c>
      <c r="F39" s="7" t="s">
        <v>18</v>
      </c>
      <c r="G39" s="7">
        <v>20</v>
      </c>
      <c r="H39" s="7">
        <v>1.77</v>
      </c>
      <c r="I39" s="8">
        <f>Sales_Data[[#This Row],[Qty]]*Sales_Data[[#This Row],[UnitPrice]]</f>
        <v>35.4</v>
      </c>
    </row>
    <row r="40" spans="1:9" ht="15.5" x14ac:dyDescent="0.35">
      <c r="A40" s="5" t="s">
        <v>69</v>
      </c>
      <c r="B40" s="6">
        <v>44676</v>
      </c>
      <c r="C40" s="7" t="s">
        <v>15</v>
      </c>
      <c r="D40" s="7" t="s">
        <v>28</v>
      </c>
      <c r="E40" s="7" t="s">
        <v>17</v>
      </c>
      <c r="F40" s="7" t="s">
        <v>18</v>
      </c>
      <c r="G40" s="7">
        <v>53</v>
      </c>
      <c r="H40" s="7">
        <v>1.77</v>
      </c>
      <c r="I40" s="8">
        <f>Sales_Data[[#This Row],[Qty]]*Sales_Data[[#This Row],[UnitPrice]]</f>
        <v>93.81</v>
      </c>
    </row>
    <row r="41" spans="1:9" ht="15.5" x14ac:dyDescent="0.35">
      <c r="A41" s="5" t="s">
        <v>70</v>
      </c>
      <c r="B41" s="6">
        <v>44679</v>
      </c>
      <c r="C41" s="7" t="s">
        <v>15</v>
      </c>
      <c r="D41" s="7" t="s">
        <v>28</v>
      </c>
      <c r="E41" s="7" t="s">
        <v>36</v>
      </c>
      <c r="F41" s="7" t="s">
        <v>37</v>
      </c>
      <c r="G41" s="7">
        <v>64</v>
      </c>
      <c r="H41" s="7">
        <v>1.68</v>
      </c>
      <c r="I41" s="8">
        <f>Sales_Data[[#This Row],[Qty]]*Sales_Data[[#This Row],[UnitPrice]]</f>
        <v>107.52</v>
      </c>
    </row>
    <row r="42" spans="1:9" ht="15.5" x14ac:dyDescent="0.35">
      <c r="A42" s="5" t="s">
        <v>71</v>
      </c>
      <c r="B42" s="6">
        <v>44682</v>
      </c>
      <c r="C42" s="7" t="s">
        <v>23</v>
      </c>
      <c r="D42" s="7" t="s">
        <v>52</v>
      </c>
      <c r="E42" s="7" t="s">
        <v>25</v>
      </c>
      <c r="F42" s="7" t="s">
        <v>26</v>
      </c>
      <c r="G42" s="7">
        <v>63</v>
      </c>
      <c r="H42" s="7">
        <v>1.87</v>
      </c>
      <c r="I42" s="8">
        <f>Sales_Data[[#This Row],[Qty]]*Sales_Data[[#This Row],[UnitPrice]]</f>
        <v>117.81</v>
      </c>
    </row>
    <row r="43" spans="1:9" ht="15.5" x14ac:dyDescent="0.35">
      <c r="A43" s="5" t="s">
        <v>72</v>
      </c>
      <c r="B43" s="6">
        <v>44685</v>
      </c>
      <c r="C43" s="7" t="s">
        <v>15</v>
      </c>
      <c r="D43" s="7" t="s">
        <v>16</v>
      </c>
      <c r="E43" s="7" t="s">
        <v>17</v>
      </c>
      <c r="F43" s="7" t="s">
        <v>48</v>
      </c>
      <c r="G43" s="7">
        <v>105</v>
      </c>
      <c r="H43" s="7">
        <v>1.8699999999999999</v>
      </c>
      <c r="I43" s="8">
        <f>Sales_Data[[#This Row],[Qty]]*Sales_Data[[#This Row],[UnitPrice]]</f>
        <v>196.35</v>
      </c>
    </row>
    <row r="44" spans="1:9" ht="15.5" x14ac:dyDescent="0.35">
      <c r="A44" s="5" t="s">
        <v>73</v>
      </c>
      <c r="B44" s="6">
        <v>44688</v>
      </c>
      <c r="C44" s="7" t="s">
        <v>15</v>
      </c>
      <c r="D44" s="7" t="s">
        <v>16</v>
      </c>
      <c r="E44" s="7" t="s">
        <v>25</v>
      </c>
      <c r="F44" s="7" t="s">
        <v>46</v>
      </c>
      <c r="G44" s="7">
        <v>138</v>
      </c>
      <c r="H44" s="7">
        <v>2.8400000000000003</v>
      </c>
      <c r="I44" s="8">
        <f>Sales_Data[[#This Row],[Qty]]*Sales_Data[[#This Row],[UnitPrice]]</f>
        <v>391.92</v>
      </c>
    </row>
    <row r="45" spans="1:9" ht="15.5" x14ac:dyDescent="0.35">
      <c r="A45" s="5" t="s">
        <v>74</v>
      </c>
      <c r="B45" s="6">
        <v>44691</v>
      </c>
      <c r="C45" s="7" t="s">
        <v>23</v>
      </c>
      <c r="D45" s="7" t="s">
        <v>24</v>
      </c>
      <c r="E45" s="7" t="s">
        <v>17</v>
      </c>
      <c r="F45" s="7" t="s">
        <v>18</v>
      </c>
      <c r="G45" s="7">
        <v>25</v>
      </c>
      <c r="H45" s="7">
        <v>1.77</v>
      </c>
      <c r="I45" s="8">
        <f>Sales_Data[[#This Row],[Qty]]*Sales_Data[[#This Row],[UnitPrice]]</f>
        <v>44.25</v>
      </c>
    </row>
    <row r="46" spans="1:9" ht="15.5" x14ac:dyDescent="0.35">
      <c r="A46" s="5" t="s">
        <v>75</v>
      </c>
      <c r="B46" s="6">
        <v>44694</v>
      </c>
      <c r="C46" s="7" t="s">
        <v>23</v>
      </c>
      <c r="D46" s="7" t="s">
        <v>24</v>
      </c>
      <c r="E46" s="7" t="s">
        <v>20</v>
      </c>
      <c r="F46" s="7" t="s">
        <v>21</v>
      </c>
      <c r="G46" s="7">
        <v>21</v>
      </c>
      <c r="H46" s="7">
        <v>3.49</v>
      </c>
      <c r="I46" s="8">
        <f>Sales_Data[[#This Row],[Qty]]*Sales_Data[[#This Row],[UnitPrice]]</f>
        <v>73.290000000000006</v>
      </c>
    </row>
    <row r="47" spans="1:9" ht="15.5" x14ac:dyDescent="0.35">
      <c r="A47" s="5" t="s">
        <v>76</v>
      </c>
      <c r="B47" s="6">
        <v>44697</v>
      </c>
      <c r="C47" s="7" t="s">
        <v>15</v>
      </c>
      <c r="D47" s="7" t="s">
        <v>28</v>
      </c>
      <c r="E47" s="7" t="s">
        <v>17</v>
      </c>
      <c r="F47" s="7" t="s">
        <v>18</v>
      </c>
      <c r="G47" s="7">
        <v>61</v>
      </c>
      <c r="H47" s="7">
        <v>1.77</v>
      </c>
      <c r="I47" s="8">
        <f>Sales_Data[[#This Row],[Qty]]*Sales_Data[[#This Row],[UnitPrice]]</f>
        <v>107.97</v>
      </c>
    </row>
    <row r="48" spans="1:9" ht="15.5" x14ac:dyDescent="0.35">
      <c r="A48" s="5" t="s">
        <v>77</v>
      </c>
      <c r="B48" s="6">
        <v>44700</v>
      </c>
      <c r="C48" s="7" t="s">
        <v>15</v>
      </c>
      <c r="D48" s="7" t="s">
        <v>28</v>
      </c>
      <c r="E48" s="7" t="s">
        <v>36</v>
      </c>
      <c r="F48" s="7" t="s">
        <v>37</v>
      </c>
      <c r="G48" s="7">
        <v>49</v>
      </c>
      <c r="H48" s="7">
        <v>1.68</v>
      </c>
      <c r="I48" s="8">
        <f>Sales_Data[[#This Row],[Qty]]*Sales_Data[[#This Row],[UnitPrice]]</f>
        <v>82.32</v>
      </c>
    </row>
    <row r="49" spans="1:9" ht="15.5" x14ac:dyDescent="0.35">
      <c r="A49" s="5" t="s">
        <v>78</v>
      </c>
      <c r="B49" s="6">
        <v>44703</v>
      </c>
      <c r="C49" s="7" t="s">
        <v>23</v>
      </c>
      <c r="D49" s="7" t="s">
        <v>52</v>
      </c>
      <c r="E49" s="7" t="s">
        <v>25</v>
      </c>
      <c r="F49" s="7" t="s">
        <v>26</v>
      </c>
      <c r="G49" s="7">
        <v>55</v>
      </c>
      <c r="H49" s="7">
        <v>1.8699999999999999</v>
      </c>
      <c r="I49" s="8">
        <f>Sales_Data[[#This Row],[Qty]]*Sales_Data[[#This Row],[UnitPrice]]</f>
        <v>102.85</v>
      </c>
    </row>
    <row r="50" spans="1:9" ht="15.5" x14ac:dyDescent="0.35">
      <c r="A50" s="5" t="s">
        <v>79</v>
      </c>
      <c r="B50" s="6">
        <v>44706</v>
      </c>
      <c r="C50" s="7" t="s">
        <v>15</v>
      </c>
      <c r="D50" s="7" t="s">
        <v>16</v>
      </c>
      <c r="E50" s="7" t="s">
        <v>25</v>
      </c>
      <c r="F50" s="7" t="s">
        <v>30</v>
      </c>
      <c r="G50" s="7">
        <v>27</v>
      </c>
      <c r="H50" s="7">
        <v>2.1800000000000002</v>
      </c>
      <c r="I50" s="8">
        <f>Sales_Data[[#This Row],[Qty]]*Sales_Data[[#This Row],[UnitPrice]]</f>
        <v>58.860000000000007</v>
      </c>
    </row>
    <row r="51" spans="1:9" ht="15.5" x14ac:dyDescent="0.35">
      <c r="A51" s="5"/>
      <c r="B51" s="6"/>
      <c r="C51" s="7"/>
      <c r="D51" s="7"/>
      <c r="E51" s="7"/>
      <c r="F51" s="7"/>
      <c r="G51" s="7"/>
      <c r="H51" s="7"/>
      <c r="I51" s="8"/>
    </row>
    <row r="52" spans="1:9" ht="15.5" x14ac:dyDescent="0.35">
      <c r="A52" s="5"/>
      <c r="B52" s="6"/>
      <c r="C52" s="7"/>
      <c r="D52" s="7"/>
      <c r="E52" s="7"/>
      <c r="F52" s="7"/>
      <c r="G52" s="7"/>
      <c r="H52" s="7"/>
      <c r="I52" s="8"/>
    </row>
    <row r="53" spans="1:9" ht="15.5" x14ac:dyDescent="0.35">
      <c r="A53" s="5"/>
      <c r="B53" s="6"/>
      <c r="C53" s="7"/>
      <c r="D53" s="7"/>
      <c r="E53" s="7"/>
      <c r="F53" s="7"/>
      <c r="G53" s="7"/>
      <c r="H53" s="7"/>
      <c r="I53" s="8"/>
    </row>
    <row r="54" spans="1:9" ht="15.5" x14ac:dyDescent="0.35">
      <c r="A54" s="5"/>
      <c r="B54" s="6"/>
      <c r="C54" s="7"/>
      <c r="D54" s="7"/>
      <c r="E54" s="7"/>
      <c r="F54" s="7"/>
      <c r="G54" s="7"/>
      <c r="H54" s="7"/>
      <c r="I54" s="8"/>
    </row>
    <row r="55" spans="1:9" ht="15.5" x14ac:dyDescent="0.35">
      <c r="A55" s="5"/>
      <c r="B55" s="6"/>
      <c r="C55" s="7"/>
      <c r="D55" s="7"/>
      <c r="E55" s="7"/>
      <c r="F55" s="7"/>
      <c r="G55" s="7"/>
      <c r="H55" s="7"/>
      <c r="I55" s="8"/>
    </row>
    <row r="56" spans="1:9" ht="15.5" x14ac:dyDescent="0.35">
      <c r="A56" s="5"/>
      <c r="B56" s="6"/>
      <c r="C56" s="7"/>
      <c r="D56" s="7"/>
      <c r="E56" s="7"/>
      <c r="F56" s="7"/>
      <c r="G56" s="7"/>
      <c r="H56" s="7"/>
      <c r="I56" s="8"/>
    </row>
    <row r="57" spans="1:9" ht="15.5" x14ac:dyDescent="0.35">
      <c r="A57" s="5"/>
      <c r="B57" s="6"/>
      <c r="C57" s="7"/>
      <c r="D57" s="7"/>
      <c r="E57" s="7"/>
      <c r="F57" s="7"/>
      <c r="G57" s="7"/>
      <c r="H57" s="7"/>
      <c r="I57" s="8"/>
    </row>
    <row r="58" spans="1:9" ht="15.5" x14ac:dyDescent="0.35">
      <c r="A58" s="5"/>
      <c r="B58" s="6"/>
      <c r="C58" s="7"/>
      <c r="D58" s="7"/>
      <c r="E58" s="7"/>
      <c r="F58" s="7"/>
      <c r="G58" s="7"/>
      <c r="H58" s="7"/>
      <c r="I58" s="8"/>
    </row>
    <row r="59" spans="1:9" ht="15.5" x14ac:dyDescent="0.35">
      <c r="A59" s="5"/>
      <c r="B59" s="6"/>
      <c r="C59" s="7"/>
      <c r="D59" s="7"/>
      <c r="E59" s="7"/>
      <c r="F59" s="7"/>
      <c r="G59" s="7"/>
      <c r="H59" s="7"/>
      <c r="I59" s="8"/>
    </row>
    <row r="60" spans="1:9" ht="15.5" x14ac:dyDescent="0.35">
      <c r="A60" s="5"/>
      <c r="B60" s="6"/>
      <c r="C60" s="7"/>
      <c r="D60" s="7"/>
      <c r="E60" s="7"/>
      <c r="F60" s="7"/>
      <c r="G60" s="7"/>
      <c r="H60" s="7"/>
      <c r="I60" s="8"/>
    </row>
    <row r="61" spans="1:9" ht="15.5" x14ac:dyDescent="0.35">
      <c r="A61" s="5"/>
      <c r="B61" s="6"/>
      <c r="C61" s="7"/>
      <c r="D61" s="7"/>
      <c r="E61" s="7"/>
      <c r="F61" s="7"/>
      <c r="G61" s="7"/>
      <c r="H61" s="7"/>
      <c r="I61" s="8"/>
    </row>
    <row r="62" spans="1:9" ht="15.5" x14ac:dyDescent="0.35">
      <c r="A62" s="5"/>
      <c r="B62" s="6"/>
      <c r="C62" s="7"/>
      <c r="D62" s="7"/>
      <c r="E62" s="7"/>
      <c r="F62" s="7"/>
      <c r="G62" s="7"/>
      <c r="H62" s="7"/>
      <c r="I62" s="8"/>
    </row>
    <row r="63" spans="1:9" ht="15.5" x14ac:dyDescent="0.35">
      <c r="A63" s="5"/>
      <c r="B63" s="6"/>
      <c r="C63" s="7"/>
      <c r="D63" s="7"/>
      <c r="E63" s="7"/>
      <c r="F63" s="7"/>
      <c r="G63" s="7"/>
      <c r="H63" s="7"/>
      <c r="I63" s="8"/>
    </row>
    <row r="64" spans="1:9" ht="15.5" x14ac:dyDescent="0.35">
      <c r="A64" s="5"/>
      <c r="B64" s="6"/>
      <c r="C64" s="7"/>
      <c r="D64" s="7"/>
      <c r="E64" s="7"/>
      <c r="F64" s="7"/>
      <c r="G64" s="7"/>
      <c r="H64" s="7"/>
      <c r="I64" s="8"/>
    </row>
    <row r="65" spans="1:9" ht="15.5" x14ac:dyDescent="0.35">
      <c r="A65" s="5"/>
      <c r="B65" s="6"/>
      <c r="C65" s="7"/>
      <c r="D65" s="7"/>
      <c r="E65" s="7"/>
      <c r="F65" s="7"/>
      <c r="G65" s="7"/>
      <c r="H65" s="7"/>
      <c r="I65" s="8"/>
    </row>
    <row r="66" spans="1:9" ht="15.5" x14ac:dyDescent="0.35">
      <c r="A66" s="5"/>
      <c r="B66" s="6"/>
      <c r="C66" s="7"/>
      <c r="D66" s="7"/>
      <c r="E66" s="7"/>
      <c r="F66" s="7"/>
      <c r="G66" s="7"/>
      <c r="H66" s="7"/>
      <c r="I66" s="8"/>
    </row>
    <row r="67" spans="1:9" ht="15.5" x14ac:dyDescent="0.35">
      <c r="A67" s="5"/>
      <c r="B67" s="6"/>
      <c r="C67" s="7"/>
      <c r="D67" s="7"/>
      <c r="E67" s="7"/>
      <c r="F67" s="7"/>
      <c r="G67" s="7"/>
      <c r="H67" s="7"/>
      <c r="I67" s="8"/>
    </row>
    <row r="68" spans="1:9" ht="15.5" x14ac:dyDescent="0.35">
      <c r="A68" s="5"/>
      <c r="B68" s="6"/>
      <c r="C68" s="7"/>
      <c r="D68" s="7"/>
      <c r="E68" s="7"/>
      <c r="F68" s="7"/>
      <c r="G68" s="7"/>
      <c r="H68" s="7"/>
      <c r="I68" s="8"/>
    </row>
    <row r="69" spans="1:9" ht="15.5" x14ac:dyDescent="0.35">
      <c r="A69" s="5"/>
      <c r="B69" s="6"/>
      <c r="C69" s="7"/>
      <c r="D69" s="7"/>
      <c r="E69" s="7"/>
      <c r="F69" s="7"/>
      <c r="G69" s="7"/>
      <c r="H69" s="7"/>
      <c r="I69" s="8"/>
    </row>
    <row r="70" spans="1:9" ht="15.5" x14ac:dyDescent="0.35">
      <c r="A70" s="5"/>
      <c r="B70" s="6"/>
      <c r="C70" s="7"/>
      <c r="D70" s="7"/>
      <c r="E70" s="7"/>
      <c r="F70" s="7"/>
      <c r="G70" s="7"/>
      <c r="H70" s="7"/>
      <c r="I70" s="8"/>
    </row>
    <row r="71" spans="1:9" ht="15.5" x14ac:dyDescent="0.35">
      <c r="A71" s="5"/>
      <c r="B71" s="6"/>
      <c r="C71" s="7"/>
      <c r="D71" s="7"/>
      <c r="E71" s="7"/>
      <c r="F71" s="7"/>
      <c r="G71" s="7"/>
      <c r="H71" s="7"/>
      <c r="I71" s="8"/>
    </row>
    <row r="72" spans="1:9" ht="15.5" x14ac:dyDescent="0.35">
      <c r="A72" s="5"/>
      <c r="B72" s="6"/>
      <c r="C72" s="7"/>
      <c r="D72" s="7"/>
      <c r="E72" s="7"/>
      <c r="F72" s="7"/>
      <c r="G72" s="7"/>
      <c r="H72" s="7"/>
      <c r="I72" s="8"/>
    </row>
    <row r="73" spans="1:9" ht="15.5" x14ac:dyDescent="0.35">
      <c r="A73" s="5"/>
      <c r="B73" s="6"/>
      <c r="C73" s="7"/>
      <c r="D73" s="7"/>
      <c r="E73" s="7"/>
      <c r="F73" s="7"/>
      <c r="G73" s="7"/>
      <c r="H73" s="7"/>
      <c r="I73" s="8"/>
    </row>
    <row r="74" spans="1:9" ht="15.5" x14ac:dyDescent="0.35">
      <c r="A74" s="5"/>
      <c r="B74" s="6"/>
      <c r="C74" s="7"/>
      <c r="D74" s="7"/>
      <c r="E74" s="7"/>
      <c r="F74" s="7"/>
      <c r="G74" s="7"/>
      <c r="H74" s="7"/>
      <c r="I74" s="8"/>
    </row>
    <row r="75" spans="1:9" ht="15.5" x14ac:dyDescent="0.35">
      <c r="A75" s="5"/>
      <c r="B75" s="6"/>
      <c r="C75" s="7"/>
      <c r="D75" s="7"/>
      <c r="E75" s="7"/>
      <c r="F75" s="7"/>
      <c r="G75" s="7"/>
      <c r="H75" s="7"/>
      <c r="I75" s="8"/>
    </row>
    <row r="76" spans="1:9" ht="15.5" x14ac:dyDescent="0.35">
      <c r="A76" s="5"/>
      <c r="B76" s="6"/>
      <c r="C76" s="7"/>
      <c r="D76" s="7"/>
      <c r="E76" s="7"/>
      <c r="F76" s="7"/>
      <c r="G76" s="7"/>
      <c r="H76" s="7"/>
      <c r="I76" s="8"/>
    </row>
    <row r="77" spans="1:9" ht="15.5" x14ac:dyDescent="0.35">
      <c r="A77" s="5"/>
      <c r="B77" s="6"/>
      <c r="C77" s="7"/>
      <c r="D77" s="7"/>
      <c r="E77" s="7"/>
      <c r="F77" s="7"/>
      <c r="G77" s="7"/>
      <c r="H77" s="7"/>
      <c r="I77" s="8"/>
    </row>
    <row r="78" spans="1:9" ht="15.5" x14ac:dyDescent="0.35">
      <c r="A78" s="5"/>
      <c r="B78" s="6"/>
      <c r="C78" s="7"/>
      <c r="D78" s="7"/>
      <c r="E78" s="7"/>
      <c r="F78" s="7"/>
      <c r="G78" s="7"/>
      <c r="H78" s="7"/>
      <c r="I78" s="8"/>
    </row>
    <row r="79" spans="1:9" ht="15.5" x14ac:dyDescent="0.35">
      <c r="A79" s="5"/>
      <c r="B79" s="6"/>
      <c r="C79" s="7"/>
      <c r="D79" s="7"/>
      <c r="E79" s="7"/>
      <c r="F79" s="7"/>
      <c r="G79" s="7"/>
      <c r="H79" s="7"/>
      <c r="I79" s="8"/>
    </row>
    <row r="80" spans="1:9" ht="15.5" x14ac:dyDescent="0.35">
      <c r="A80" s="5"/>
      <c r="B80" s="6"/>
      <c r="C80" s="7"/>
      <c r="D80" s="7"/>
      <c r="E80" s="7"/>
      <c r="F80" s="7"/>
      <c r="G80" s="7"/>
      <c r="H80" s="7"/>
      <c r="I80" s="8"/>
    </row>
    <row r="81" spans="1:9" ht="15.5" x14ac:dyDescent="0.35">
      <c r="A81" s="5"/>
      <c r="B81" s="6"/>
      <c r="C81" s="7"/>
      <c r="D81" s="7"/>
      <c r="E81" s="7"/>
      <c r="F81" s="7"/>
      <c r="G81" s="7"/>
      <c r="H81" s="7"/>
      <c r="I81" s="8"/>
    </row>
    <row r="82" spans="1:9" ht="15.5" x14ac:dyDescent="0.35">
      <c r="A82" s="5"/>
      <c r="B82" s="6"/>
      <c r="C82" s="7"/>
      <c r="D82" s="7"/>
      <c r="E82" s="7"/>
      <c r="F82" s="7"/>
      <c r="G82" s="7"/>
      <c r="H82" s="7"/>
      <c r="I82" s="8"/>
    </row>
    <row r="83" spans="1:9" ht="15.5" x14ac:dyDescent="0.35">
      <c r="A83" s="5"/>
      <c r="B83" s="6"/>
      <c r="C83" s="7"/>
      <c r="D83" s="7"/>
      <c r="E83" s="7"/>
      <c r="F83" s="7"/>
      <c r="G83" s="7"/>
      <c r="H83" s="7"/>
      <c r="I83" s="8"/>
    </row>
    <row r="84" spans="1:9" ht="15.5" x14ac:dyDescent="0.35">
      <c r="A84" s="5"/>
      <c r="B84" s="6"/>
      <c r="C84" s="7"/>
      <c r="D84" s="7"/>
      <c r="E84" s="7"/>
      <c r="F84" s="7"/>
      <c r="G84" s="7"/>
      <c r="H84" s="7"/>
      <c r="I84" s="8"/>
    </row>
    <row r="85" spans="1:9" ht="15.5" x14ac:dyDescent="0.35">
      <c r="A85" s="5"/>
      <c r="B85" s="6"/>
      <c r="C85" s="7"/>
      <c r="D85" s="7"/>
      <c r="E85" s="7"/>
      <c r="F85" s="7"/>
      <c r="G85" s="7"/>
      <c r="H85" s="7"/>
      <c r="I85" s="8"/>
    </row>
    <row r="86" spans="1:9" ht="15.5" x14ac:dyDescent="0.35">
      <c r="A86" s="5"/>
      <c r="B86" s="6"/>
      <c r="C86" s="7"/>
      <c r="D86" s="7"/>
      <c r="E86" s="7"/>
      <c r="F86" s="7"/>
      <c r="G86" s="7"/>
      <c r="H86" s="7"/>
      <c r="I86" s="8"/>
    </row>
    <row r="87" spans="1:9" ht="15.5" x14ac:dyDescent="0.35">
      <c r="A87" s="5"/>
      <c r="B87" s="6"/>
      <c r="C87" s="7"/>
      <c r="D87" s="7"/>
      <c r="E87" s="7"/>
      <c r="F87" s="7"/>
      <c r="G87" s="7"/>
      <c r="H87" s="7"/>
      <c r="I87" s="8"/>
    </row>
    <row r="88" spans="1:9" ht="15.5" x14ac:dyDescent="0.35">
      <c r="A88" s="5"/>
      <c r="B88" s="6"/>
      <c r="C88" s="7"/>
      <c r="D88" s="7"/>
      <c r="E88" s="7"/>
      <c r="F88" s="7"/>
      <c r="G88" s="7"/>
      <c r="H88" s="7"/>
      <c r="I88" s="8"/>
    </row>
    <row r="89" spans="1:9" ht="15.5" x14ac:dyDescent="0.35">
      <c r="A89" s="5"/>
      <c r="B89" s="6"/>
      <c r="C89" s="7"/>
      <c r="D89" s="7"/>
      <c r="E89" s="7"/>
      <c r="F89" s="7"/>
      <c r="G89" s="7"/>
      <c r="H89" s="7"/>
      <c r="I89" s="8"/>
    </row>
    <row r="90" spans="1:9" ht="15.5" x14ac:dyDescent="0.35">
      <c r="A90" s="5"/>
      <c r="B90" s="6"/>
      <c r="C90" s="7"/>
      <c r="D90" s="7"/>
      <c r="E90" s="7"/>
      <c r="F90" s="7"/>
      <c r="G90" s="7"/>
      <c r="H90" s="7"/>
      <c r="I90" s="8"/>
    </row>
    <row r="91" spans="1:9" ht="15.5" x14ac:dyDescent="0.35">
      <c r="A91" s="5"/>
      <c r="B91" s="6"/>
      <c r="C91" s="7"/>
      <c r="D91" s="7"/>
      <c r="E91" s="7"/>
      <c r="F91" s="7"/>
      <c r="G91" s="7"/>
      <c r="H91" s="7"/>
      <c r="I91" s="8"/>
    </row>
    <row r="92" spans="1:9" ht="15.5" x14ac:dyDescent="0.35">
      <c r="A92" s="5"/>
      <c r="B92" s="6"/>
      <c r="C92" s="7"/>
      <c r="D92" s="7"/>
      <c r="E92" s="7"/>
      <c r="F92" s="7"/>
      <c r="G92" s="7"/>
      <c r="H92" s="7"/>
      <c r="I92" s="8"/>
    </row>
    <row r="93" spans="1:9" ht="15.5" x14ac:dyDescent="0.35">
      <c r="A93" s="5"/>
      <c r="B93" s="6"/>
      <c r="C93" s="7"/>
      <c r="D93" s="7"/>
      <c r="E93" s="7"/>
      <c r="F93" s="7"/>
      <c r="G93" s="7"/>
      <c r="H93" s="7"/>
      <c r="I93" s="8"/>
    </row>
    <row r="94" spans="1:9" ht="15.5" x14ac:dyDescent="0.35">
      <c r="A94" s="5"/>
      <c r="B94" s="6"/>
      <c r="C94" s="7"/>
      <c r="D94" s="7"/>
      <c r="E94" s="7"/>
      <c r="F94" s="7"/>
      <c r="G94" s="7"/>
      <c r="H94" s="7"/>
      <c r="I94" s="8"/>
    </row>
    <row r="95" spans="1:9" ht="15.5" x14ac:dyDescent="0.35">
      <c r="A95" s="5"/>
      <c r="B95" s="6"/>
      <c r="C95" s="7"/>
      <c r="D95" s="7"/>
      <c r="E95" s="7"/>
      <c r="F95" s="7"/>
      <c r="G95" s="7"/>
      <c r="H95" s="7"/>
      <c r="I95" s="8"/>
    </row>
    <row r="96" spans="1:9" ht="15.5" x14ac:dyDescent="0.35">
      <c r="A96" s="5"/>
      <c r="B96" s="6"/>
      <c r="C96" s="7"/>
      <c r="D96" s="7"/>
      <c r="E96" s="7"/>
      <c r="F96" s="7"/>
      <c r="G96" s="7"/>
      <c r="H96" s="7"/>
      <c r="I96" s="8"/>
    </row>
    <row r="97" spans="1:9" ht="15.5" x14ac:dyDescent="0.35">
      <c r="A97" s="5"/>
      <c r="B97" s="6"/>
      <c r="C97" s="7"/>
      <c r="D97" s="7"/>
      <c r="E97" s="7"/>
      <c r="F97" s="7"/>
      <c r="G97" s="7"/>
      <c r="H97" s="7"/>
      <c r="I97" s="8"/>
    </row>
    <row r="98" spans="1:9" ht="15.5" x14ac:dyDescent="0.35">
      <c r="A98" s="5"/>
      <c r="B98" s="6"/>
      <c r="C98" s="7"/>
      <c r="D98" s="7"/>
      <c r="E98" s="7"/>
      <c r="F98" s="7"/>
      <c r="G98" s="7"/>
      <c r="H98" s="7"/>
      <c r="I98" s="8"/>
    </row>
    <row r="99" spans="1:9" ht="15.5" x14ac:dyDescent="0.35">
      <c r="A99" s="5"/>
      <c r="B99" s="6"/>
      <c r="C99" s="7"/>
      <c r="D99" s="7"/>
      <c r="E99" s="7"/>
      <c r="F99" s="7"/>
      <c r="G99" s="7"/>
      <c r="H99" s="7"/>
      <c r="I99" s="8"/>
    </row>
    <row r="100" spans="1:9" ht="15.5" x14ac:dyDescent="0.35">
      <c r="A100" s="5"/>
      <c r="B100" s="6"/>
      <c r="C100" s="7"/>
      <c r="D100" s="7"/>
      <c r="E100" s="7"/>
      <c r="F100" s="7"/>
      <c r="G100" s="7"/>
      <c r="H100" s="7"/>
      <c r="I100" s="8"/>
    </row>
    <row r="101" spans="1:9" ht="15.5" x14ac:dyDescent="0.35">
      <c r="A101" s="5"/>
      <c r="B101" s="6"/>
      <c r="C101" s="7"/>
      <c r="D101" s="7"/>
      <c r="E101" s="7"/>
      <c r="F101" s="7"/>
      <c r="G101" s="7"/>
      <c r="H101" s="7"/>
      <c r="I101" s="8"/>
    </row>
    <row r="102" spans="1:9" ht="15.5" x14ac:dyDescent="0.35">
      <c r="A102" s="5"/>
      <c r="B102" s="6"/>
      <c r="C102" s="7"/>
      <c r="D102" s="7"/>
      <c r="E102" s="7"/>
      <c r="F102" s="7"/>
      <c r="G102" s="7"/>
      <c r="H102" s="7"/>
      <c r="I102" s="8"/>
    </row>
    <row r="103" spans="1:9" ht="15.5" x14ac:dyDescent="0.35">
      <c r="A103" s="5"/>
      <c r="B103" s="6"/>
      <c r="C103" s="7"/>
      <c r="D103" s="7"/>
      <c r="E103" s="7"/>
      <c r="F103" s="7"/>
      <c r="G103" s="7"/>
      <c r="H103" s="7"/>
      <c r="I103" s="8"/>
    </row>
    <row r="104" spans="1:9" ht="15.5" x14ac:dyDescent="0.35">
      <c r="A104" s="5"/>
      <c r="B104" s="6"/>
      <c r="C104" s="7"/>
      <c r="D104" s="7"/>
      <c r="E104" s="7"/>
      <c r="F104" s="7"/>
      <c r="G104" s="7"/>
      <c r="H104" s="7"/>
      <c r="I104" s="8"/>
    </row>
    <row r="105" spans="1:9" ht="15.5" x14ac:dyDescent="0.35">
      <c r="A105" s="5"/>
      <c r="B105" s="6"/>
      <c r="C105" s="7"/>
      <c r="D105" s="7"/>
      <c r="E105" s="7"/>
      <c r="F105" s="7"/>
      <c r="G105" s="7"/>
      <c r="H105" s="7"/>
      <c r="I105" s="8"/>
    </row>
    <row r="106" spans="1:9" ht="15.5" x14ac:dyDescent="0.35">
      <c r="A106" s="5"/>
      <c r="B106" s="6"/>
      <c r="C106" s="7"/>
      <c r="D106" s="7"/>
      <c r="E106" s="7"/>
      <c r="F106" s="7"/>
      <c r="G106" s="7"/>
      <c r="H106" s="7"/>
      <c r="I106" s="8"/>
    </row>
    <row r="107" spans="1:9" ht="15.5" x14ac:dyDescent="0.35">
      <c r="A107" s="5"/>
      <c r="B107" s="6"/>
      <c r="C107" s="7"/>
      <c r="D107" s="7"/>
      <c r="E107" s="7"/>
      <c r="F107" s="7"/>
      <c r="G107" s="7"/>
      <c r="H107" s="7"/>
      <c r="I107" s="8"/>
    </row>
    <row r="108" spans="1:9" ht="15.5" x14ac:dyDescent="0.35">
      <c r="A108" s="5"/>
      <c r="B108" s="6"/>
      <c r="C108" s="7"/>
      <c r="D108" s="7"/>
      <c r="E108" s="7"/>
      <c r="F108" s="7"/>
      <c r="G108" s="7"/>
      <c r="H108" s="7"/>
      <c r="I108" s="8"/>
    </row>
    <row r="109" spans="1:9" ht="15.5" x14ac:dyDescent="0.35">
      <c r="A109" s="5"/>
      <c r="B109" s="6"/>
      <c r="C109" s="7"/>
      <c r="D109" s="7"/>
      <c r="E109" s="7"/>
      <c r="F109" s="7"/>
      <c r="G109" s="7"/>
      <c r="H109" s="7"/>
      <c r="I109" s="8"/>
    </row>
    <row r="110" spans="1:9" ht="15.5" x14ac:dyDescent="0.35">
      <c r="A110" s="5"/>
      <c r="B110" s="6"/>
      <c r="C110" s="7"/>
      <c r="D110" s="7"/>
      <c r="E110" s="7"/>
      <c r="F110" s="7"/>
      <c r="G110" s="7"/>
      <c r="H110" s="7"/>
      <c r="I110" s="8"/>
    </row>
    <row r="111" spans="1:9" ht="15.5" x14ac:dyDescent="0.35">
      <c r="A111" s="5"/>
      <c r="B111" s="6"/>
      <c r="C111" s="7"/>
      <c r="D111" s="7"/>
      <c r="E111" s="7"/>
      <c r="F111" s="7"/>
      <c r="G111" s="7"/>
      <c r="H111" s="7"/>
      <c r="I111" s="8"/>
    </row>
    <row r="112" spans="1:9" ht="15.5" x14ac:dyDescent="0.35">
      <c r="A112" s="5"/>
      <c r="B112" s="6"/>
      <c r="C112" s="7"/>
      <c r="D112" s="7"/>
      <c r="E112" s="7"/>
      <c r="F112" s="7"/>
      <c r="G112" s="7"/>
      <c r="H112" s="7"/>
      <c r="I112" s="8"/>
    </row>
    <row r="113" spans="1:9" ht="15.5" x14ac:dyDescent="0.35">
      <c r="A113" s="5"/>
      <c r="B113" s="6"/>
      <c r="C113" s="7"/>
      <c r="D113" s="7"/>
      <c r="E113" s="7"/>
      <c r="F113" s="7"/>
      <c r="G113" s="7"/>
      <c r="H113" s="7"/>
      <c r="I113" s="8"/>
    </row>
    <row r="114" spans="1:9" ht="15.5" x14ac:dyDescent="0.35">
      <c r="A114" s="5"/>
      <c r="B114" s="6"/>
      <c r="C114" s="7"/>
      <c r="D114" s="7"/>
      <c r="E114" s="7"/>
      <c r="F114" s="7"/>
      <c r="G114" s="7"/>
      <c r="H114" s="7"/>
      <c r="I114" s="8"/>
    </row>
    <row r="115" spans="1:9" ht="15.5" x14ac:dyDescent="0.35">
      <c r="A115" s="5"/>
      <c r="B115" s="6"/>
      <c r="C115" s="7"/>
      <c r="D115" s="7"/>
      <c r="E115" s="7"/>
      <c r="F115" s="7"/>
      <c r="G115" s="7"/>
      <c r="H115" s="7"/>
      <c r="I115" s="8"/>
    </row>
    <row r="116" spans="1:9" ht="15.5" x14ac:dyDescent="0.35">
      <c r="A116" s="5"/>
      <c r="B116" s="6"/>
      <c r="C116" s="7"/>
      <c r="D116" s="7"/>
      <c r="E116" s="7"/>
      <c r="F116" s="7"/>
      <c r="G116" s="7"/>
      <c r="H116" s="7"/>
      <c r="I116" s="8"/>
    </row>
    <row r="117" spans="1:9" ht="15.5" x14ac:dyDescent="0.35">
      <c r="A117" s="5"/>
      <c r="B117" s="6"/>
      <c r="C117" s="7"/>
      <c r="D117" s="7"/>
      <c r="E117" s="7"/>
      <c r="F117" s="7"/>
      <c r="G117" s="7"/>
      <c r="H117" s="7"/>
      <c r="I117" s="8"/>
    </row>
    <row r="118" spans="1:9" ht="15.5" x14ac:dyDescent="0.35">
      <c r="A118" s="5"/>
      <c r="B118" s="6"/>
      <c r="C118" s="7"/>
      <c r="D118" s="7"/>
      <c r="E118" s="7"/>
      <c r="F118" s="7"/>
      <c r="G118" s="7"/>
      <c r="H118" s="7"/>
      <c r="I118" s="8"/>
    </row>
    <row r="119" spans="1:9" ht="15.5" x14ac:dyDescent="0.35">
      <c r="A119" s="5"/>
      <c r="B119" s="6"/>
      <c r="C119" s="7"/>
      <c r="D119" s="7"/>
      <c r="E119" s="7"/>
      <c r="F119" s="7"/>
      <c r="G119" s="7"/>
      <c r="H119" s="7"/>
      <c r="I119" s="8"/>
    </row>
    <row r="120" spans="1:9" ht="15.5" x14ac:dyDescent="0.35">
      <c r="A120" s="5"/>
      <c r="B120" s="6"/>
      <c r="C120" s="7"/>
      <c r="D120" s="7"/>
      <c r="E120" s="7"/>
      <c r="F120" s="7"/>
      <c r="G120" s="7"/>
      <c r="H120" s="7"/>
      <c r="I120" s="8"/>
    </row>
    <row r="121" spans="1:9" ht="15.5" x14ac:dyDescent="0.35">
      <c r="A121" s="5"/>
      <c r="B121" s="6"/>
      <c r="C121" s="7"/>
      <c r="D121" s="7"/>
      <c r="E121" s="7"/>
      <c r="F121" s="7"/>
      <c r="G121" s="7"/>
      <c r="H121" s="7"/>
      <c r="I121" s="8"/>
    </row>
    <row r="122" spans="1:9" ht="15.5" x14ac:dyDescent="0.35">
      <c r="A122" s="5"/>
      <c r="B122" s="6"/>
      <c r="C122" s="7"/>
      <c r="D122" s="7"/>
      <c r="E122" s="7"/>
      <c r="F122" s="7"/>
      <c r="G122" s="7"/>
      <c r="H122" s="7"/>
      <c r="I122" s="8"/>
    </row>
    <row r="123" spans="1:9" ht="15.5" x14ac:dyDescent="0.35">
      <c r="A123" s="5"/>
      <c r="B123" s="6"/>
      <c r="C123" s="7"/>
      <c r="D123" s="7"/>
      <c r="E123" s="7"/>
      <c r="F123" s="7"/>
      <c r="G123" s="7"/>
      <c r="H123" s="7"/>
      <c r="I123" s="8"/>
    </row>
    <row r="124" spans="1:9" ht="15.5" x14ac:dyDescent="0.35">
      <c r="A124" s="5"/>
      <c r="B124" s="6"/>
      <c r="C124" s="7"/>
      <c r="D124" s="7"/>
      <c r="E124" s="7"/>
      <c r="F124" s="7"/>
      <c r="G124" s="7"/>
      <c r="H124" s="7"/>
      <c r="I124" s="8"/>
    </row>
    <row r="125" spans="1:9" ht="15.5" x14ac:dyDescent="0.35">
      <c r="A125" s="5"/>
      <c r="B125" s="6"/>
      <c r="C125" s="7"/>
      <c r="D125" s="7"/>
      <c r="E125" s="7"/>
      <c r="F125" s="7"/>
      <c r="G125" s="7"/>
      <c r="H125" s="7"/>
      <c r="I125" s="8"/>
    </row>
    <row r="126" spans="1:9" ht="15.5" x14ac:dyDescent="0.35">
      <c r="A126" s="5"/>
      <c r="B126" s="6"/>
      <c r="C126" s="7"/>
      <c r="D126" s="7"/>
      <c r="E126" s="7"/>
      <c r="F126" s="7"/>
      <c r="G126" s="7"/>
      <c r="H126" s="7"/>
      <c r="I126" s="8"/>
    </row>
    <row r="127" spans="1:9" ht="15.5" x14ac:dyDescent="0.35">
      <c r="A127" s="5"/>
      <c r="B127" s="6"/>
      <c r="C127" s="7"/>
      <c r="D127" s="7"/>
      <c r="E127" s="7"/>
      <c r="F127" s="7"/>
      <c r="G127" s="7"/>
      <c r="H127" s="7"/>
      <c r="I127" s="8"/>
    </row>
    <row r="128" spans="1:9" ht="15.5" x14ac:dyDescent="0.35">
      <c r="A128" s="5"/>
      <c r="B128" s="6"/>
      <c r="C128" s="7"/>
      <c r="D128" s="7"/>
      <c r="E128" s="7"/>
      <c r="F128" s="7"/>
      <c r="G128" s="7"/>
      <c r="H128" s="7"/>
      <c r="I128" s="8"/>
    </row>
    <row r="129" spans="1:9" ht="15.5" x14ac:dyDescent="0.35">
      <c r="A129" s="5"/>
      <c r="B129" s="6"/>
      <c r="C129" s="7"/>
      <c r="D129" s="7"/>
      <c r="E129" s="7"/>
      <c r="F129" s="7"/>
      <c r="G129" s="7"/>
      <c r="H129" s="7"/>
      <c r="I129" s="8"/>
    </row>
    <row r="130" spans="1:9" ht="15.5" x14ac:dyDescent="0.35">
      <c r="A130" s="5"/>
      <c r="B130" s="6"/>
      <c r="C130" s="7"/>
      <c r="D130" s="7"/>
      <c r="E130" s="7"/>
      <c r="F130" s="7"/>
      <c r="G130" s="7"/>
      <c r="H130" s="7"/>
      <c r="I130" s="8"/>
    </row>
    <row r="131" spans="1:9" ht="15.5" x14ac:dyDescent="0.35">
      <c r="A131" s="5"/>
      <c r="B131" s="6"/>
      <c r="C131" s="7"/>
      <c r="D131" s="7"/>
      <c r="E131" s="7"/>
      <c r="F131" s="7"/>
      <c r="G131" s="7"/>
      <c r="H131" s="7"/>
      <c r="I131" s="8"/>
    </row>
    <row r="132" spans="1:9" ht="15.5" x14ac:dyDescent="0.35">
      <c r="A132" s="5"/>
      <c r="B132" s="6"/>
      <c r="C132" s="7"/>
      <c r="D132" s="7"/>
      <c r="E132" s="7"/>
      <c r="F132" s="7"/>
      <c r="G132" s="7"/>
      <c r="H132" s="7"/>
      <c r="I132" s="8"/>
    </row>
    <row r="133" spans="1:9" ht="15.5" x14ac:dyDescent="0.35">
      <c r="A133" s="5"/>
      <c r="B133" s="6"/>
      <c r="C133" s="7"/>
      <c r="D133" s="7"/>
      <c r="E133" s="7"/>
      <c r="F133" s="7"/>
      <c r="G133" s="7"/>
      <c r="H133" s="7"/>
      <c r="I133" s="8"/>
    </row>
    <row r="134" spans="1:9" ht="15.5" x14ac:dyDescent="0.35">
      <c r="A134" s="5"/>
      <c r="B134" s="6"/>
      <c r="C134" s="7"/>
      <c r="D134" s="7"/>
      <c r="E134" s="7"/>
      <c r="F134" s="7"/>
      <c r="G134" s="7"/>
      <c r="H134" s="7"/>
      <c r="I134" s="8"/>
    </row>
    <row r="135" spans="1:9" ht="15.5" x14ac:dyDescent="0.35">
      <c r="A135" s="5"/>
      <c r="B135" s="6"/>
      <c r="C135" s="7"/>
      <c r="D135" s="7"/>
      <c r="E135" s="7"/>
      <c r="F135" s="7"/>
      <c r="G135" s="7"/>
      <c r="H135" s="7"/>
      <c r="I135" s="8"/>
    </row>
    <row r="136" spans="1:9" ht="15.5" x14ac:dyDescent="0.35">
      <c r="A136" s="5"/>
      <c r="B136" s="6"/>
      <c r="C136" s="7"/>
      <c r="D136" s="7"/>
      <c r="E136" s="7"/>
      <c r="F136" s="7"/>
      <c r="G136" s="7"/>
      <c r="H136" s="7"/>
      <c r="I136" s="8"/>
    </row>
    <row r="137" spans="1:9" ht="15.5" x14ac:dyDescent="0.35">
      <c r="A137" s="5"/>
      <c r="B137" s="6"/>
      <c r="C137" s="7"/>
      <c r="D137" s="7"/>
      <c r="E137" s="7"/>
      <c r="F137" s="7"/>
      <c r="G137" s="7"/>
      <c r="H137" s="7"/>
      <c r="I137" s="8"/>
    </row>
    <row r="138" spans="1:9" ht="15.5" x14ac:dyDescent="0.35">
      <c r="A138" s="5"/>
      <c r="B138" s="6"/>
      <c r="C138" s="7"/>
      <c r="D138" s="7"/>
      <c r="E138" s="7"/>
      <c r="F138" s="7"/>
      <c r="G138" s="7"/>
      <c r="H138" s="7"/>
      <c r="I138" s="8"/>
    </row>
    <row r="139" spans="1:9" ht="15.5" x14ac:dyDescent="0.35">
      <c r="A139" s="5"/>
      <c r="B139" s="6"/>
      <c r="C139" s="7"/>
      <c r="D139" s="7"/>
      <c r="E139" s="7"/>
      <c r="F139" s="7"/>
      <c r="G139" s="7"/>
      <c r="H139" s="7"/>
      <c r="I139" s="8"/>
    </row>
    <row r="140" spans="1:9" ht="15.5" x14ac:dyDescent="0.35">
      <c r="A140" s="5"/>
      <c r="B140" s="6"/>
      <c r="C140" s="7"/>
      <c r="D140" s="7"/>
      <c r="E140" s="7"/>
      <c r="F140" s="7"/>
      <c r="G140" s="7"/>
      <c r="H140" s="7"/>
      <c r="I140" s="8"/>
    </row>
    <row r="141" spans="1:9" ht="15.5" x14ac:dyDescent="0.35">
      <c r="A141" s="5"/>
      <c r="B141" s="6"/>
      <c r="C141" s="7"/>
      <c r="D141" s="7"/>
      <c r="E141" s="7"/>
      <c r="F141" s="7"/>
      <c r="G141" s="7"/>
      <c r="H141" s="7"/>
      <c r="I141" s="8"/>
    </row>
    <row r="142" spans="1:9" ht="15.5" x14ac:dyDescent="0.35">
      <c r="A142" s="5"/>
      <c r="B142" s="6"/>
      <c r="C142" s="7"/>
      <c r="D142" s="7"/>
      <c r="E142" s="7"/>
      <c r="F142" s="7"/>
      <c r="G142" s="7"/>
      <c r="H142" s="7"/>
      <c r="I142" s="8"/>
    </row>
    <row r="143" spans="1:9" ht="15.5" x14ac:dyDescent="0.35">
      <c r="A143" s="5"/>
      <c r="B143" s="6"/>
      <c r="C143" s="7"/>
      <c r="D143" s="7"/>
      <c r="E143" s="7"/>
      <c r="F143" s="7"/>
      <c r="G143" s="7"/>
      <c r="H143" s="7"/>
      <c r="I143" s="8"/>
    </row>
    <row r="144" spans="1:9" ht="15.5" x14ac:dyDescent="0.35">
      <c r="A144" s="5"/>
      <c r="B144" s="6"/>
      <c r="C144" s="7"/>
      <c r="D144" s="7"/>
      <c r="E144" s="7"/>
      <c r="F144" s="7"/>
      <c r="G144" s="7"/>
      <c r="H144" s="7"/>
      <c r="I144" s="8"/>
    </row>
    <row r="145" spans="1:9" ht="15.5" x14ac:dyDescent="0.35">
      <c r="A145" s="5"/>
      <c r="B145" s="6"/>
      <c r="C145" s="7"/>
      <c r="D145" s="7"/>
      <c r="E145" s="7"/>
      <c r="F145" s="7"/>
      <c r="G145" s="7"/>
      <c r="H145" s="7"/>
      <c r="I145" s="8"/>
    </row>
    <row r="146" spans="1:9" ht="15.5" x14ac:dyDescent="0.35">
      <c r="A146" s="5"/>
      <c r="B146" s="6"/>
      <c r="C146" s="7"/>
      <c r="D146" s="7"/>
      <c r="E146" s="7"/>
      <c r="F146" s="7"/>
      <c r="G146" s="7"/>
      <c r="H146" s="7"/>
      <c r="I146" s="8"/>
    </row>
    <row r="147" spans="1:9" ht="15.5" x14ac:dyDescent="0.35">
      <c r="A147" s="5"/>
      <c r="B147" s="6"/>
      <c r="C147" s="7"/>
      <c r="D147" s="7"/>
      <c r="E147" s="7"/>
      <c r="F147" s="7"/>
      <c r="G147" s="7"/>
      <c r="H147" s="7"/>
      <c r="I147" s="8"/>
    </row>
    <row r="148" spans="1:9" ht="15.5" x14ac:dyDescent="0.35">
      <c r="A148" s="5"/>
      <c r="B148" s="6"/>
      <c r="C148" s="7"/>
      <c r="D148" s="7"/>
      <c r="E148" s="7"/>
      <c r="F148" s="7"/>
      <c r="G148" s="7"/>
      <c r="H148" s="7"/>
      <c r="I148" s="8"/>
    </row>
    <row r="149" spans="1:9" ht="15.5" x14ac:dyDescent="0.35">
      <c r="A149" s="5"/>
      <c r="B149" s="6"/>
      <c r="C149" s="7"/>
      <c r="D149" s="7"/>
      <c r="E149" s="7"/>
      <c r="F149" s="7"/>
      <c r="G149" s="7"/>
      <c r="H149" s="7"/>
      <c r="I149" s="8"/>
    </row>
    <row r="150" spans="1:9" ht="15.5" x14ac:dyDescent="0.35">
      <c r="A150" s="5"/>
      <c r="B150" s="6"/>
      <c r="C150" s="7"/>
      <c r="D150" s="7"/>
      <c r="E150" s="7"/>
      <c r="F150" s="7"/>
      <c r="G150" s="7"/>
      <c r="H150" s="7"/>
      <c r="I150" s="8"/>
    </row>
    <row r="151" spans="1:9" ht="15.5" x14ac:dyDescent="0.35">
      <c r="A151" s="5"/>
      <c r="B151" s="6"/>
      <c r="C151" s="7"/>
      <c r="D151" s="7"/>
      <c r="E151" s="7"/>
      <c r="F151" s="7"/>
      <c r="G151" s="7"/>
      <c r="H151" s="7"/>
      <c r="I151" s="8"/>
    </row>
    <row r="152" spans="1:9" ht="15.5" x14ac:dyDescent="0.35">
      <c r="A152" s="5"/>
      <c r="B152" s="6"/>
      <c r="C152" s="7"/>
      <c r="D152" s="7"/>
      <c r="E152" s="7"/>
      <c r="F152" s="7"/>
      <c r="G152" s="7"/>
      <c r="H152" s="7"/>
      <c r="I152" s="8"/>
    </row>
    <row r="153" spans="1:9" ht="15.5" x14ac:dyDescent="0.35">
      <c r="A153" s="5"/>
      <c r="B153" s="6"/>
      <c r="C153" s="7"/>
      <c r="D153" s="7"/>
      <c r="E153" s="7"/>
      <c r="F153" s="7"/>
      <c r="G153" s="7"/>
      <c r="H153" s="7"/>
      <c r="I153" s="8"/>
    </row>
    <row r="154" spans="1:9" ht="15.5" x14ac:dyDescent="0.35">
      <c r="A154" s="5"/>
      <c r="B154" s="6"/>
      <c r="C154" s="7"/>
      <c r="D154" s="7"/>
      <c r="E154" s="7"/>
      <c r="F154" s="7"/>
      <c r="G154" s="7"/>
      <c r="H154" s="7"/>
      <c r="I154" s="8"/>
    </row>
    <row r="155" spans="1:9" ht="15.5" x14ac:dyDescent="0.35">
      <c r="A155" s="5"/>
      <c r="B155" s="6"/>
      <c r="C155" s="7"/>
      <c r="D155" s="7"/>
      <c r="E155" s="7"/>
      <c r="F155" s="7"/>
      <c r="G155" s="7"/>
      <c r="H155" s="7"/>
      <c r="I155" s="8"/>
    </row>
    <row r="156" spans="1:9" ht="15.5" x14ac:dyDescent="0.35">
      <c r="A156" s="5"/>
      <c r="B156" s="6"/>
      <c r="C156" s="7"/>
      <c r="D156" s="7"/>
      <c r="E156" s="7"/>
      <c r="F156" s="7"/>
      <c r="G156" s="7"/>
      <c r="H156" s="7"/>
      <c r="I156" s="8"/>
    </row>
    <row r="157" spans="1:9" ht="15.5" x14ac:dyDescent="0.35">
      <c r="A157" s="5"/>
      <c r="B157" s="6"/>
      <c r="C157" s="7"/>
      <c r="D157" s="7"/>
      <c r="E157" s="7"/>
      <c r="F157" s="7"/>
      <c r="G157" s="7"/>
      <c r="H157" s="7"/>
      <c r="I157" s="8"/>
    </row>
    <row r="158" spans="1:9" ht="15.5" x14ac:dyDescent="0.35">
      <c r="A158" s="5"/>
      <c r="B158" s="6"/>
      <c r="C158" s="7"/>
      <c r="D158" s="7"/>
      <c r="E158" s="7"/>
      <c r="F158" s="7"/>
      <c r="G158" s="7"/>
      <c r="H158" s="7"/>
      <c r="I158" s="8"/>
    </row>
    <row r="159" spans="1:9" ht="15.5" x14ac:dyDescent="0.35">
      <c r="A159" s="5"/>
      <c r="B159" s="6"/>
      <c r="C159" s="7"/>
      <c r="D159" s="7"/>
      <c r="E159" s="7"/>
      <c r="F159" s="7"/>
      <c r="G159" s="7"/>
      <c r="H159" s="7"/>
      <c r="I159" s="8"/>
    </row>
    <row r="160" spans="1:9" ht="15.5" x14ac:dyDescent="0.35">
      <c r="A160" s="5"/>
      <c r="B160" s="6"/>
      <c r="C160" s="7"/>
      <c r="D160" s="7"/>
      <c r="E160" s="7"/>
      <c r="F160" s="7"/>
      <c r="G160" s="7"/>
      <c r="H160" s="7"/>
      <c r="I160" s="8"/>
    </row>
    <row r="161" spans="1:9" ht="15.5" x14ac:dyDescent="0.35">
      <c r="A161" s="5"/>
      <c r="B161" s="6"/>
      <c r="C161" s="7"/>
      <c r="D161" s="7"/>
      <c r="E161" s="7"/>
      <c r="F161" s="7"/>
      <c r="G161" s="7"/>
      <c r="H161" s="7"/>
      <c r="I161" s="8"/>
    </row>
    <row r="162" spans="1:9" ht="15.5" x14ac:dyDescent="0.35">
      <c r="A162" s="5"/>
      <c r="B162" s="6"/>
      <c r="C162" s="7"/>
      <c r="D162" s="7"/>
      <c r="E162" s="7"/>
      <c r="F162" s="7"/>
      <c r="G162" s="7"/>
      <c r="H162" s="7"/>
      <c r="I162" s="8"/>
    </row>
    <row r="163" spans="1:9" ht="15.5" x14ac:dyDescent="0.35">
      <c r="A163" s="5"/>
      <c r="B163" s="6"/>
      <c r="C163" s="7"/>
      <c r="D163" s="7"/>
      <c r="E163" s="7"/>
      <c r="F163" s="7"/>
      <c r="G163" s="7"/>
      <c r="H163" s="7"/>
      <c r="I163" s="8"/>
    </row>
    <row r="164" spans="1:9" ht="15.5" x14ac:dyDescent="0.35">
      <c r="A164" s="5"/>
      <c r="B164" s="6"/>
      <c r="C164" s="7"/>
      <c r="D164" s="7"/>
      <c r="E164" s="7"/>
      <c r="F164" s="7"/>
      <c r="G164" s="7"/>
      <c r="H164" s="7"/>
      <c r="I164" s="8"/>
    </row>
    <row r="165" spans="1:9" ht="15.5" x14ac:dyDescent="0.35">
      <c r="A165" s="5"/>
      <c r="B165" s="6"/>
      <c r="C165" s="7"/>
      <c r="D165" s="7"/>
      <c r="E165" s="7"/>
      <c r="F165" s="7"/>
      <c r="G165" s="7"/>
      <c r="H165" s="7"/>
      <c r="I165" s="8"/>
    </row>
    <row r="166" spans="1:9" ht="15.5" x14ac:dyDescent="0.35">
      <c r="A166" s="5"/>
      <c r="B166" s="6"/>
      <c r="C166" s="7"/>
      <c r="D166" s="7"/>
      <c r="E166" s="7"/>
      <c r="F166" s="7"/>
      <c r="G166" s="7"/>
      <c r="H166" s="7"/>
      <c r="I166" s="8"/>
    </row>
    <row r="167" spans="1:9" ht="15.5" x14ac:dyDescent="0.35">
      <c r="A167" s="5"/>
      <c r="B167" s="6"/>
      <c r="C167" s="7"/>
      <c r="D167" s="7"/>
      <c r="E167" s="7"/>
      <c r="F167" s="7"/>
      <c r="G167" s="7"/>
      <c r="H167" s="7"/>
      <c r="I167" s="8"/>
    </row>
    <row r="168" spans="1:9" ht="15.5" x14ac:dyDescent="0.35">
      <c r="A168" s="5"/>
      <c r="B168" s="6"/>
      <c r="C168" s="7"/>
      <c r="D168" s="7"/>
      <c r="E168" s="7"/>
      <c r="F168" s="7"/>
      <c r="G168" s="7"/>
      <c r="H168" s="7"/>
      <c r="I168" s="8"/>
    </row>
    <row r="169" spans="1:9" ht="15.5" x14ac:dyDescent="0.35">
      <c r="A169" s="5"/>
      <c r="B169" s="6"/>
      <c r="C169" s="7"/>
      <c r="D169" s="7"/>
      <c r="E169" s="7"/>
      <c r="F169" s="7"/>
      <c r="G169" s="7"/>
      <c r="H169" s="7"/>
      <c r="I169" s="8"/>
    </row>
    <row r="170" spans="1:9" ht="15.5" x14ac:dyDescent="0.35">
      <c r="A170" s="5"/>
      <c r="B170" s="6"/>
      <c r="C170" s="7"/>
      <c r="D170" s="7"/>
      <c r="E170" s="7"/>
      <c r="F170" s="7"/>
      <c r="G170" s="7"/>
      <c r="H170" s="7"/>
      <c r="I170" s="8"/>
    </row>
    <row r="171" spans="1:9" ht="15.5" x14ac:dyDescent="0.35">
      <c r="A171" s="5"/>
      <c r="B171" s="6"/>
      <c r="C171" s="7"/>
      <c r="D171" s="7"/>
      <c r="E171" s="7"/>
      <c r="F171" s="7"/>
      <c r="G171" s="7"/>
      <c r="H171" s="7"/>
      <c r="I171" s="8"/>
    </row>
    <row r="172" spans="1:9" ht="15.5" x14ac:dyDescent="0.35">
      <c r="A172" s="5"/>
      <c r="B172" s="6"/>
      <c r="C172" s="7"/>
      <c r="D172" s="7"/>
      <c r="E172" s="7"/>
      <c r="F172" s="7"/>
      <c r="G172" s="7"/>
      <c r="H172" s="7"/>
      <c r="I172" s="8"/>
    </row>
    <row r="173" spans="1:9" ht="15.5" x14ac:dyDescent="0.35">
      <c r="A173" s="5"/>
      <c r="B173" s="6"/>
      <c r="C173" s="7"/>
      <c r="D173" s="7"/>
      <c r="E173" s="7"/>
      <c r="F173" s="7"/>
      <c r="G173" s="7"/>
      <c r="H173" s="7"/>
      <c r="I173" s="8"/>
    </row>
    <row r="174" spans="1:9" ht="15.5" x14ac:dyDescent="0.35">
      <c r="A174" s="5"/>
      <c r="B174" s="6"/>
      <c r="C174" s="7"/>
      <c r="D174" s="7"/>
      <c r="E174" s="7"/>
      <c r="F174" s="7"/>
      <c r="G174" s="7"/>
      <c r="H174" s="7"/>
      <c r="I174" s="8"/>
    </row>
    <row r="175" spans="1:9" ht="15.5" x14ac:dyDescent="0.35">
      <c r="A175" s="5"/>
      <c r="B175" s="6"/>
      <c r="C175" s="7"/>
      <c r="D175" s="7"/>
      <c r="E175" s="7"/>
      <c r="F175" s="7"/>
      <c r="G175" s="7"/>
      <c r="H175" s="7"/>
      <c r="I175" s="8"/>
    </row>
    <row r="176" spans="1:9" ht="15.5" x14ac:dyDescent="0.35">
      <c r="A176" s="5"/>
      <c r="B176" s="6"/>
      <c r="C176" s="7"/>
      <c r="D176" s="7"/>
      <c r="E176" s="7"/>
      <c r="F176" s="7"/>
      <c r="G176" s="7"/>
      <c r="H176" s="7"/>
      <c r="I176" s="8"/>
    </row>
    <row r="177" spans="1:9" ht="15.5" x14ac:dyDescent="0.35">
      <c r="A177" s="5"/>
      <c r="B177" s="6"/>
      <c r="C177" s="7"/>
      <c r="D177" s="7"/>
      <c r="E177" s="7"/>
      <c r="F177" s="7"/>
      <c r="G177" s="7"/>
      <c r="H177" s="7"/>
      <c r="I177" s="8"/>
    </row>
    <row r="178" spans="1:9" ht="15.5" x14ac:dyDescent="0.35">
      <c r="A178" s="5"/>
      <c r="B178" s="6"/>
      <c r="C178" s="7"/>
      <c r="D178" s="7"/>
      <c r="E178" s="7"/>
      <c r="F178" s="7"/>
      <c r="G178" s="7"/>
      <c r="H178" s="7"/>
      <c r="I178" s="8"/>
    </row>
    <row r="179" spans="1:9" ht="15.5" x14ac:dyDescent="0.35">
      <c r="A179" s="5"/>
      <c r="B179" s="6"/>
      <c r="C179" s="7"/>
      <c r="D179" s="7"/>
      <c r="E179" s="7"/>
      <c r="F179" s="7"/>
      <c r="G179" s="7"/>
      <c r="H179" s="7"/>
      <c r="I179" s="8"/>
    </row>
    <row r="180" spans="1:9" ht="15.5" x14ac:dyDescent="0.35">
      <c r="A180" s="5"/>
      <c r="B180" s="6"/>
      <c r="C180" s="7"/>
      <c r="D180" s="7"/>
      <c r="E180" s="7"/>
      <c r="F180" s="7"/>
      <c r="G180" s="7"/>
      <c r="H180" s="7"/>
      <c r="I180" s="8"/>
    </row>
    <row r="181" spans="1:9" ht="15.5" x14ac:dyDescent="0.35">
      <c r="A181" s="5"/>
      <c r="B181" s="6"/>
      <c r="C181" s="7"/>
      <c r="D181" s="7"/>
      <c r="E181" s="7"/>
      <c r="F181" s="7"/>
      <c r="G181" s="7"/>
      <c r="H181" s="7"/>
      <c r="I181" s="8"/>
    </row>
    <row r="182" spans="1:9" ht="15.5" x14ac:dyDescent="0.35">
      <c r="A182" s="5"/>
      <c r="B182" s="6"/>
      <c r="C182" s="7"/>
      <c r="D182" s="7"/>
      <c r="E182" s="7"/>
      <c r="F182" s="7"/>
      <c r="G182" s="7"/>
      <c r="H182" s="7"/>
      <c r="I182" s="8"/>
    </row>
    <row r="183" spans="1:9" ht="15.5" x14ac:dyDescent="0.35">
      <c r="A183" s="5"/>
      <c r="B183" s="6"/>
      <c r="C183" s="7"/>
      <c r="D183" s="7"/>
      <c r="E183" s="7"/>
      <c r="F183" s="7"/>
      <c r="G183" s="7"/>
      <c r="H183" s="7"/>
      <c r="I183" s="8"/>
    </row>
    <row r="184" spans="1:9" ht="15.5" x14ac:dyDescent="0.35">
      <c r="A184" s="5"/>
      <c r="B184" s="6"/>
      <c r="C184" s="7"/>
      <c r="D184" s="7"/>
      <c r="E184" s="7"/>
      <c r="F184" s="7"/>
      <c r="G184" s="7"/>
      <c r="H184" s="7"/>
      <c r="I184" s="8"/>
    </row>
    <row r="185" spans="1:9" ht="15.5" x14ac:dyDescent="0.35">
      <c r="A185" s="5"/>
      <c r="B185" s="6"/>
      <c r="C185" s="7"/>
      <c r="D185" s="7"/>
      <c r="E185" s="7"/>
      <c r="F185" s="7"/>
      <c r="G185" s="7"/>
      <c r="H185" s="7"/>
      <c r="I185" s="8"/>
    </row>
    <row r="186" spans="1:9" ht="15.5" x14ac:dyDescent="0.35">
      <c r="A186" s="5"/>
      <c r="B186" s="6"/>
      <c r="C186" s="7"/>
      <c r="D186" s="7"/>
      <c r="E186" s="7"/>
      <c r="F186" s="7"/>
      <c r="G186" s="7"/>
      <c r="H186" s="7"/>
      <c r="I186" s="8"/>
    </row>
    <row r="187" spans="1:9" ht="15.5" x14ac:dyDescent="0.35">
      <c r="A187" s="5"/>
      <c r="B187" s="6"/>
      <c r="C187" s="7"/>
      <c r="D187" s="7"/>
      <c r="E187" s="7"/>
      <c r="F187" s="7"/>
      <c r="G187" s="7"/>
      <c r="H187" s="7"/>
      <c r="I187" s="8"/>
    </row>
    <row r="188" spans="1:9" ht="15.5" x14ac:dyDescent="0.35">
      <c r="A188" s="5"/>
      <c r="B188" s="6"/>
      <c r="C188" s="7"/>
      <c r="D188" s="7"/>
      <c r="E188" s="7"/>
      <c r="F188" s="7"/>
      <c r="G188" s="7"/>
      <c r="H188" s="7"/>
      <c r="I188" s="8"/>
    </row>
    <row r="189" spans="1:9" ht="15.5" x14ac:dyDescent="0.35">
      <c r="A189" s="5"/>
      <c r="B189" s="6"/>
      <c r="C189" s="7"/>
      <c r="D189" s="7"/>
      <c r="E189" s="7"/>
      <c r="F189" s="7"/>
      <c r="G189" s="7"/>
      <c r="H189" s="7"/>
      <c r="I189" s="8"/>
    </row>
    <row r="190" spans="1:9" ht="15.5" x14ac:dyDescent="0.35">
      <c r="A190" s="5"/>
      <c r="B190" s="6"/>
      <c r="C190" s="7"/>
      <c r="D190" s="7"/>
      <c r="E190" s="7"/>
      <c r="F190" s="7"/>
      <c r="G190" s="7"/>
      <c r="H190" s="7"/>
      <c r="I190" s="8"/>
    </row>
    <row r="191" spans="1:9" ht="15.5" x14ac:dyDescent="0.35">
      <c r="A191" s="5"/>
      <c r="B191" s="6"/>
      <c r="C191" s="7"/>
      <c r="D191" s="7"/>
      <c r="E191" s="7"/>
      <c r="F191" s="7"/>
      <c r="G191" s="7"/>
      <c r="H191" s="7"/>
      <c r="I191" s="8"/>
    </row>
    <row r="192" spans="1:9" ht="15.5" x14ac:dyDescent="0.35">
      <c r="A192" s="5"/>
      <c r="B192" s="6"/>
      <c r="C192" s="7"/>
      <c r="D192" s="7"/>
      <c r="E192" s="7"/>
      <c r="F192" s="7"/>
      <c r="G192" s="7"/>
      <c r="H192" s="7"/>
      <c r="I192" s="8"/>
    </row>
    <row r="193" spans="1:9" ht="15.5" x14ac:dyDescent="0.35">
      <c r="A193" s="5"/>
      <c r="B193" s="6"/>
      <c r="C193" s="7"/>
      <c r="D193" s="7"/>
      <c r="E193" s="7"/>
      <c r="F193" s="7"/>
      <c r="G193" s="7"/>
      <c r="H193" s="7"/>
      <c r="I193" s="8"/>
    </row>
    <row r="194" spans="1:9" ht="15.5" x14ac:dyDescent="0.35">
      <c r="A194" s="5"/>
      <c r="B194" s="6"/>
      <c r="C194" s="7"/>
      <c r="D194" s="7"/>
      <c r="E194" s="7"/>
      <c r="F194" s="7"/>
      <c r="G194" s="7"/>
      <c r="H194" s="7"/>
      <c r="I194" s="8"/>
    </row>
    <row r="195" spans="1:9" ht="15.5" x14ac:dyDescent="0.35">
      <c r="A195" s="5"/>
      <c r="B195" s="6"/>
      <c r="C195" s="7"/>
      <c r="D195" s="7"/>
      <c r="E195" s="7"/>
      <c r="F195" s="7"/>
      <c r="G195" s="7"/>
      <c r="H195" s="7"/>
      <c r="I195" s="8"/>
    </row>
    <row r="196" spans="1:9" ht="15.5" x14ac:dyDescent="0.35">
      <c r="A196" s="5"/>
      <c r="B196" s="6"/>
      <c r="C196" s="7"/>
      <c r="D196" s="7"/>
      <c r="E196" s="7"/>
      <c r="F196" s="7"/>
      <c r="G196" s="7"/>
      <c r="H196" s="7"/>
      <c r="I196" s="8"/>
    </row>
    <row r="197" spans="1:9" ht="15.5" x14ac:dyDescent="0.35">
      <c r="A197" s="5"/>
      <c r="B197" s="6"/>
      <c r="C197" s="7"/>
      <c r="D197" s="7"/>
      <c r="E197" s="7"/>
      <c r="F197" s="7"/>
      <c r="G197" s="7"/>
      <c r="H197" s="7"/>
      <c r="I197" s="8"/>
    </row>
    <row r="198" spans="1:9" ht="15.5" x14ac:dyDescent="0.35">
      <c r="A198" s="5"/>
      <c r="B198" s="6"/>
      <c r="C198" s="7"/>
      <c r="D198" s="7"/>
      <c r="E198" s="7"/>
      <c r="F198" s="7"/>
      <c r="G198" s="7"/>
      <c r="H198" s="7"/>
      <c r="I198" s="8"/>
    </row>
    <row r="199" spans="1:9" ht="15.5" x14ac:dyDescent="0.35">
      <c r="A199" s="5"/>
      <c r="B199" s="6"/>
      <c r="C199" s="7"/>
      <c r="D199" s="7"/>
      <c r="E199" s="7"/>
      <c r="F199" s="7"/>
      <c r="G199" s="7"/>
      <c r="H199" s="7"/>
      <c r="I199" s="8"/>
    </row>
    <row r="200" spans="1:9" ht="15.5" x14ac:dyDescent="0.35">
      <c r="A200" s="5"/>
      <c r="B200" s="6"/>
      <c r="C200" s="7"/>
      <c r="D200" s="7"/>
      <c r="E200" s="7"/>
      <c r="F200" s="7"/>
      <c r="G200" s="7"/>
      <c r="H200" s="7"/>
      <c r="I200" s="8"/>
    </row>
    <row r="201" spans="1:9" ht="15.5" x14ac:dyDescent="0.35">
      <c r="A201" s="5"/>
      <c r="B201" s="6"/>
      <c r="C201" s="7"/>
      <c r="D201" s="7"/>
      <c r="E201" s="7"/>
      <c r="F201" s="7"/>
      <c r="G201" s="7"/>
      <c r="H201" s="7"/>
      <c r="I201" s="8"/>
    </row>
    <row r="202" spans="1:9" ht="15.5" x14ac:dyDescent="0.35">
      <c r="A202" s="5"/>
      <c r="B202" s="6"/>
      <c r="C202" s="7"/>
      <c r="D202" s="7"/>
      <c r="E202" s="7"/>
      <c r="F202" s="7"/>
      <c r="G202" s="7"/>
      <c r="H202" s="7"/>
      <c r="I202" s="8"/>
    </row>
    <row r="203" spans="1:9" ht="15.5" x14ac:dyDescent="0.35">
      <c r="A203" s="5"/>
      <c r="B203" s="6"/>
      <c r="C203" s="7"/>
      <c r="D203" s="7"/>
      <c r="E203" s="7"/>
      <c r="F203" s="7"/>
      <c r="G203" s="7"/>
      <c r="H203" s="7"/>
      <c r="I203" s="8"/>
    </row>
    <row r="204" spans="1:9" ht="15.5" x14ac:dyDescent="0.35">
      <c r="A204" s="5"/>
      <c r="B204" s="6"/>
      <c r="C204" s="7"/>
      <c r="D204" s="7"/>
      <c r="E204" s="7"/>
      <c r="F204" s="7"/>
      <c r="G204" s="7"/>
      <c r="H204" s="7"/>
      <c r="I204" s="8"/>
    </row>
    <row r="205" spans="1:9" ht="15.5" x14ac:dyDescent="0.35">
      <c r="A205" s="5"/>
      <c r="B205" s="6"/>
      <c r="C205" s="7"/>
      <c r="D205" s="7"/>
      <c r="E205" s="7"/>
      <c r="F205" s="7"/>
      <c r="G205" s="7"/>
      <c r="H205" s="7"/>
      <c r="I205" s="8"/>
    </row>
    <row r="206" spans="1:9" ht="15.5" x14ac:dyDescent="0.35">
      <c r="A206" s="5"/>
      <c r="B206" s="6"/>
      <c r="C206" s="7"/>
      <c r="D206" s="7"/>
      <c r="E206" s="7"/>
      <c r="F206" s="7"/>
      <c r="G206" s="7"/>
      <c r="H206" s="7"/>
      <c r="I206" s="8"/>
    </row>
    <row r="207" spans="1:9" ht="15.5" x14ac:dyDescent="0.35">
      <c r="A207" s="5"/>
      <c r="B207" s="6"/>
      <c r="C207" s="7"/>
      <c r="D207" s="7"/>
      <c r="E207" s="7"/>
      <c r="F207" s="7"/>
      <c r="G207" s="7"/>
      <c r="H207" s="7"/>
      <c r="I207" s="8"/>
    </row>
    <row r="208" spans="1:9" ht="15.5" x14ac:dyDescent="0.35">
      <c r="A208" s="5"/>
      <c r="B208" s="6"/>
      <c r="C208" s="7"/>
      <c r="D208" s="7"/>
      <c r="E208" s="7"/>
      <c r="F208" s="7"/>
      <c r="G208" s="7"/>
      <c r="H208" s="7"/>
      <c r="I208" s="8"/>
    </row>
    <row r="209" spans="1:9" ht="15.5" x14ac:dyDescent="0.35">
      <c r="A209" s="5"/>
      <c r="B209" s="6"/>
      <c r="C209" s="7"/>
      <c r="D209" s="7"/>
      <c r="E209" s="7"/>
      <c r="F209" s="7"/>
      <c r="G209" s="7"/>
      <c r="H209" s="7"/>
      <c r="I209" s="8"/>
    </row>
    <row r="210" spans="1:9" ht="15.5" x14ac:dyDescent="0.35">
      <c r="A210" s="5"/>
      <c r="B210" s="6"/>
      <c r="C210" s="7"/>
      <c r="D210" s="7"/>
      <c r="E210" s="7"/>
      <c r="F210" s="7"/>
      <c r="G210" s="7"/>
      <c r="H210" s="7"/>
      <c r="I210" s="8"/>
    </row>
    <row r="211" spans="1:9" ht="15.5" x14ac:dyDescent="0.35">
      <c r="A211" s="5"/>
      <c r="B211" s="6"/>
      <c r="C211" s="7"/>
      <c r="D211" s="7"/>
      <c r="E211" s="7"/>
      <c r="F211" s="7"/>
      <c r="G211" s="7"/>
      <c r="H211" s="7"/>
      <c r="I211" s="8"/>
    </row>
    <row r="212" spans="1:9" ht="15.5" x14ac:dyDescent="0.35">
      <c r="A212" s="5"/>
      <c r="B212" s="6"/>
      <c r="C212" s="7"/>
      <c r="D212" s="7"/>
      <c r="E212" s="7"/>
      <c r="F212" s="7"/>
      <c r="G212" s="7"/>
      <c r="H212" s="7"/>
      <c r="I212" s="8"/>
    </row>
    <row r="213" spans="1:9" ht="15.5" x14ac:dyDescent="0.35">
      <c r="A213" s="5"/>
      <c r="B213" s="6"/>
      <c r="C213" s="7"/>
      <c r="D213" s="7"/>
      <c r="E213" s="7"/>
      <c r="F213" s="7"/>
      <c r="G213" s="7"/>
      <c r="H213" s="7"/>
      <c r="I213" s="8"/>
    </row>
    <row r="214" spans="1:9" ht="15.5" x14ac:dyDescent="0.35">
      <c r="A214" s="5"/>
      <c r="B214" s="6"/>
      <c r="C214" s="7"/>
      <c r="D214" s="7"/>
      <c r="E214" s="7"/>
      <c r="F214" s="7"/>
      <c r="G214" s="7"/>
      <c r="H214" s="7"/>
      <c r="I214" s="8"/>
    </row>
    <row r="215" spans="1:9" ht="15.5" x14ac:dyDescent="0.35">
      <c r="A215" s="5"/>
      <c r="B215" s="6"/>
      <c r="C215" s="7"/>
      <c r="D215" s="7"/>
      <c r="E215" s="7"/>
      <c r="F215" s="7"/>
      <c r="G215" s="7"/>
      <c r="H215" s="7"/>
      <c r="I215" s="8"/>
    </row>
    <row r="216" spans="1:9" ht="15.5" x14ac:dyDescent="0.35">
      <c r="A216" s="5"/>
      <c r="B216" s="6"/>
      <c r="C216" s="7"/>
      <c r="D216" s="7"/>
      <c r="E216" s="7"/>
      <c r="F216" s="7"/>
      <c r="G216" s="7"/>
      <c r="H216" s="7"/>
      <c r="I216" s="8"/>
    </row>
    <row r="217" spans="1:9" ht="15.5" x14ac:dyDescent="0.35">
      <c r="A217" s="5"/>
      <c r="B217" s="6"/>
      <c r="C217" s="7"/>
      <c r="D217" s="7"/>
      <c r="E217" s="7"/>
      <c r="F217" s="7"/>
      <c r="G217" s="7"/>
      <c r="H217" s="7"/>
      <c r="I217" s="8"/>
    </row>
    <row r="218" spans="1:9" ht="15.5" x14ac:dyDescent="0.35">
      <c r="A218" s="5"/>
      <c r="B218" s="6"/>
      <c r="C218" s="7"/>
      <c r="D218" s="7"/>
      <c r="E218" s="7"/>
      <c r="F218" s="7"/>
      <c r="G218" s="7"/>
      <c r="H218" s="7"/>
      <c r="I218" s="8"/>
    </row>
    <row r="219" spans="1:9" ht="15.5" x14ac:dyDescent="0.35">
      <c r="A219" s="5"/>
      <c r="B219" s="6"/>
      <c r="C219" s="7"/>
      <c r="D219" s="7"/>
      <c r="E219" s="7"/>
      <c r="F219" s="7"/>
      <c r="G219" s="7"/>
      <c r="H219" s="7"/>
      <c r="I219" s="8"/>
    </row>
    <row r="220" spans="1:9" ht="15.5" x14ac:dyDescent="0.35">
      <c r="A220" s="5"/>
      <c r="B220" s="6"/>
      <c r="C220" s="7"/>
      <c r="D220" s="7"/>
      <c r="E220" s="7"/>
      <c r="F220" s="7"/>
      <c r="G220" s="7"/>
      <c r="H220" s="7"/>
      <c r="I220" s="8"/>
    </row>
    <row r="221" spans="1:9" ht="15.5" x14ac:dyDescent="0.35">
      <c r="A221" s="5"/>
      <c r="B221" s="6"/>
      <c r="C221" s="7"/>
      <c r="D221" s="7"/>
      <c r="E221" s="7"/>
      <c r="F221" s="7"/>
      <c r="G221" s="7"/>
      <c r="H221" s="7"/>
      <c r="I221" s="8"/>
    </row>
    <row r="222" spans="1:9" ht="15.5" x14ac:dyDescent="0.35">
      <c r="A222" s="5"/>
      <c r="B222" s="6"/>
      <c r="C222" s="7"/>
      <c r="D222" s="7"/>
      <c r="E222" s="7"/>
      <c r="F222" s="7"/>
      <c r="G222" s="7"/>
      <c r="H222" s="7"/>
      <c r="I222" s="8"/>
    </row>
    <row r="223" spans="1:9" ht="15.5" x14ac:dyDescent="0.35">
      <c r="A223" s="5"/>
      <c r="B223" s="6"/>
      <c r="C223" s="7"/>
      <c r="D223" s="7"/>
      <c r="E223" s="7"/>
      <c r="F223" s="7"/>
      <c r="G223" s="7"/>
      <c r="H223" s="7"/>
      <c r="I223" s="8"/>
    </row>
    <row r="224" spans="1:9" ht="15.5" x14ac:dyDescent="0.35">
      <c r="A224" s="5"/>
      <c r="B224" s="6"/>
      <c r="C224" s="7"/>
      <c r="D224" s="7"/>
      <c r="E224" s="7"/>
      <c r="F224" s="7"/>
      <c r="G224" s="7"/>
      <c r="H224" s="7"/>
      <c r="I224" s="8"/>
    </row>
    <row r="225" spans="1:9" ht="15.5" x14ac:dyDescent="0.35">
      <c r="A225" s="5"/>
      <c r="B225" s="6"/>
      <c r="C225" s="7"/>
      <c r="D225" s="7"/>
      <c r="E225" s="7"/>
      <c r="F225" s="7"/>
      <c r="G225" s="7"/>
      <c r="H225" s="7"/>
      <c r="I225" s="8"/>
    </row>
    <row r="226" spans="1:9" ht="15.5" x14ac:dyDescent="0.35">
      <c r="A226" s="5"/>
      <c r="B226" s="6"/>
      <c r="C226" s="7"/>
      <c r="D226" s="7"/>
      <c r="E226" s="7"/>
      <c r="F226" s="7"/>
      <c r="G226" s="7"/>
      <c r="H226" s="7"/>
      <c r="I226" s="8"/>
    </row>
    <row r="227" spans="1:9" ht="15.5" x14ac:dyDescent="0.35">
      <c r="A227" s="5"/>
      <c r="B227" s="6"/>
      <c r="C227" s="7"/>
      <c r="D227" s="7"/>
      <c r="E227" s="7"/>
      <c r="F227" s="7"/>
      <c r="G227" s="7"/>
      <c r="H227" s="7"/>
      <c r="I227" s="8"/>
    </row>
    <row r="228" spans="1:9" ht="15.5" x14ac:dyDescent="0.35">
      <c r="A228" s="5"/>
      <c r="B228" s="6"/>
      <c r="C228" s="7"/>
      <c r="D228" s="7"/>
      <c r="E228" s="7"/>
      <c r="F228" s="7"/>
      <c r="G228" s="7"/>
      <c r="H228" s="7"/>
      <c r="I228" s="8"/>
    </row>
    <row r="229" spans="1:9" ht="15.5" x14ac:dyDescent="0.35">
      <c r="A229" s="5"/>
      <c r="B229" s="6"/>
      <c r="C229" s="7"/>
      <c r="D229" s="7"/>
      <c r="E229" s="7"/>
      <c r="F229" s="7"/>
      <c r="G229" s="7"/>
      <c r="H229" s="7"/>
      <c r="I229" s="8"/>
    </row>
    <row r="230" spans="1:9" ht="15.5" x14ac:dyDescent="0.35">
      <c r="A230" s="5"/>
      <c r="B230" s="6"/>
      <c r="C230" s="7"/>
      <c r="D230" s="7"/>
      <c r="E230" s="7"/>
      <c r="F230" s="7"/>
      <c r="G230" s="7"/>
      <c r="H230" s="7"/>
      <c r="I230" s="8"/>
    </row>
    <row r="231" spans="1:9" ht="15.5" x14ac:dyDescent="0.35">
      <c r="A231" s="5"/>
      <c r="B231" s="6"/>
      <c r="C231" s="7"/>
      <c r="D231" s="7"/>
      <c r="E231" s="7"/>
      <c r="F231" s="7"/>
      <c r="G231" s="7"/>
      <c r="H231" s="7"/>
      <c r="I231" s="8"/>
    </row>
    <row r="232" spans="1:9" ht="15.5" x14ac:dyDescent="0.35">
      <c r="A232" s="5"/>
      <c r="B232" s="6"/>
      <c r="C232" s="7"/>
      <c r="D232" s="7"/>
      <c r="E232" s="7"/>
      <c r="F232" s="7"/>
      <c r="G232" s="7"/>
      <c r="H232" s="7"/>
      <c r="I232" s="8"/>
    </row>
    <row r="233" spans="1:9" ht="15.5" x14ac:dyDescent="0.35">
      <c r="A233" s="5"/>
      <c r="B233" s="6"/>
      <c r="C233" s="7"/>
      <c r="D233" s="7"/>
      <c r="E233" s="7"/>
      <c r="F233" s="7"/>
      <c r="G233" s="7"/>
      <c r="H233" s="7"/>
      <c r="I233" s="8"/>
    </row>
    <row r="234" spans="1:9" ht="15.5" x14ac:dyDescent="0.35">
      <c r="A234" s="5"/>
      <c r="B234" s="6"/>
      <c r="C234" s="7"/>
      <c r="D234" s="7"/>
      <c r="E234" s="7"/>
      <c r="F234" s="7"/>
      <c r="G234" s="7"/>
      <c r="H234" s="7"/>
      <c r="I234" s="8"/>
    </row>
    <row r="235" spans="1:9" ht="15.5" x14ac:dyDescent="0.35">
      <c r="A235" s="5"/>
      <c r="B235" s="6"/>
      <c r="C235" s="7"/>
      <c r="D235" s="7"/>
      <c r="E235" s="7"/>
      <c r="F235" s="7"/>
      <c r="G235" s="7"/>
      <c r="H235" s="7"/>
      <c r="I235" s="8"/>
    </row>
    <row r="236" spans="1:9" ht="15.5" x14ac:dyDescent="0.35">
      <c r="A236" s="5"/>
      <c r="B236" s="6"/>
      <c r="C236" s="7"/>
      <c r="D236" s="7"/>
      <c r="E236" s="7"/>
      <c r="F236" s="7"/>
      <c r="G236" s="7"/>
      <c r="H236" s="7"/>
      <c r="I236" s="8"/>
    </row>
    <row r="237" spans="1:9" ht="15.5" x14ac:dyDescent="0.35">
      <c r="A237" s="5"/>
      <c r="B237" s="6"/>
      <c r="C237" s="7"/>
      <c r="D237" s="7"/>
      <c r="E237" s="7"/>
      <c r="F237" s="7"/>
      <c r="G237" s="7"/>
      <c r="H237" s="7"/>
      <c r="I237" s="8"/>
    </row>
    <row r="238" spans="1:9" ht="15.5" x14ac:dyDescent="0.35">
      <c r="A238" s="5"/>
      <c r="B238" s="6"/>
      <c r="C238" s="7"/>
      <c r="D238" s="7"/>
      <c r="E238" s="7"/>
      <c r="F238" s="7"/>
      <c r="G238" s="7"/>
      <c r="H238" s="7"/>
      <c r="I238" s="8"/>
    </row>
    <row r="239" spans="1:9" ht="15.5" x14ac:dyDescent="0.35">
      <c r="A239" s="5"/>
      <c r="B239" s="6"/>
      <c r="C239" s="7"/>
      <c r="D239" s="7"/>
      <c r="E239" s="7"/>
      <c r="F239" s="7"/>
      <c r="G239" s="7"/>
      <c r="H239" s="7"/>
      <c r="I239" s="8"/>
    </row>
    <row r="240" spans="1:9" ht="15.5" x14ac:dyDescent="0.35">
      <c r="A240" s="5"/>
      <c r="B240" s="6"/>
      <c r="C240" s="7"/>
      <c r="D240" s="7"/>
      <c r="E240" s="7"/>
      <c r="F240" s="7"/>
      <c r="G240" s="7"/>
      <c r="H240" s="7"/>
      <c r="I24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Qurrat Ul Ain i220727</dc:creator>
  <cp:lastModifiedBy>Muhammad Moiz Ansari</cp:lastModifiedBy>
  <dcterms:created xsi:type="dcterms:W3CDTF">2023-09-27T12:35:15Z</dcterms:created>
  <dcterms:modified xsi:type="dcterms:W3CDTF">2023-10-02T03:16:35Z</dcterms:modified>
</cp:coreProperties>
</file>