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Documents\Assignments\ICT\"/>
    </mc:Choice>
  </mc:AlternateContent>
  <xr:revisionPtr revIDLastSave="0" documentId="13_ncr:1_{82AD6CCB-CE5E-4607-9907-F525A44A9D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HWYr+Cdi9hf5ub3SgQfbsUPbTyrUrQXNOJyq/yjUL8="/>
    </ext>
  </extLst>
</workbook>
</file>

<file path=xl/calcChain.xml><?xml version="1.0" encoding="utf-8"?>
<calcChain xmlns="http://schemas.openxmlformats.org/spreadsheetml/2006/main">
  <c r="H2" i="1" l="1" a="1"/>
  <c r="H2" i="1" s="1"/>
  <c r="I2" i="1" s="1"/>
  <c r="J2" i="1" s="1"/>
  <c r="R2" i="1"/>
  <c r="S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H3" i="1" a="1"/>
  <c r="H3" i="1"/>
  <c r="H4" i="1" a="1"/>
  <c r="H4" i="1" s="1"/>
  <c r="H5" i="1" a="1"/>
  <c r="H5" i="1"/>
  <c r="H6" i="1" a="1"/>
  <c r="H6" i="1"/>
  <c r="H7" i="1" a="1"/>
  <c r="H7" i="1"/>
  <c r="H8" i="1" a="1"/>
  <c r="H8" i="1" s="1"/>
  <c r="H9" i="1" a="1"/>
  <c r="H9" i="1" s="1"/>
  <c r="H10" i="1" a="1"/>
  <c r="H10" i="1"/>
  <c r="H11" i="1" a="1"/>
  <c r="H11" i="1" s="1"/>
  <c r="H12" i="1" a="1"/>
  <c r="H12" i="1" s="1"/>
  <c r="H13" i="1" a="1"/>
  <c r="H13" i="1" s="1"/>
  <c r="H14" i="1" a="1"/>
  <c r="H14" i="1"/>
  <c r="H15" i="1" a="1"/>
  <c r="H15" i="1" s="1"/>
  <c r="H16" i="1" a="1"/>
  <c r="H16" i="1" s="1"/>
  <c r="H17" i="1" a="1"/>
  <c r="H17" i="1" s="1"/>
  <c r="H18" i="1" a="1"/>
  <c r="H18" i="1"/>
  <c r="H19" i="1" a="1"/>
  <c r="H19" i="1" s="1"/>
  <c r="H20" i="1" a="1"/>
  <c r="H20" i="1" s="1"/>
  <c r="H21" i="1" a="1"/>
  <c r="H21" i="1" s="1"/>
  <c r="H22" i="1" a="1"/>
  <c r="H22" i="1"/>
  <c r="H23" i="1" a="1"/>
  <c r="H23" i="1" s="1"/>
  <c r="H24" i="1" a="1"/>
  <c r="H24" i="1" s="1"/>
  <c r="H25" i="1" a="1"/>
  <c r="H25" i="1" s="1"/>
  <c r="H26" i="1" a="1"/>
  <c r="H26" i="1"/>
  <c r="H27" i="1" a="1"/>
  <c r="H27" i="1" s="1"/>
  <c r="H28" i="1" a="1"/>
  <c r="H28" i="1" s="1"/>
  <c r="H29" i="1" a="1"/>
  <c r="H29" i="1" s="1"/>
  <c r="H30" i="1" a="1"/>
  <c r="H30" i="1"/>
  <c r="H31" i="1" a="1"/>
  <c r="H31" i="1" s="1"/>
  <c r="H32" i="1" a="1"/>
  <c r="H32" i="1" s="1"/>
  <c r="H33" i="1" a="1"/>
  <c r="H33" i="1" s="1"/>
  <c r="H34" i="1" a="1"/>
  <c r="H34" i="1"/>
  <c r="H35" i="1" a="1"/>
  <c r="H35" i="1" s="1"/>
  <c r="H36" i="1" a="1"/>
  <c r="H36" i="1" s="1"/>
  <c r="H37" i="1" a="1"/>
  <c r="H37" i="1" s="1"/>
  <c r="H38" i="1" a="1"/>
  <c r="H38" i="1"/>
  <c r="H39" i="1" a="1"/>
  <c r="H39" i="1" s="1"/>
  <c r="H40" i="1" a="1"/>
  <c r="H40" i="1" s="1"/>
  <c r="H41" i="1" a="1"/>
  <c r="H41" i="1" s="1"/>
  <c r="H42" i="1" a="1"/>
  <c r="H42" i="1"/>
  <c r="H43" i="1" a="1"/>
  <c r="H43" i="1" s="1"/>
  <c r="H44" i="1" a="1"/>
  <c r="H44" i="1" s="1"/>
  <c r="H45" i="1" a="1"/>
  <c r="H45" i="1" s="1"/>
  <c r="H46" i="1" a="1"/>
  <c r="H46" i="1"/>
  <c r="H47" i="1" a="1"/>
  <c r="H47" i="1" s="1"/>
  <c r="H48" i="1" a="1"/>
  <c r="H48" i="1" s="1"/>
  <c r="H49" i="1" a="1"/>
  <c r="H49" i="1" s="1"/>
  <c r="H50" i="1" a="1"/>
  <c r="H50" i="1"/>
  <c r="H51" i="1" a="1"/>
  <c r="H51" i="1" s="1"/>
  <c r="H52" i="1" a="1"/>
  <c r="H52" i="1" s="1"/>
  <c r="H53" i="1" a="1"/>
  <c r="H53" i="1" s="1"/>
  <c r="H54" i="1" a="1"/>
  <c r="H54" i="1"/>
  <c r="H55" i="1" a="1"/>
  <c r="H55" i="1" s="1"/>
  <c r="H56" i="1" a="1"/>
  <c r="H56" i="1" s="1"/>
  <c r="H57" i="1" a="1"/>
  <c r="H57" i="1" s="1"/>
  <c r="H58" i="1" a="1"/>
  <c r="H58" i="1"/>
  <c r="H59" i="1" a="1"/>
  <c r="H59" i="1" s="1"/>
  <c r="H60" i="1" a="1"/>
  <c r="H60" i="1" s="1"/>
  <c r="H61" i="1" a="1"/>
  <c r="H61" i="1" s="1"/>
  <c r="H62" i="1" a="1"/>
  <c r="H62" i="1"/>
  <c r="H63" i="1" a="1"/>
  <c r="H63" i="1" s="1"/>
  <c r="H64" i="1" a="1"/>
  <c r="H64" i="1" s="1"/>
  <c r="H65" i="1" a="1"/>
  <c r="H65" i="1" s="1"/>
  <c r="H66" i="1" a="1"/>
  <c r="H66" i="1"/>
  <c r="H67" i="1" a="1"/>
  <c r="H67" i="1" s="1"/>
  <c r="H68" i="1" a="1"/>
  <c r="H68" i="1" s="1"/>
  <c r="H69" i="1" a="1"/>
  <c r="H69" i="1" s="1"/>
  <c r="H70" i="1" a="1"/>
  <c r="H70" i="1"/>
  <c r="H71" i="1" a="1"/>
  <c r="H71" i="1" s="1"/>
  <c r="H72" i="1" a="1"/>
  <c r="H72" i="1" s="1"/>
  <c r="H73" i="1" a="1"/>
  <c r="H73" i="1" s="1"/>
  <c r="H74" i="1" a="1"/>
  <c r="H74" i="1"/>
  <c r="H75" i="1" a="1"/>
  <c r="H75" i="1" s="1"/>
  <c r="H76" i="1" a="1"/>
  <c r="H76" i="1" s="1"/>
  <c r="H77" i="1" a="1"/>
  <c r="H77" i="1" s="1"/>
  <c r="H78" i="1" a="1"/>
  <c r="H78" i="1"/>
  <c r="H79" i="1" a="1"/>
  <c r="H79" i="1" s="1"/>
  <c r="H80" i="1" a="1"/>
  <c r="H80" i="1" s="1"/>
  <c r="H81" i="1" a="1"/>
  <c r="H81" i="1" s="1"/>
  <c r="H82" i="1" a="1"/>
  <c r="H82" i="1"/>
  <c r="H83" i="1" a="1"/>
  <c r="H83" i="1" s="1"/>
  <c r="H84" i="1" a="1"/>
  <c r="H84" i="1" s="1"/>
  <c r="H85" i="1" a="1"/>
  <c r="H85" i="1" s="1"/>
  <c r="H86" i="1" a="1"/>
  <c r="H86" i="1"/>
  <c r="H87" i="1" a="1"/>
  <c r="H87" i="1" s="1"/>
  <c r="H88" i="1" a="1"/>
  <c r="H88" i="1" s="1"/>
  <c r="H89" i="1" a="1"/>
  <c r="H89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L2" i="1"/>
  <c r="O2" i="1"/>
  <c r="M2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<sst xmlns="http://schemas.openxmlformats.org/spreadsheetml/2006/main" count="195" uniqueCount="21">
  <si>
    <t>Date</t>
  </si>
  <si>
    <t>Sales Rep</t>
  </si>
  <si>
    <t>Shift</t>
  </si>
  <si>
    <t>Cost Price</t>
  </si>
  <si>
    <t>Selling Price</t>
  </si>
  <si>
    <t>Profit Percentage</t>
  </si>
  <si>
    <r>
      <rPr>
        <b/>
        <sz val="11"/>
        <color theme="1"/>
        <rFont val="Calibri"/>
      </rPr>
      <t xml:space="preserve"> </t>
    </r>
    <r>
      <rPr>
        <b/>
        <sz val="13"/>
        <color theme="1"/>
        <rFont val="Calibri"/>
      </rPr>
      <t xml:space="preserve">  </t>
    </r>
    <r>
      <rPr>
        <b/>
        <sz val="11"/>
        <color theme="1"/>
        <rFont val="Calibri"/>
      </rPr>
      <t>Ben</t>
    </r>
  </si>
  <si>
    <t>Day Shift</t>
  </si>
  <si>
    <t>Night Shift</t>
  </si>
  <si>
    <t>Jacob</t>
  </si>
  <si>
    <t xml:space="preserve"> Night Shift</t>
  </si>
  <si>
    <t xml:space="preserve"> Jacobs Income</t>
  </si>
  <si>
    <t xml:space="preserve">  Day</t>
  </si>
  <si>
    <t xml:space="preserve">  Night</t>
  </si>
  <si>
    <t>Ben</t>
  </si>
  <si>
    <t>Night</t>
  </si>
  <si>
    <t>Day</t>
  </si>
  <si>
    <t>Profit</t>
  </si>
  <si>
    <t>Commission Rate</t>
  </si>
  <si>
    <t>Commission Amount</t>
  </si>
  <si>
    <t>Total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</si>
</sst>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3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3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FFCC"/>
        <bgColor rgb="FFECFF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1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0" xfId="0" applyFont="1"/>
    <xf numFmtId="164" fontId="0" fillId="0" borderId="2" xfId="0" applyNumberFormat="1" applyBorder="1"/>
    <xf numFmtId="164" fontId="0" fillId="0" borderId="0" xfId="0" applyNumberFormat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0" fontId="2" fillId="2" borderId="1" xfId="1" applyNumberFormat="1" applyFont="1" applyFill="1" applyBorder="1"/>
    <xf numFmtId="0" fontId="0" fillId="0" borderId="0" xfId="1" applyNumberFormat="1" applyFont="1"/>
    <xf numFmtId="10" fontId="6" fillId="0" borderId="1" xfId="1" applyNumberFormat="1" applyFont="1" applyBorder="1"/>
    <xf numFmtId="10" fontId="0" fillId="0" borderId="2" xfId="0" applyNumberFormat="1" applyBorder="1"/>
    <xf numFmtId="164" fontId="0" fillId="0" borderId="4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zoomScaleNormal="100" workbookViewId="0">
      <selection activeCell="R2" sqref="R2"/>
    </sheetView>
  </sheetViews>
  <sheetFormatPr defaultColWidth="14.453125" defaultRowHeight="15" customHeight="1" x14ac:dyDescent="0.35"/>
  <cols>
    <col min="1" max="1" width="13.26953125" customWidth="1"/>
    <col min="2" max="2" width="12.08984375" customWidth="1"/>
    <col min="3" max="3" width="6.54296875" customWidth="1"/>
    <col min="4" max="4" width="12.54296875" customWidth="1"/>
    <col min="5" max="5" width="14.26953125" customWidth="1"/>
    <col min="6" max="6" width="18.453125" style="15" customWidth="1"/>
    <col min="7" max="7" width="10.54296875" customWidth="1"/>
    <col min="8" max="8" width="18.08984375" bestFit="1" customWidth="1"/>
    <col min="9" max="9" width="21.6328125" bestFit="1" customWidth="1"/>
    <col min="10" max="10" width="15.54296875" customWidth="1"/>
    <col min="11" max="12" width="8.7265625" customWidth="1"/>
    <col min="13" max="13" width="9.81640625" customWidth="1"/>
    <col min="14" max="15" width="8.7265625" customWidth="1"/>
    <col min="16" max="16" width="10.54296875" customWidth="1"/>
    <col min="17" max="17" width="14.08984375" customWidth="1"/>
    <col min="18" max="20" width="8.7265625" customWidth="1"/>
    <col min="21" max="21" width="9.81640625" bestFit="1" customWidth="1"/>
    <col min="22" max="30" width="8.7265625" customWidth="1"/>
  </cols>
  <sheetData>
    <row r="1" spans="1:19" ht="18.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2" t="s">
        <v>17</v>
      </c>
      <c r="H1" s="11" t="s">
        <v>18</v>
      </c>
      <c r="I1" s="12" t="s">
        <v>19</v>
      </c>
      <c r="J1" s="13" t="s">
        <v>20</v>
      </c>
      <c r="K1" s="3" t="s">
        <v>6</v>
      </c>
      <c r="L1" s="3" t="s">
        <v>7</v>
      </c>
      <c r="M1" s="3" t="s">
        <v>8</v>
      </c>
      <c r="N1" s="4" t="s">
        <v>9</v>
      </c>
      <c r="O1" s="4" t="s">
        <v>7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1:19" ht="15.5" x14ac:dyDescent="0.35">
      <c r="A2" s="5">
        <v>44743</v>
      </c>
      <c r="B2" s="6" t="s">
        <v>14</v>
      </c>
      <c r="C2" s="6" t="s">
        <v>15</v>
      </c>
      <c r="D2" s="7">
        <v>1112.94</v>
      </c>
      <c r="E2" s="7">
        <v>1288</v>
      </c>
      <c r="F2" s="16">
        <f>((E2-D2)/D2)</f>
        <v>0.15729509227811017</v>
      </c>
      <c r="G2" s="9">
        <f>E2-D2</f>
        <v>175.05999999999995</v>
      </c>
      <c r="H2" s="17" cm="1">
        <f t="array" ref="H2">_xlfn.IFS(AND(F2&gt;0%,F2&lt;12%),0%,AND(F2&gt;=12%,F2&lt;=20%),0.5%,F2&gt;20%,1.5%)</f>
        <v>5.0000000000000001E-3</v>
      </c>
      <c r="I2" s="18">
        <f>G2*H2</f>
        <v>0.87529999999999974</v>
      </c>
      <c r="J2" s="9">
        <f>G2+I2</f>
        <v>175.93529999999996</v>
      </c>
      <c r="L2" s="8">
        <f>COUNTIFS(B2:B89, "Ben", C2:C89, "Day")</f>
        <v>17</v>
      </c>
      <c r="M2" s="8">
        <f>COUNTIFS(B2:B89, "Ben", C2:C89, "Night")</f>
        <v>27</v>
      </c>
      <c r="O2" s="8">
        <f>COUNTIFS(B2:B89,"Jacob",C2:C89, "Day")</f>
        <v>27</v>
      </c>
      <c r="P2" s="8">
        <f>COUNTIFS(B2:B89,"Jacob",C2:C89,"Night")</f>
        <v>17</v>
      </c>
      <c r="R2">
        <f>SUMIFS(J2:J89,B2:B89,"Jacob",C2:C89,"Day")</f>
        <v>3381.2958499999995</v>
      </c>
      <c r="S2">
        <f>SUMIFS(J2:J89,B2:B89,"Jacob",C2:C89,"Night")</f>
        <v>2314.2476000000006</v>
      </c>
    </row>
    <row r="3" spans="1:19" ht="15.5" x14ac:dyDescent="0.35">
      <c r="A3" s="5">
        <v>44743</v>
      </c>
      <c r="B3" s="6" t="s">
        <v>9</v>
      </c>
      <c r="C3" s="6" t="s">
        <v>16</v>
      </c>
      <c r="D3" s="7">
        <v>1095.5</v>
      </c>
      <c r="E3" s="7">
        <v>1250.75</v>
      </c>
      <c r="F3" s="16">
        <f t="shared" ref="F3:F66" si="0">((E3-D3)/D3)</f>
        <v>0.14171611136467366</v>
      </c>
      <c r="G3" s="9">
        <f>E3-D3</f>
        <v>155.25</v>
      </c>
      <c r="H3" s="17" cm="1">
        <f t="array" ref="H3">_xlfn.IFS(AND(F3&gt;0%,F3&lt;12%),0%,AND(F3&gt;=12%,F3&lt;=20%),0.5%,F3&gt;20%,1.5%)</f>
        <v>5.0000000000000001E-3</v>
      </c>
      <c r="I3" s="18">
        <f t="shared" ref="I3:I66" si="1">G3*H3</f>
        <v>0.77625</v>
      </c>
      <c r="J3" s="9">
        <f t="shared" ref="J3:J66" si="2">G3+I3</f>
        <v>156.02625</v>
      </c>
    </row>
    <row r="4" spans="1:19" ht="15.5" x14ac:dyDescent="0.35">
      <c r="A4" s="5">
        <v>44746</v>
      </c>
      <c r="B4" s="6" t="s">
        <v>14</v>
      </c>
      <c r="C4" s="6" t="s">
        <v>15</v>
      </c>
      <c r="D4" s="7">
        <v>1120.94</v>
      </c>
      <c r="E4" s="7">
        <v>1295</v>
      </c>
      <c r="F4" s="16">
        <f t="shared" si="0"/>
        <v>0.15528038967295299</v>
      </c>
      <c r="G4" s="9">
        <f>E4-D4</f>
        <v>174.05999999999995</v>
      </c>
      <c r="H4" s="17" cm="1">
        <f t="array" ref="H4">_xlfn.IFS(AND(F4&gt;0%,F4&lt;12%),0%,AND(F4&gt;=12%,F4&lt;=20%),0.5%,F4&gt;20%,1.5%)</f>
        <v>5.0000000000000001E-3</v>
      </c>
      <c r="I4" s="18">
        <f t="shared" si="1"/>
        <v>0.87029999999999974</v>
      </c>
      <c r="J4" s="9">
        <f t="shared" si="2"/>
        <v>174.93029999999993</v>
      </c>
    </row>
    <row r="5" spans="1:19" ht="15.5" x14ac:dyDescent="0.35">
      <c r="A5" s="5">
        <v>44746</v>
      </c>
      <c r="B5" s="6" t="s">
        <v>9</v>
      </c>
      <c r="C5" s="6" t="s">
        <v>16</v>
      </c>
      <c r="D5" s="7">
        <v>1509.73</v>
      </c>
      <c r="E5" s="7">
        <v>1687.75</v>
      </c>
      <c r="F5" s="16">
        <f t="shared" si="0"/>
        <v>0.11791512389632582</v>
      </c>
      <c r="G5" s="9">
        <f>E5-D5</f>
        <v>178.01999999999998</v>
      </c>
      <c r="H5" s="17" cm="1">
        <f t="array" ref="H5">_xlfn.IFS(AND(F5&gt;0%,F5&lt;12%),0%,AND(F5&gt;=12%,F5&lt;=20%),0.5%,F5&gt;20%,1.5%)</f>
        <v>0</v>
      </c>
      <c r="I5" s="18">
        <f t="shared" si="1"/>
        <v>0</v>
      </c>
      <c r="J5" s="9">
        <f t="shared" si="2"/>
        <v>178.01999999999998</v>
      </c>
      <c r="R5" s="8"/>
      <c r="S5" s="8"/>
    </row>
    <row r="6" spans="1:19" ht="15.5" x14ac:dyDescent="0.35">
      <c r="A6" s="5">
        <v>44747</v>
      </c>
      <c r="B6" s="6" t="s">
        <v>14</v>
      </c>
      <c r="C6" s="6" t="s">
        <v>16</v>
      </c>
      <c r="D6" s="7">
        <v>1235.33</v>
      </c>
      <c r="E6" s="7">
        <v>1412.25</v>
      </c>
      <c r="F6" s="16">
        <f t="shared" si="0"/>
        <v>0.14321679227412926</v>
      </c>
      <c r="G6" s="9">
        <f>E6-D6</f>
        <v>176.92000000000007</v>
      </c>
      <c r="H6" s="17" cm="1">
        <f t="array" ref="H6">_xlfn.IFS(AND(F6&gt;0%,F6&lt;12%),0%,AND(F6&gt;=12%,F6&lt;=20%),0.5%,F6&gt;20%,1.5%)</f>
        <v>5.0000000000000001E-3</v>
      </c>
      <c r="I6" s="18">
        <f t="shared" si="1"/>
        <v>0.88460000000000039</v>
      </c>
      <c r="J6" s="9">
        <f t="shared" si="2"/>
        <v>177.80460000000008</v>
      </c>
    </row>
    <row r="7" spans="1:19" ht="15.5" x14ac:dyDescent="0.35">
      <c r="A7" s="5">
        <v>44747</v>
      </c>
      <c r="B7" s="6" t="s">
        <v>9</v>
      </c>
      <c r="C7" s="6" t="s">
        <v>15</v>
      </c>
      <c r="D7" s="7">
        <v>881.93</v>
      </c>
      <c r="E7" s="7">
        <v>962</v>
      </c>
      <c r="F7" s="16">
        <f t="shared" si="0"/>
        <v>9.0789518442506836E-2</v>
      </c>
      <c r="G7" s="9">
        <f>E7-D7</f>
        <v>80.07000000000005</v>
      </c>
      <c r="H7" s="17" cm="1">
        <f t="array" ref="H7">_xlfn.IFS(AND(F7&gt;0%,F7&lt;12%),0%,AND(F7&gt;=12%,F7&lt;=20%),0.5%,F7&gt;20%,1.5%)</f>
        <v>0</v>
      </c>
      <c r="I7" s="18">
        <f t="shared" si="1"/>
        <v>0</v>
      </c>
      <c r="J7" s="9">
        <f t="shared" si="2"/>
        <v>80.07000000000005</v>
      </c>
    </row>
    <row r="8" spans="1:19" ht="15.5" x14ac:dyDescent="0.35">
      <c r="A8" s="5">
        <v>44748</v>
      </c>
      <c r="B8" s="6" t="s">
        <v>14</v>
      </c>
      <c r="C8" s="6" t="s">
        <v>15</v>
      </c>
      <c r="D8" s="7">
        <v>1075.7</v>
      </c>
      <c r="E8" s="7">
        <v>1142.75</v>
      </c>
      <c r="F8" s="16">
        <f t="shared" si="0"/>
        <v>6.2331505066468298E-2</v>
      </c>
      <c r="G8" s="9">
        <f>E8-D8</f>
        <v>67.049999999999955</v>
      </c>
      <c r="H8" s="17" cm="1">
        <f t="array" ref="H8">_xlfn.IFS(AND(F8&gt;0%,F8&lt;12%),0%,AND(F8&gt;=12%,F8&lt;=20%),0.5%,F8&gt;20%,1.5%)</f>
        <v>0</v>
      </c>
      <c r="I8" s="18">
        <f t="shared" si="1"/>
        <v>0</v>
      </c>
      <c r="J8" s="9">
        <f t="shared" si="2"/>
        <v>67.049999999999955</v>
      </c>
    </row>
    <row r="9" spans="1:19" ht="15.5" x14ac:dyDescent="0.35">
      <c r="A9" s="5">
        <v>44748</v>
      </c>
      <c r="B9" s="6" t="s">
        <v>9</v>
      </c>
      <c r="C9" s="6" t="s">
        <v>16</v>
      </c>
      <c r="D9" s="7">
        <v>714.58</v>
      </c>
      <c r="E9" s="7">
        <v>800.5</v>
      </c>
      <c r="F9" s="16">
        <f t="shared" si="0"/>
        <v>0.12023846175375739</v>
      </c>
      <c r="G9" s="9">
        <f>E9-D9</f>
        <v>85.919999999999959</v>
      </c>
      <c r="H9" s="17" cm="1">
        <f t="array" ref="H9">_xlfn.IFS(AND(F9&gt;0%,F9&lt;12%),0%,AND(F9&gt;=12%,F9&lt;=20%),0.5%,F9&gt;20%,1.5%)</f>
        <v>5.0000000000000001E-3</v>
      </c>
      <c r="I9" s="18">
        <f t="shared" si="1"/>
        <v>0.42959999999999982</v>
      </c>
      <c r="J9" s="9">
        <f t="shared" si="2"/>
        <v>86.349599999999953</v>
      </c>
    </row>
    <row r="10" spans="1:19" ht="15.5" x14ac:dyDescent="0.35">
      <c r="A10" s="5">
        <v>44749</v>
      </c>
      <c r="B10" s="6" t="s">
        <v>14</v>
      </c>
      <c r="C10" s="6" t="s">
        <v>16</v>
      </c>
      <c r="D10" s="7">
        <v>1299.1099999999999</v>
      </c>
      <c r="E10" s="7">
        <v>1360</v>
      </c>
      <c r="F10" s="16">
        <f t="shared" si="0"/>
        <v>4.6870549837966076E-2</v>
      </c>
      <c r="G10" s="9">
        <f>E10-D10</f>
        <v>60.8900000000001</v>
      </c>
      <c r="H10" s="17" cm="1">
        <f t="array" ref="H10">_xlfn.IFS(AND(F10&gt;0%,F10&lt;12%),0%,AND(F10&gt;=12%,F10&lt;=20%),0.5%,F10&gt;20%,1.5%)</f>
        <v>0</v>
      </c>
      <c r="I10" s="18">
        <f t="shared" si="1"/>
        <v>0</v>
      </c>
      <c r="J10" s="9">
        <f t="shared" si="2"/>
        <v>60.8900000000001</v>
      </c>
    </row>
    <row r="11" spans="1:19" ht="15.5" x14ac:dyDescent="0.35">
      <c r="A11" s="5">
        <v>44749</v>
      </c>
      <c r="B11" s="6" t="s">
        <v>9</v>
      </c>
      <c r="C11" s="6" t="s">
        <v>15</v>
      </c>
      <c r="D11" s="7">
        <v>1087.48</v>
      </c>
      <c r="E11" s="7">
        <v>1268.5</v>
      </c>
      <c r="F11" s="16">
        <f t="shared" si="0"/>
        <v>0.16645823371464299</v>
      </c>
      <c r="G11" s="9">
        <f>E11-D11</f>
        <v>181.01999999999998</v>
      </c>
      <c r="H11" s="17" cm="1">
        <f t="array" ref="H11">_xlfn.IFS(AND(F11&gt;0%,F11&lt;12%),0%,AND(F11&gt;=12%,F11&lt;=20%),0.5%,F11&gt;20%,1.5%)</f>
        <v>5.0000000000000001E-3</v>
      </c>
      <c r="I11" s="18">
        <f t="shared" si="1"/>
        <v>0.9050999999999999</v>
      </c>
      <c r="J11" s="9">
        <f t="shared" si="2"/>
        <v>181.92509999999999</v>
      </c>
    </row>
    <row r="12" spans="1:19" ht="15.5" x14ac:dyDescent="0.35">
      <c r="A12" s="5">
        <v>44750</v>
      </c>
      <c r="B12" s="6" t="s">
        <v>14</v>
      </c>
      <c r="C12" s="6" t="s">
        <v>15</v>
      </c>
      <c r="D12" s="7">
        <v>803.79</v>
      </c>
      <c r="E12" s="7">
        <v>907.75</v>
      </c>
      <c r="F12" s="16">
        <f t="shared" si="0"/>
        <v>0.12933726470844381</v>
      </c>
      <c r="G12" s="9">
        <f>E12-D12</f>
        <v>103.96000000000004</v>
      </c>
      <c r="H12" s="17" cm="1">
        <f t="array" ref="H12">_xlfn.IFS(AND(F12&gt;0%,F12&lt;12%),0%,AND(F12&gt;=12%,F12&lt;=20%),0.5%,F12&gt;20%,1.5%)</f>
        <v>5.0000000000000001E-3</v>
      </c>
      <c r="I12" s="18">
        <f t="shared" si="1"/>
        <v>0.51980000000000015</v>
      </c>
      <c r="J12" s="9">
        <f t="shared" si="2"/>
        <v>104.47980000000004</v>
      </c>
    </row>
    <row r="13" spans="1:19" ht="15.5" x14ac:dyDescent="0.35">
      <c r="A13" s="5">
        <v>44750</v>
      </c>
      <c r="B13" s="6" t="s">
        <v>9</v>
      </c>
      <c r="C13" s="6" t="s">
        <v>16</v>
      </c>
      <c r="D13" s="7">
        <v>1113.73</v>
      </c>
      <c r="E13" s="7">
        <v>1278.75</v>
      </c>
      <c r="F13" s="16">
        <f t="shared" si="0"/>
        <v>0.14816876621802411</v>
      </c>
      <c r="G13" s="9">
        <f>E13-D13</f>
        <v>165.01999999999998</v>
      </c>
      <c r="H13" s="17" cm="1">
        <f t="array" ref="H13">_xlfn.IFS(AND(F13&gt;0%,F13&lt;12%),0%,AND(F13&gt;=12%,F13&lt;=20%),0.5%,F13&gt;20%,1.5%)</f>
        <v>5.0000000000000001E-3</v>
      </c>
      <c r="I13" s="18">
        <f t="shared" si="1"/>
        <v>0.82509999999999994</v>
      </c>
      <c r="J13" s="9">
        <f t="shared" si="2"/>
        <v>165.84509999999997</v>
      </c>
    </row>
    <row r="14" spans="1:19" ht="15.5" x14ac:dyDescent="0.35">
      <c r="A14" s="5">
        <v>44753</v>
      </c>
      <c r="B14" s="6" t="s">
        <v>14</v>
      </c>
      <c r="C14" s="6" t="s">
        <v>16</v>
      </c>
      <c r="D14" s="7">
        <v>843.16</v>
      </c>
      <c r="E14" s="7">
        <v>965.25</v>
      </c>
      <c r="F14" s="16">
        <f t="shared" si="0"/>
        <v>0.14480051235827132</v>
      </c>
      <c r="G14" s="9">
        <f>E14-D14</f>
        <v>122.09000000000003</v>
      </c>
      <c r="H14" s="17" cm="1">
        <f t="array" ref="H14">_xlfn.IFS(AND(F14&gt;0%,F14&lt;12%),0%,AND(F14&gt;=12%,F14&lt;=20%),0.5%,F14&gt;20%,1.5%)</f>
        <v>5.0000000000000001E-3</v>
      </c>
      <c r="I14" s="18">
        <f t="shared" si="1"/>
        <v>0.61045000000000016</v>
      </c>
      <c r="J14" s="9">
        <f t="shared" si="2"/>
        <v>122.70045000000003</v>
      </c>
    </row>
    <row r="15" spans="1:19" ht="15.5" x14ac:dyDescent="0.35">
      <c r="A15" s="5">
        <v>44753</v>
      </c>
      <c r="B15" s="6" t="s">
        <v>9</v>
      </c>
      <c r="C15" s="6" t="s">
        <v>15</v>
      </c>
      <c r="D15" s="7">
        <v>1552.52</v>
      </c>
      <c r="E15" s="7">
        <v>1717.5</v>
      </c>
      <c r="F15" s="16">
        <f t="shared" si="0"/>
        <v>0.10626594182361582</v>
      </c>
      <c r="G15" s="9">
        <f>E15-D15</f>
        <v>164.98000000000002</v>
      </c>
      <c r="H15" s="17" cm="1">
        <f t="array" ref="H15">_xlfn.IFS(AND(F15&gt;0%,F15&lt;12%),0%,AND(F15&gt;=12%,F15&lt;=20%),0.5%,F15&gt;20%,1.5%)</f>
        <v>0</v>
      </c>
      <c r="I15" s="18">
        <f t="shared" si="1"/>
        <v>0</v>
      </c>
      <c r="J15" s="9">
        <f t="shared" si="2"/>
        <v>164.98000000000002</v>
      </c>
    </row>
    <row r="16" spans="1:19" ht="15.5" x14ac:dyDescent="0.35">
      <c r="A16" s="5">
        <v>44754</v>
      </c>
      <c r="B16" s="6" t="s">
        <v>14</v>
      </c>
      <c r="C16" s="6" t="s">
        <v>15</v>
      </c>
      <c r="D16" s="7">
        <v>1382.27</v>
      </c>
      <c r="E16" s="7">
        <v>1550.25</v>
      </c>
      <c r="F16" s="16">
        <f t="shared" si="0"/>
        <v>0.12152473829280822</v>
      </c>
      <c r="G16" s="9">
        <f>E16-D16</f>
        <v>167.98000000000002</v>
      </c>
      <c r="H16" s="17" cm="1">
        <f t="array" ref="H16">_xlfn.IFS(AND(F16&gt;0%,F16&lt;12%),0%,AND(F16&gt;=12%,F16&lt;=20%),0.5%,F16&gt;20%,1.5%)</f>
        <v>5.0000000000000001E-3</v>
      </c>
      <c r="I16" s="18">
        <f t="shared" si="1"/>
        <v>0.83990000000000009</v>
      </c>
      <c r="J16" s="9">
        <f t="shared" si="2"/>
        <v>168.81990000000002</v>
      </c>
    </row>
    <row r="17" spans="1:10" ht="15.5" x14ac:dyDescent="0.35">
      <c r="A17" s="5">
        <v>44754</v>
      </c>
      <c r="B17" s="6" t="s">
        <v>9</v>
      </c>
      <c r="C17" s="6" t="s">
        <v>16</v>
      </c>
      <c r="D17" s="7">
        <v>1515.76</v>
      </c>
      <c r="E17" s="7">
        <v>1622.75</v>
      </c>
      <c r="F17" s="16">
        <f t="shared" si="0"/>
        <v>7.0585053042698062E-2</v>
      </c>
      <c r="G17" s="9">
        <f>E17-D17</f>
        <v>106.99000000000001</v>
      </c>
      <c r="H17" s="17" cm="1">
        <f t="array" ref="H17">_xlfn.IFS(AND(F17&gt;0%,F17&lt;12%),0%,AND(F17&gt;=12%,F17&lt;=20%),0.5%,F17&gt;20%,1.5%)</f>
        <v>0</v>
      </c>
      <c r="I17" s="18">
        <f t="shared" si="1"/>
        <v>0</v>
      </c>
      <c r="J17" s="9">
        <f t="shared" si="2"/>
        <v>106.99000000000001</v>
      </c>
    </row>
    <row r="18" spans="1:10" ht="15.5" x14ac:dyDescent="0.35">
      <c r="A18" s="5">
        <v>44755</v>
      </c>
      <c r="B18" s="6" t="s">
        <v>14</v>
      </c>
      <c r="C18" s="6" t="s">
        <v>16</v>
      </c>
      <c r="D18" s="7">
        <v>1264.56</v>
      </c>
      <c r="E18" s="7">
        <v>1328.5</v>
      </c>
      <c r="F18" s="16">
        <f t="shared" si="0"/>
        <v>5.056304169039038E-2</v>
      </c>
      <c r="G18" s="9">
        <f>E18-D18</f>
        <v>63.940000000000055</v>
      </c>
      <c r="H18" s="17" cm="1">
        <f t="array" ref="H18">_xlfn.IFS(AND(F18&gt;0%,F18&lt;12%),0%,AND(F18&gt;=12%,F18&lt;=20%),0.5%,F18&gt;20%,1.5%)</f>
        <v>0</v>
      </c>
      <c r="I18" s="18">
        <f t="shared" si="1"/>
        <v>0</v>
      </c>
      <c r="J18" s="9">
        <f t="shared" si="2"/>
        <v>63.940000000000055</v>
      </c>
    </row>
    <row r="19" spans="1:10" ht="15.5" x14ac:dyDescent="0.35">
      <c r="A19" s="5">
        <v>44755</v>
      </c>
      <c r="B19" s="6" t="s">
        <v>9</v>
      </c>
      <c r="C19" s="6" t="s">
        <v>15</v>
      </c>
      <c r="D19" s="7">
        <v>1251.98</v>
      </c>
      <c r="E19" s="7">
        <v>1402</v>
      </c>
      <c r="F19" s="16">
        <f t="shared" si="0"/>
        <v>0.11982619530663427</v>
      </c>
      <c r="G19" s="9">
        <f>E19-D19</f>
        <v>150.01999999999998</v>
      </c>
      <c r="H19" s="17" cm="1">
        <f t="array" ref="H19">_xlfn.IFS(AND(F19&gt;0%,F19&lt;12%),0%,AND(F19&gt;=12%,F19&lt;=20%),0.5%,F19&gt;20%,1.5%)</f>
        <v>0</v>
      </c>
      <c r="I19" s="18">
        <f t="shared" si="1"/>
        <v>0</v>
      </c>
      <c r="J19" s="9">
        <f t="shared" si="2"/>
        <v>150.01999999999998</v>
      </c>
    </row>
    <row r="20" spans="1:10" ht="15.5" x14ac:dyDescent="0.35">
      <c r="A20" s="5">
        <v>44756</v>
      </c>
      <c r="B20" s="6" t="s">
        <v>14</v>
      </c>
      <c r="C20" s="6" t="s">
        <v>15</v>
      </c>
      <c r="D20" s="7">
        <v>986.11</v>
      </c>
      <c r="E20" s="7">
        <v>1054</v>
      </c>
      <c r="F20" s="16">
        <f t="shared" si="0"/>
        <v>6.8846274756365913E-2</v>
      </c>
      <c r="G20" s="9">
        <f>E20-D20</f>
        <v>67.889999999999986</v>
      </c>
      <c r="H20" s="17" cm="1">
        <f t="array" ref="H20">_xlfn.IFS(AND(F20&gt;0%,F20&lt;12%),0%,AND(F20&gt;=12%,F20&lt;=20%),0.5%,F20&gt;20%,1.5%)</f>
        <v>0</v>
      </c>
      <c r="I20" s="18">
        <f t="shared" si="1"/>
        <v>0</v>
      </c>
      <c r="J20" s="9">
        <f t="shared" si="2"/>
        <v>67.889999999999986</v>
      </c>
    </row>
    <row r="21" spans="1:10" ht="15.75" customHeight="1" x14ac:dyDescent="0.35">
      <c r="A21" s="5">
        <v>44756</v>
      </c>
      <c r="B21" s="6" t="s">
        <v>9</v>
      </c>
      <c r="C21" s="6" t="s">
        <v>16</v>
      </c>
      <c r="D21" s="7">
        <v>1514.2</v>
      </c>
      <c r="E21" s="7">
        <v>1571.25</v>
      </c>
      <c r="F21" s="16">
        <f t="shared" si="0"/>
        <v>3.7676660943072218E-2</v>
      </c>
      <c r="G21" s="9">
        <f>E21-D21</f>
        <v>57.049999999999955</v>
      </c>
      <c r="H21" s="17" cm="1">
        <f t="array" ref="H21">_xlfn.IFS(AND(F21&gt;0%,F21&lt;12%),0%,AND(F21&gt;=12%,F21&lt;=20%),0.5%,F21&gt;20%,1.5%)</f>
        <v>0</v>
      </c>
      <c r="I21" s="18">
        <f t="shared" si="1"/>
        <v>0</v>
      </c>
      <c r="J21" s="9">
        <f t="shared" si="2"/>
        <v>57.049999999999955</v>
      </c>
    </row>
    <row r="22" spans="1:10" ht="15.75" customHeight="1" x14ac:dyDescent="0.35">
      <c r="A22" s="5">
        <v>44757</v>
      </c>
      <c r="B22" s="6" t="s">
        <v>14</v>
      </c>
      <c r="C22" s="6" t="s">
        <v>16</v>
      </c>
      <c r="D22" s="7">
        <v>1318.85</v>
      </c>
      <c r="E22" s="7">
        <v>1454.75</v>
      </c>
      <c r="F22" s="16">
        <f t="shared" si="0"/>
        <v>0.10304431891420564</v>
      </c>
      <c r="G22" s="9">
        <f>E22-D22</f>
        <v>135.90000000000009</v>
      </c>
      <c r="H22" s="17" cm="1">
        <f t="array" ref="H22">_xlfn.IFS(AND(F22&gt;0%,F22&lt;12%),0%,AND(F22&gt;=12%,F22&lt;=20%),0.5%,F22&gt;20%,1.5%)</f>
        <v>0</v>
      </c>
      <c r="I22" s="18">
        <f t="shared" si="1"/>
        <v>0</v>
      </c>
      <c r="J22" s="9">
        <f t="shared" si="2"/>
        <v>135.90000000000009</v>
      </c>
    </row>
    <row r="23" spans="1:10" ht="15.75" customHeight="1" x14ac:dyDescent="0.35">
      <c r="A23" s="5">
        <v>44757</v>
      </c>
      <c r="B23" s="6" t="s">
        <v>9</v>
      </c>
      <c r="C23" s="6" t="s">
        <v>15</v>
      </c>
      <c r="D23" s="7">
        <v>1495.11</v>
      </c>
      <c r="E23" s="7">
        <v>1655</v>
      </c>
      <c r="F23" s="16">
        <f t="shared" si="0"/>
        <v>0.10694196413641813</v>
      </c>
      <c r="G23" s="9">
        <f>E23-D23</f>
        <v>159.8900000000001</v>
      </c>
      <c r="H23" s="17" cm="1">
        <f t="array" ref="H23">_xlfn.IFS(AND(F23&gt;0%,F23&lt;12%),0%,AND(F23&gt;=12%,F23&lt;=20%),0.5%,F23&gt;20%,1.5%)</f>
        <v>0</v>
      </c>
      <c r="I23" s="18">
        <f t="shared" si="1"/>
        <v>0</v>
      </c>
      <c r="J23" s="9">
        <f t="shared" si="2"/>
        <v>159.8900000000001</v>
      </c>
    </row>
    <row r="24" spans="1:10" ht="15.75" customHeight="1" x14ac:dyDescent="0.35">
      <c r="A24" s="5">
        <v>44760</v>
      </c>
      <c r="B24" s="6" t="s">
        <v>14</v>
      </c>
      <c r="C24" s="6" t="s">
        <v>15</v>
      </c>
      <c r="D24" s="7">
        <v>1187.7</v>
      </c>
      <c r="E24" s="7">
        <v>1297.75</v>
      </c>
      <c r="F24" s="16">
        <f t="shared" si="0"/>
        <v>9.2658078639387007E-2</v>
      </c>
      <c r="G24" s="9">
        <f>E24-D24</f>
        <v>110.04999999999995</v>
      </c>
      <c r="H24" s="17" cm="1">
        <f t="array" ref="H24">_xlfn.IFS(AND(F24&gt;0%,F24&lt;12%),0%,AND(F24&gt;=12%,F24&lt;=20%),0.5%,F24&gt;20%,1.5%)</f>
        <v>0</v>
      </c>
      <c r="I24" s="18">
        <f t="shared" si="1"/>
        <v>0</v>
      </c>
      <c r="J24" s="9">
        <f t="shared" si="2"/>
        <v>110.04999999999995</v>
      </c>
    </row>
    <row r="25" spans="1:10" ht="15.75" customHeight="1" x14ac:dyDescent="0.35">
      <c r="A25" s="5">
        <v>44760</v>
      </c>
      <c r="B25" s="6" t="s">
        <v>9</v>
      </c>
      <c r="C25" s="6" t="s">
        <v>16</v>
      </c>
      <c r="D25" s="7">
        <v>1150.74</v>
      </c>
      <c r="E25" s="7">
        <v>1225.75</v>
      </c>
      <c r="F25" s="16">
        <f t="shared" si="0"/>
        <v>6.518414237794809E-2</v>
      </c>
      <c r="G25" s="9">
        <f>E25-D25</f>
        <v>75.009999999999991</v>
      </c>
      <c r="H25" s="17" cm="1">
        <f t="array" ref="H25">_xlfn.IFS(AND(F25&gt;0%,F25&lt;12%),0%,AND(F25&gt;=12%,F25&lt;=20%),0.5%,F25&gt;20%,1.5%)</f>
        <v>0</v>
      </c>
      <c r="I25" s="18">
        <f t="shared" si="1"/>
        <v>0</v>
      </c>
      <c r="J25" s="9">
        <f t="shared" si="2"/>
        <v>75.009999999999991</v>
      </c>
    </row>
    <row r="26" spans="1:10" ht="15.75" customHeight="1" x14ac:dyDescent="0.35">
      <c r="A26" s="5">
        <v>44761</v>
      </c>
      <c r="B26" s="6" t="s">
        <v>14</v>
      </c>
      <c r="C26" s="6" t="s">
        <v>16</v>
      </c>
      <c r="D26" s="7">
        <v>1562.68</v>
      </c>
      <c r="E26" s="7">
        <v>1736.75</v>
      </c>
      <c r="F26" s="16">
        <f t="shared" si="0"/>
        <v>0.11139196764532722</v>
      </c>
      <c r="G26" s="9">
        <f>E26-D26</f>
        <v>174.06999999999994</v>
      </c>
      <c r="H26" s="17" cm="1">
        <f t="array" ref="H26">_xlfn.IFS(AND(F26&gt;0%,F26&lt;12%),0%,AND(F26&gt;=12%,F26&lt;=20%),0.5%,F26&gt;20%,1.5%)</f>
        <v>0</v>
      </c>
      <c r="I26" s="18">
        <f t="shared" si="1"/>
        <v>0</v>
      </c>
      <c r="J26" s="9">
        <f t="shared" si="2"/>
        <v>174.06999999999994</v>
      </c>
    </row>
    <row r="27" spans="1:10" ht="15.75" customHeight="1" x14ac:dyDescent="0.35">
      <c r="A27" s="5">
        <v>44761</v>
      </c>
      <c r="B27" s="6" t="s">
        <v>9</v>
      </c>
      <c r="C27" s="6" t="s">
        <v>15</v>
      </c>
      <c r="D27" s="7">
        <v>1514.13</v>
      </c>
      <c r="E27" s="7">
        <v>1620.25</v>
      </c>
      <c r="F27" s="16">
        <f t="shared" si="0"/>
        <v>7.0086452286131237E-2</v>
      </c>
      <c r="G27" s="9">
        <f>E27-D27</f>
        <v>106.11999999999989</v>
      </c>
      <c r="H27" s="17" cm="1">
        <f t="array" ref="H27">_xlfn.IFS(AND(F27&gt;0%,F27&lt;12%),0%,AND(F27&gt;=12%,F27&lt;=20%),0.5%,F27&gt;20%,1.5%)</f>
        <v>0</v>
      </c>
      <c r="I27" s="18">
        <f t="shared" si="1"/>
        <v>0</v>
      </c>
      <c r="J27" s="9">
        <f t="shared" si="2"/>
        <v>106.11999999999989</v>
      </c>
    </row>
    <row r="28" spans="1:10" ht="15.75" customHeight="1" x14ac:dyDescent="0.35">
      <c r="A28" s="5">
        <v>44762</v>
      </c>
      <c r="B28" s="6" t="s">
        <v>14</v>
      </c>
      <c r="C28" s="6" t="s">
        <v>15</v>
      </c>
      <c r="D28" s="7">
        <v>778.27</v>
      </c>
      <c r="E28" s="7">
        <v>930.25</v>
      </c>
      <c r="F28" s="16">
        <f t="shared" si="0"/>
        <v>0.19527927325992267</v>
      </c>
      <c r="G28" s="9">
        <f>E28-D28</f>
        <v>151.98000000000002</v>
      </c>
      <c r="H28" s="17" cm="1">
        <f t="array" ref="H28">_xlfn.IFS(AND(F28&gt;0%,F28&lt;12%),0%,AND(F28&gt;=12%,F28&lt;=20%),0.5%,F28&gt;20%,1.5%)</f>
        <v>5.0000000000000001E-3</v>
      </c>
      <c r="I28" s="18">
        <f t="shared" si="1"/>
        <v>0.75990000000000013</v>
      </c>
      <c r="J28" s="9">
        <f t="shared" si="2"/>
        <v>152.73990000000001</v>
      </c>
    </row>
    <row r="29" spans="1:10" ht="15.75" customHeight="1" x14ac:dyDescent="0.35">
      <c r="A29" s="5">
        <v>44762</v>
      </c>
      <c r="B29" s="6" t="s">
        <v>9</v>
      </c>
      <c r="C29" s="6" t="s">
        <v>16</v>
      </c>
      <c r="D29" s="7">
        <v>1270.6600000000001</v>
      </c>
      <c r="E29" s="7">
        <v>1334.75</v>
      </c>
      <c r="F29" s="16">
        <f t="shared" si="0"/>
        <v>5.0438354870697047E-2</v>
      </c>
      <c r="G29" s="9">
        <f>E29-D29</f>
        <v>64.089999999999918</v>
      </c>
      <c r="H29" s="17" cm="1">
        <f t="array" ref="H29">_xlfn.IFS(AND(F29&gt;0%,F29&lt;12%),0%,AND(F29&gt;=12%,F29&lt;=20%),0.5%,F29&gt;20%,1.5%)</f>
        <v>0</v>
      </c>
      <c r="I29" s="18">
        <f t="shared" si="1"/>
        <v>0</v>
      </c>
      <c r="J29" s="9">
        <f t="shared" si="2"/>
        <v>64.089999999999918</v>
      </c>
    </row>
    <row r="30" spans="1:10" ht="15.75" customHeight="1" x14ac:dyDescent="0.35">
      <c r="A30" s="5">
        <v>44763</v>
      </c>
      <c r="B30" s="6" t="s">
        <v>14</v>
      </c>
      <c r="C30" s="6" t="s">
        <v>16</v>
      </c>
      <c r="D30" s="7">
        <v>766.72</v>
      </c>
      <c r="E30" s="7">
        <v>841.75</v>
      </c>
      <c r="F30" s="16">
        <f t="shared" si="0"/>
        <v>9.7858409849749542E-2</v>
      </c>
      <c r="G30" s="9">
        <f>E30-D30</f>
        <v>75.029999999999973</v>
      </c>
      <c r="H30" s="17" cm="1">
        <f t="array" ref="H30">_xlfn.IFS(AND(F30&gt;0%,F30&lt;12%),0%,AND(F30&gt;=12%,F30&lt;=20%),0.5%,F30&gt;20%,1.5%)</f>
        <v>0</v>
      </c>
      <c r="I30" s="18">
        <f t="shared" si="1"/>
        <v>0</v>
      </c>
      <c r="J30" s="9">
        <f t="shared" si="2"/>
        <v>75.029999999999973</v>
      </c>
    </row>
    <row r="31" spans="1:10" ht="15.75" customHeight="1" x14ac:dyDescent="0.35">
      <c r="A31" s="5">
        <v>44763</v>
      </c>
      <c r="B31" s="6" t="s">
        <v>9</v>
      </c>
      <c r="C31" s="6" t="s">
        <v>15</v>
      </c>
      <c r="D31" s="7">
        <v>1041.1300000000001</v>
      </c>
      <c r="E31" s="7">
        <v>1157.25</v>
      </c>
      <c r="F31" s="16">
        <f t="shared" si="0"/>
        <v>0.11153266162727025</v>
      </c>
      <c r="G31" s="9">
        <f>E31-D31</f>
        <v>116.11999999999989</v>
      </c>
      <c r="H31" s="17" cm="1">
        <f t="array" ref="H31">_xlfn.IFS(AND(F31&gt;0%,F31&lt;12%),0%,AND(F31&gt;=12%,F31&lt;=20%),0.5%,F31&gt;20%,1.5%)</f>
        <v>0</v>
      </c>
      <c r="I31" s="18">
        <f t="shared" si="1"/>
        <v>0</v>
      </c>
      <c r="J31" s="9">
        <f t="shared" si="2"/>
        <v>116.11999999999989</v>
      </c>
    </row>
    <row r="32" spans="1:10" ht="15.75" customHeight="1" x14ac:dyDescent="0.35">
      <c r="A32" s="5">
        <v>44764</v>
      </c>
      <c r="B32" s="6" t="s">
        <v>14</v>
      </c>
      <c r="C32" s="6" t="s">
        <v>15</v>
      </c>
      <c r="D32" s="7">
        <v>1218.08</v>
      </c>
      <c r="E32" s="7">
        <v>1344</v>
      </c>
      <c r="F32" s="16">
        <f t="shared" si="0"/>
        <v>0.10337580454485755</v>
      </c>
      <c r="G32" s="9">
        <f>E32-D32</f>
        <v>125.92000000000007</v>
      </c>
      <c r="H32" s="17" cm="1">
        <f t="array" ref="H32">_xlfn.IFS(AND(F32&gt;0%,F32&lt;12%),0%,AND(F32&gt;=12%,F32&lt;=20%),0.5%,F32&gt;20%,1.5%)</f>
        <v>0</v>
      </c>
      <c r="I32" s="18">
        <f t="shared" si="1"/>
        <v>0</v>
      </c>
      <c r="J32" s="9">
        <f t="shared" si="2"/>
        <v>125.92000000000007</v>
      </c>
    </row>
    <row r="33" spans="1:10" ht="15.75" customHeight="1" x14ac:dyDescent="0.35">
      <c r="A33" s="5">
        <v>44764</v>
      </c>
      <c r="B33" s="6" t="s">
        <v>9</v>
      </c>
      <c r="C33" s="6" t="s">
        <v>16</v>
      </c>
      <c r="D33" s="7">
        <v>1016.36</v>
      </c>
      <c r="E33" s="7">
        <v>1108.25</v>
      </c>
      <c r="F33" s="16">
        <f t="shared" si="0"/>
        <v>9.0410878035341799E-2</v>
      </c>
      <c r="G33" s="9">
        <f>E33-D33</f>
        <v>91.889999999999986</v>
      </c>
      <c r="H33" s="17" cm="1">
        <f t="array" ref="H33">_xlfn.IFS(AND(F33&gt;0%,F33&lt;12%),0%,AND(F33&gt;=12%,F33&lt;=20%),0.5%,F33&gt;20%,1.5%)</f>
        <v>0</v>
      </c>
      <c r="I33" s="18">
        <f t="shared" si="1"/>
        <v>0</v>
      </c>
      <c r="J33" s="9">
        <f t="shared" si="2"/>
        <v>91.889999999999986</v>
      </c>
    </row>
    <row r="34" spans="1:10" ht="15.75" customHeight="1" x14ac:dyDescent="0.35">
      <c r="A34" s="5">
        <v>44767</v>
      </c>
      <c r="B34" s="6" t="s">
        <v>14</v>
      </c>
      <c r="C34" s="6" t="s">
        <v>16</v>
      </c>
      <c r="D34" s="7">
        <v>1576.91</v>
      </c>
      <c r="E34" s="7">
        <v>1683</v>
      </c>
      <c r="F34" s="16">
        <f t="shared" si="0"/>
        <v>6.7277143273870993E-2</v>
      </c>
      <c r="G34" s="9">
        <f>E34-D34</f>
        <v>106.08999999999992</v>
      </c>
      <c r="H34" s="17" cm="1">
        <f t="array" ref="H34">_xlfn.IFS(AND(F34&gt;0%,F34&lt;12%),0%,AND(F34&gt;=12%,F34&lt;=20%),0.5%,F34&gt;20%,1.5%)</f>
        <v>0</v>
      </c>
      <c r="I34" s="18">
        <f t="shared" si="1"/>
        <v>0</v>
      </c>
      <c r="J34" s="9">
        <f t="shared" si="2"/>
        <v>106.08999999999992</v>
      </c>
    </row>
    <row r="35" spans="1:10" ht="15.75" customHeight="1" x14ac:dyDescent="0.35">
      <c r="A35" s="5">
        <v>44767</v>
      </c>
      <c r="B35" s="6" t="s">
        <v>9</v>
      </c>
      <c r="C35" s="6" t="s">
        <v>15</v>
      </c>
      <c r="D35" s="7">
        <v>870.02</v>
      </c>
      <c r="E35" s="7">
        <v>997</v>
      </c>
      <c r="F35" s="16">
        <f t="shared" si="0"/>
        <v>0.14595066780074023</v>
      </c>
      <c r="G35" s="9">
        <f>E35-D35</f>
        <v>126.98000000000002</v>
      </c>
      <c r="H35" s="17" cm="1">
        <f t="array" ref="H35">_xlfn.IFS(AND(F35&gt;0%,F35&lt;12%),0%,AND(F35&gt;=12%,F35&lt;=20%),0.5%,F35&gt;20%,1.5%)</f>
        <v>5.0000000000000001E-3</v>
      </c>
      <c r="I35" s="18">
        <f t="shared" si="1"/>
        <v>0.63490000000000013</v>
      </c>
      <c r="J35" s="9">
        <f t="shared" si="2"/>
        <v>127.61490000000002</v>
      </c>
    </row>
    <row r="36" spans="1:10" ht="15.75" customHeight="1" x14ac:dyDescent="0.35">
      <c r="A36" s="5">
        <v>44768</v>
      </c>
      <c r="B36" s="6" t="s">
        <v>14</v>
      </c>
      <c r="C36" s="6" t="s">
        <v>15</v>
      </c>
      <c r="D36" s="7">
        <v>1145.26</v>
      </c>
      <c r="E36" s="7">
        <v>1344.25</v>
      </c>
      <c r="F36" s="16">
        <f t="shared" si="0"/>
        <v>0.17375093865148525</v>
      </c>
      <c r="G36" s="9">
        <f>E36-D36</f>
        <v>198.99</v>
      </c>
      <c r="H36" s="17" cm="1">
        <f t="array" ref="H36">_xlfn.IFS(AND(F36&gt;0%,F36&lt;12%),0%,AND(F36&gt;=12%,F36&lt;=20%),0.5%,F36&gt;20%,1.5%)</f>
        <v>5.0000000000000001E-3</v>
      </c>
      <c r="I36" s="18">
        <f t="shared" si="1"/>
        <v>0.99495000000000011</v>
      </c>
      <c r="J36" s="9">
        <f t="shared" si="2"/>
        <v>199.98495</v>
      </c>
    </row>
    <row r="37" spans="1:10" ht="15.75" customHeight="1" x14ac:dyDescent="0.35">
      <c r="A37" s="5">
        <v>44768</v>
      </c>
      <c r="B37" s="6" t="s">
        <v>9</v>
      </c>
      <c r="C37" s="6" t="s">
        <v>16</v>
      </c>
      <c r="D37" s="7">
        <v>1313.05</v>
      </c>
      <c r="E37" s="7">
        <v>1504</v>
      </c>
      <c r="F37" s="16">
        <f t="shared" si="0"/>
        <v>0.14542477438025975</v>
      </c>
      <c r="G37" s="9">
        <f>E37-D37</f>
        <v>190.95000000000005</v>
      </c>
      <c r="H37" s="17" cm="1">
        <f t="array" ref="H37">_xlfn.IFS(AND(F37&gt;0%,F37&lt;12%),0%,AND(F37&gt;=12%,F37&lt;=20%),0.5%,F37&gt;20%,1.5%)</f>
        <v>5.0000000000000001E-3</v>
      </c>
      <c r="I37" s="18">
        <f t="shared" si="1"/>
        <v>0.95475000000000021</v>
      </c>
      <c r="J37" s="9">
        <f t="shared" si="2"/>
        <v>191.90475000000004</v>
      </c>
    </row>
    <row r="38" spans="1:10" ht="15.75" customHeight="1" x14ac:dyDescent="0.35">
      <c r="A38" s="5">
        <v>44769</v>
      </c>
      <c r="B38" s="6" t="s">
        <v>14</v>
      </c>
      <c r="C38" s="6" t="s">
        <v>16</v>
      </c>
      <c r="D38" s="7">
        <v>833.49</v>
      </c>
      <c r="E38" s="7">
        <v>906.5</v>
      </c>
      <c r="F38" s="16">
        <f t="shared" si="0"/>
        <v>8.759553203997647E-2</v>
      </c>
      <c r="G38" s="9">
        <f>E38-D38</f>
        <v>73.009999999999991</v>
      </c>
      <c r="H38" s="17" cm="1">
        <f t="array" ref="H38">_xlfn.IFS(AND(F38&gt;0%,F38&lt;12%),0%,AND(F38&gt;=12%,F38&lt;=20%),0.5%,F38&gt;20%,1.5%)</f>
        <v>0</v>
      </c>
      <c r="I38" s="18">
        <f t="shared" si="1"/>
        <v>0</v>
      </c>
      <c r="J38" s="9">
        <f t="shared" si="2"/>
        <v>73.009999999999991</v>
      </c>
    </row>
    <row r="39" spans="1:10" ht="15.75" customHeight="1" x14ac:dyDescent="0.35">
      <c r="A39" s="5">
        <v>44769</v>
      </c>
      <c r="B39" s="6" t="s">
        <v>9</v>
      </c>
      <c r="C39" s="6" t="s">
        <v>15</v>
      </c>
      <c r="D39" s="7">
        <v>1578.85</v>
      </c>
      <c r="E39" s="7">
        <v>1711.75</v>
      </c>
      <c r="F39" s="16">
        <f t="shared" si="0"/>
        <v>8.4175190803432942E-2</v>
      </c>
      <c r="G39" s="9">
        <f>E39-D39</f>
        <v>132.90000000000009</v>
      </c>
      <c r="H39" s="17" cm="1">
        <f t="array" ref="H39">_xlfn.IFS(AND(F39&gt;0%,F39&lt;12%),0%,AND(F39&gt;=12%,F39&lt;=20%),0.5%,F39&gt;20%,1.5%)</f>
        <v>0</v>
      </c>
      <c r="I39" s="18">
        <f t="shared" si="1"/>
        <v>0</v>
      </c>
      <c r="J39" s="9">
        <f t="shared" si="2"/>
        <v>132.90000000000009</v>
      </c>
    </row>
    <row r="40" spans="1:10" ht="15.75" customHeight="1" x14ac:dyDescent="0.35">
      <c r="A40" s="5">
        <v>44770</v>
      </c>
      <c r="B40" s="6" t="s">
        <v>14</v>
      </c>
      <c r="C40" s="6" t="s">
        <v>15</v>
      </c>
      <c r="D40" s="7">
        <v>1314.78</v>
      </c>
      <c r="E40" s="7">
        <v>1371.75</v>
      </c>
      <c r="F40" s="16">
        <f t="shared" si="0"/>
        <v>4.3330443115958586E-2</v>
      </c>
      <c r="G40" s="9">
        <f>E40-D40</f>
        <v>56.970000000000027</v>
      </c>
      <c r="H40" s="17" cm="1">
        <f t="array" ref="H40">_xlfn.IFS(AND(F40&gt;0%,F40&lt;12%),0%,AND(F40&gt;=12%,F40&lt;=20%),0.5%,F40&gt;20%,1.5%)</f>
        <v>0</v>
      </c>
      <c r="I40" s="18">
        <f t="shared" si="1"/>
        <v>0</v>
      </c>
      <c r="J40" s="9">
        <f t="shared" si="2"/>
        <v>56.970000000000027</v>
      </c>
    </row>
    <row r="41" spans="1:10" ht="15.75" customHeight="1" x14ac:dyDescent="0.35">
      <c r="A41" s="5">
        <v>44770</v>
      </c>
      <c r="B41" s="6" t="s">
        <v>9</v>
      </c>
      <c r="C41" s="6" t="s">
        <v>16</v>
      </c>
      <c r="D41" s="7">
        <v>972.81</v>
      </c>
      <c r="E41" s="7">
        <v>1139.75</v>
      </c>
      <c r="F41" s="16">
        <f t="shared" si="0"/>
        <v>0.1716059662215644</v>
      </c>
      <c r="G41" s="9">
        <f>E41-D41</f>
        <v>166.94000000000005</v>
      </c>
      <c r="H41" s="17" cm="1">
        <f t="array" ref="H41">_xlfn.IFS(AND(F41&gt;0%,F41&lt;12%),0%,AND(F41&gt;=12%,F41&lt;=20%),0.5%,F41&gt;20%,1.5%)</f>
        <v>5.0000000000000001E-3</v>
      </c>
      <c r="I41" s="18">
        <f t="shared" si="1"/>
        <v>0.83470000000000033</v>
      </c>
      <c r="J41" s="9">
        <f t="shared" si="2"/>
        <v>167.77470000000005</v>
      </c>
    </row>
    <row r="42" spans="1:10" ht="15.75" customHeight="1" x14ac:dyDescent="0.35">
      <c r="A42" s="5">
        <v>44771</v>
      </c>
      <c r="B42" s="6" t="s">
        <v>14</v>
      </c>
      <c r="C42" s="6" t="s">
        <v>16</v>
      </c>
      <c r="D42" s="7">
        <v>1551.16</v>
      </c>
      <c r="E42" s="7">
        <v>1721.25</v>
      </c>
      <c r="F42" s="16">
        <f t="shared" si="0"/>
        <v>0.10965342066582423</v>
      </c>
      <c r="G42" s="9">
        <f>E42-D42</f>
        <v>170.08999999999992</v>
      </c>
      <c r="H42" s="17" cm="1">
        <f t="array" ref="H42">_xlfn.IFS(AND(F42&gt;0%,F42&lt;12%),0%,AND(F42&gt;=12%,F42&lt;=20%),0.5%,F42&gt;20%,1.5%)</f>
        <v>0</v>
      </c>
      <c r="I42" s="18">
        <f t="shared" si="1"/>
        <v>0</v>
      </c>
      <c r="J42" s="9">
        <f t="shared" si="2"/>
        <v>170.08999999999992</v>
      </c>
    </row>
    <row r="43" spans="1:10" ht="15.75" customHeight="1" x14ac:dyDescent="0.35">
      <c r="A43" s="5">
        <v>44771</v>
      </c>
      <c r="B43" s="6" t="s">
        <v>9</v>
      </c>
      <c r="C43" s="6" t="s">
        <v>15</v>
      </c>
      <c r="D43" s="7">
        <v>1366.59</v>
      </c>
      <c r="E43" s="7">
        <v>1418.5</v>
      </c>
      <c r="F43" s="16">
        <f t="shared" si="0"/>
        <v>3.7985057698358748E-2</v>
      </c>
      <c r="G43" s="9">
        <f>E43-D43</f>
        <v>51.910000000000082</v>
      </c>
      <c r="H43" s="17" cm="1">
        <f t="array" ref="H43">_xlfn.IFS(AND(F43&gt;0%,F43&lt;12%),0%,AND(F43&gt;=12%,F43&lt;=20%),0.5%,F43&gt;20%,1.5%)</f>
        <v>0</v>
      </c>
      <c r="I43" s="18">
        <f t="shared" si="1"/>
        <v>0</v>
      </c>
      <c r="J43" s="9">
        <f t="shared" si="2"/>
        <v>51.910000000000082</v>
      </c>
    </row>
    <row r="44" spans="1:10" ht="15.75" customHeight="1" x14ac:dyDescent="0.35">
      <c r="A44" s="5">
        <v>44774</v>
      </c>
      <c r="B44" s="6" t="s">
        <v>14</v>
      </c>
      <c r="C44" s="6" t="s">
        <v>15</v>
      </c>
      <c r="D44" s="7">
        <v>1466.66</v>
      </c>
      <c r="E44" s="7">
        <v>1624.75</v>
      </c>
      <c r="F44" s="16">
        <f t="shared" si="0"/>
        <v>0.10778912631421046</v>
      </c>
      <c r="G44" s="9">
        <f>E44-D44</f>
        <v>158.08999999999992</v>
      </c>
      <c r="H44" s="17" cm="1">
        <f t="array" ref="H44">_xlfn.IFS(AND(F44&gt;0%,F44&lt;12%),0%,AND(F44&gt;=12%,F44&lt;=20%),0.5%,F44&gt;20%,1.5%)</f>
        <v>0</v>
      </c>
      <c r="I44" s="18">
        <f t="shared" si="1"/>
        <v>0</v>
      </c>
      <c r="J44" s="9">
        <f t="shared" si="2"/>
        <v>158.08999999999992</v>
      </c>
    </row>
    <row r="45" spans="1:10" ht="15.75" customHeight="1" x14ac:dyDescent="0.35">
      <c r="A45" s="5">
        <v>44774</v>
      </c>
      <c r="B45" s="6" t="s">
        <v>9</v>
      </c>
      <c r="C45" s="6" t="s">
        <v>16</v>
      </c>
      <c r="D45" s="7">
        <v>1594.15</v>
      </c>
      <c r="E45" s="7">
        <v>1682.25</v>
      </c>
      <c r="F45" s="16">
        <f t="shared" si="0"/>
        <v>5.5264561051343919E-2</v>
      </c>
      <c r="G45" s="9">
        <f>E45-D45</f>
        <v>88.099999999999909</v>
      </c>
      <c r="H45" s="17" cm="1">
        <f t="array" ref="H45">_xlfn.IFS(AND(F45&gt;0%,F45&lt;12%),0%,AND(F45&gt;=12%,F45&lt;=20%),0.5%,F45&gt;20%,1.5%)</f>
        <v>0</v>
      </c>
      <c r="I45" s="18">
        <f t="shared" si="1"/>
        <v>0</v>
      </c>
      <c r="J45" s="9">
        <f t="shared" si="2"/>
        <v>88.099999999999909</v>
      </c>
    </row>
    <row r="46" spans="1:10" ht="15.75" customHeight="1" x14ac:dyDescent="0.35">
      <c r="A46" s="5">
        <v>44775</v>
      </c>
      <c r="B46" s="6" t="s">
        <v>14</v>
      </c>
      <c r="C46" s="6" t="s">
        <v>15</v>
      </c>
      <c r="D46" s="7">
        <v>1580.98</v>
      </c>
      <c r="E46" s="7">
        <v>1679</v>
      </c>
      <c r="F46" s="16">
        <f t="shared" si="0"/>
        <v>6.1999519285506448E-2</v>
      </c>
      <c r="G46" s="9">
        <f>E46-D46</f>
        <v>98.019999999999982</v>
      </c>
      <c r="H46" s="17" cm="1">
        <f t="array" ref="H46">_xlfn.IFS(AND(F46&gt;0%,F46&lt;12%),0%,AND(F46&gt;=12%,F46&lt;=20%),0.5%,F46&gt;20%,1.5%)</f>
        <v>0</v>
      </c>
      <c r="I46" s="18">
        <f t="shared" si="1"/>
        <v>0</v>
      </c>
      <c r="J46" s="9">
        <f t="shared" si="2"/>
        <v>98.019999999999982</v>
      </c>
    </row>
    <row r="47" spans="1:10" ht="15.75" customHeight="1" x14ac:dyDescent="0.35">
      <c r="A47" s="5">
        <v>44775</v>
      </c>
      <c r="B47" s="6" t="s">
        <v>9</v>
      </c>
      <c r="C47" s="6" t="s">
        <v>16</v>
      </c>
      <c r="D47" s="7">
        <v>916.97</v>
      </c>
      <c r="E47" s="7">
        <v>1025</v>
      </c>
      <c r="F47" s="16">
        <f t="shared" si="0"/>
        <v>0.11781192405422203</v>
      </c>
      <c r="G47" s="9">
        <f>E47-D47</f>
        <v>108.02999999999997</v>
      </c>
      <c r="H47" s="17" cm="1">
        <f t="array" ref="H47">_xlfn.IFS(AND(F47&gt;0%,F47&lt;12%),0%,AND(F47&gt;=12%,F47&lt;=20%),0.5%,F47&gt;20%,1.5%)</f>
        <v>0</v>
      </c>
      <c r="I47" s="18">
        <f t="shared" si="1"/>
        <v>0</v>
      </c>
      <c r="J47" s="9">
        <f t="shared" si="2"/>
        <v>108.02999999999997</v>
      </c>
    </row>
    <row r="48" spans="1:10" ht="15.75" customHeight="1" x14ac:dyDescent="0.35">
      <c r="A48" s="5">
        <v>44776</v>
      </c>
      <c r="B48" s="6" t="s">
        <v>14</v>
      </c>
      <c r="C48" s="6" t="s">
        <v>15</v>
      </c>
      <c r="D48" s="7">
        <v>726.12</v>
      </c>
      <c r="E48" s="7">
        <v>838</v>
      </c>
      <c r="F48" s="16">
        <f t="shared" si="0"/>
        <v>0.1540792155566573</v>
      </c>
      <c r="G48" s="9">
        <f>E48-D48</f>
        <v>111.88</v>
      </c>
      <c r="H48" s="17" cm="1">
        <f t="array" ref="H48">_xlfn.IFS(AND(F48&gt;0%,F48&lt;12%),0%,AND(F48&gt;=12%,F48&lt;=20%),0.5%,F48&gt;20%,1.5%)</f>
        <v>5.0000000000000001E-3</v>
      </c>
      <c r="I48" s="18">
        <f t="shared" si="1"/>
        <v>0.55940000000000001</v>
      </c>
      <c r="J48" s="9">
        <f t="shared" si="2"/>
        <v>112.43939999999999</v>
      </c>
    </row>
    <row r="49" spans="1:10" ht="15.75" customHeight="1" x14ac:dyDescent="0.35">
      <c r="A49" s="5">
        <v>44776</v>
      </c>
      <c r="B49" s="6" t="s">
        <v>9</v>
      </c>
      <c r="C49" s="6" t="s">
        <v>16</v>
      </c>
      <c r="D49" s="7">
        <v>1461.44</v>
      </c>
      <c r="E49" s="7">
        <v>1599.5</v>
      </c>
      <c r="F49" s="16">
        <f t="shared" si="0"/>
        <v>9.4468469454784279E-2</v>
      </c>
      <c r="G49" s="9">
        <f>E49-D49</f>
        <v>138.05999999999995</v>
      </c>
      <c r="H49" s="17" cm="1">
        <f t="array" ref="H49">_xlfn.IFS(AND(F49&gt;0%,F49&lt;12%),0%,AND(F49&gt;=12%,F49&lt;=20%),0.5%,F49&gt;20%,1.5%)</f>
        <v>0</v>
      </c>
      <c r="I49" s="18">
        <f t="shared" si="1"/>
        <v>0</v>
      </c>
      <c r="J49" s="9">
        <f t="shared" si="2"/>
        <v>138.05999999999995</v>
      </c>
    </row>
    <row r="50" spans="1:10" ht="15.75" customHeight="1" x14ac:dyDescent="0.35">
      <c r="A50" s="5">
        <v>44777</v>
      </c>
      <c r="B50" s="6" t="s">
        <v>14</v>
      </c>
      <c r="C50" s="6" t="s">
        <v>16</v>
      </c>
      <c r="D50" s="7">
        <v>1176.26</v>
      </c>
      <c r="E50" s="7">
        <v>1263.25</v>
      </c>
      <c r="F50" s="16">
        <f t="shared" si="0"/>
        <v>7.3954737898083767E-2</v>
      </c>
      <c r="G50" s="9">
        <f>E50-D50</f>
        <v>86.990000000000009</v>
      </c>
      <c r="H50" s="17" cm="1">
        <f t="array" ref="H50">_xlfn.IFS(AND(F50&gt;0%,F50&lt;12%),0%,AND(F50&gt;=12%,F50&lt;=20%),0.5%,F50&gt;20%,1.5%)</f>
        <v>0</v>
      </c>
      <c r="I50" s="18">
        <f t="shared" si="1"/>
        <v>0</v>
      </c>
      <c r="J50" s="9">
        <f t="shared" si="2"/>
        <v>86.990000000000009</v>
      </c>
    </row>
    <row r="51" spans="1:10" ht="15.75" customHeight="1" x14ac:dyDescent="0.35">
      <c r="A51" s="5">
        <v>44777</v>
      </c>
      <c r="B51" s="6" t="s">
        <v>9</v>
      </c>
      <c r="C51" s="6" t="s">
        <v>15</v>
      </c>
      <c r="D51" s="7">
        <v>825.12</v>
      </c>
      <c r="E51" s="7">
        <v>1004</v>
      </c>
      <c r="F51" s="16">
        <f t="shared" si="0"/>
        <v>0.2167927089393058</v>
      </c>
      <c r="G51" s="9">
        <f>E51-D51</f>
        <v>178.88</v>
      </c>
      <c r="H51" s="17" cm="1">
        <f t="array" ref="H51">_xlfn.IFS(AND(F51&gt;0%,F51&lt;12%),0%,AND(F51&gt;=12%,F51&lt;=20%),0.5%,F51&gt;20%,1.5%)</f>
        <v>1.4999999999999999E-2</v>
      </c>
      <c r="I51" s="18">
        <f t="shared" si="1"/>
        <v>2.6831999999999998</v>
      </c>
      <c r="J51" s="9">
        <f t="shared" si="2"/>
        <v>181.56319999999999</v>
      </c>
    </row>
    <row r="52" spans="1:10" ht="15.75" customHeight="1" x14ac:dyDescent="0.35">
      <c r="A52" s="5">
        <v>44778</v>
      </c>
      <c r="B52" s="6" t="s">
        <v>14</v>
      </c>
      <c r="C52" s="6" t="s">
        <v>15</v>
      </c>
      <c r="D52" s="7">
        <v>1034.97</v>
      </c>
      <c r="E52" s="7">
        <v>1091</v>
      </c>
      <c r="F52" s="16">
        <f t="shared" si="0"/>
        <v>5.413683488410289E-2</v>
      </c>
      <c r="G52" s="9">
        <f>E52-D52</f>
        <v>56.029999999999973</v>
      </c>
      <c r="H52" s="17" cm="1">
        <f t="array" ref="H52">_xlfn.IFS(AND(F52&gt;0%,F52&lt;12%),0%,AND(F52&gt;=12%,F52&lt;=20%),0.5%,F52&gt;20%,1.5%)</f>
        <v>0</v>
      </c>
      <c r="I52" s="18">
        <f t="shared" si="1"/>
        <v>0</v>
      </c>
      <c r="J52" s="9">
        <f t="shared" si="2"/>
        <v>56.029999999999973</v>
      </c>
    </row>
    <row r="53" spans="1:10" ht="15.75" customHeight="1" x14ac:dyDescent="0.35">
      <c r="A53" s="5">
        <v>44778</v>
      </c>
      <c r="B53" s="6" t="s">
        <v>9</v>
      </c>
      <c r="C53" s="6" t="s">
        <v>16</v>
      </c>
      <c r="D53" s="7">
        <v>939.94</v>
      </c>
      <c r="E53" s="7">
        <v>1045</v>
      </c>
      <c r="F53" s="16">
        <f t="shared" si="0"/>
        <v>0.11177309189948288</v>
      </c>
      <c r="G53" s="9">
        <f>E53-D53</f>
        <v>105.05999999999995</v>
      </c>
      <c r="H53" s="17" cm="1">
        <f t="array" ref="H53">_xlfn.IFS(AND(F53&gt;0%,F53&lt;12%),0%,AND(F53&gt;=12%,F53&lt;=20%),0.5%,F53&gt;20%,1.5%)</f>
        <v>0</v>
      </c>
      <c r="I53" s="18">
        <f t="shared" si="1"/>
        <v>0</v>
      </c>
      <c r="J53" s="9">
        <f t="shared" si="2"/>
        <v>105.05999999999995</v>
      </c>
    </row>
    <row r="54" spans="1:10" ht="15.75" customHeight="1" x14ac:dyDescent="0.35">
      <c r="A54" s="5">
        <v>44781</v>
      </c>
      <c r="B54" s="6" t="s">
        <v>14</v>
      </c>
      <c r="C54" s="6" t="s">
        <v>16</v>
      </c>
      <c r="D54" s="7">
        <v>1429.63</v>
      </c>
      <c r="E54" s="7">
        <v>1570.75</v>
      </c>
      <c r="F54" s="16">
        <f t="shared" si="0"/>
        <v>9.8710855256255031E-2</v>
      </c>
      <c r="G54" s="9">
        <f>E54-D54</f>
        <v>141.11999999999989</v>
      </c>
      <c r="H54" s="17" cm="1">
        <f t="array" ref="H54">_xlfn.IFS(AND(F54&gt;0%,F54&lt;12%),0%,AND(F54&gt;=12%,F54&lt;=20%),0.5%,F54&gt;20%,1.5%)</f>
        <v>0</v>
      </c>
      <c r="I54" s="18">
        <f t="shared" si="1"/>
        <v>0</v>
      </c>
      <c r="J54" s="9">
        <f t="shared" si="2"/>
        <v>141.11999999999989</v>
      </c>
    </row>
    <row r="55" spans="1:10" ht="15.75" customHeight="1" x14ac:dyDescent="0.35">
      <c r="A55" s="5">
        <v>44781</v>
      </c>
      <c r="B55" s="6" t="s">
        <v>9</v>
      </c>
      <c r="C55" s="6" t="s">
        <v>15</v>
      </c>
      <c r="D55" s="7">
        <v>1009.06</v>
      </c>
      <c r="E55" s="7">
        <v>1189</v>
      </c>
      <c r="F55" s="16">
        <f t="shared" si="0"/>
        <v>0.17832438110716911</v>
      </c>
      <c r="G55" s="9">
        <f>E55-D55</f>
        <v>179.94000000000005</v>
      </c>
      <c r="H55" s="17" cm="1">
        <f t="array" ref="H55">_xlfn.IFS(AND(F55&gt;0%,F55&lt;12%),0%,AND(F55&gt;=12%,F55&lt;=20%),0.5%,F55&gt;20%,1.5%)</f>
        <v>5.0000000000000001E-3</v>
      </c>
      <c r="I55" s="18">
        <f t="shared" si="1"/>
        <v>0.89970000000000028</v>
      </c>
      <c r="J55" s="9">
        <f t="shared" si="2"/>
        <v>180.83970000000005</v>
      </c>
    </row>
    <row r="56" spans="1:10" ht="15.75" customHeight="1" x14ac:dyDescent="0.35">
      <c r="A56" s="5">
        <v>44782</v>
      </c>
      <c r="B56" s="6" t="s">
        <v>14</v>
      </c>
      <c r="C56" s="6" t="s">
        <v>15</v>
      </c>
      <c r="D56" s="7">
        <v>974.45</v>
      </c>
      <c r="E56" s="7">
        <v>1152.5</v>
      </c>
      <c r="F56" s="16">
        <f t="shared" si="0"/>
        <v>0.18271845656524188</v>
      </c>
      <c r="G56" s="9">
        <f>E56-D56</f>
        <v>178.04999999999995</v>
      </c>
      <c r="H56" s="17" cm="1">
        <f t="array" ref="H56">_xlfn.IFS(AND(F56&gt;0%,F56&lt;12%),0%,AND(F56&gt;=12%,F56&lt;=20%),0.5%,F56&gt;20%,1.5%)</f>
        <v>5.0000000000000001E-3</v>
      </c>
      <c r="I56" s="18">
        <f t="shared" si="1"/>
        <v>0.89024999999999976</v>
      </c>
      <c r="J56" s="9">
        <f t="shared" si="2"/>
        <v>178.94024999999996</v>
      </c>
    </row>
    <row r="57" spans="1:10" ht="15.75" customHeight="1" x14ac:dyDescent="0.35">
      <c r="A57" s="5">
        <v>44782</v>
      </c>
      <c r="B57" s="6" t="s">
        <v>9</v>
      </c>
      <c r="C57" s="6" t="s">
        <v>16</v>
      </c>
      <c r="D57" s="7">
        <v>1511.87</v>
      </c>
      <c r="E57" s="7">
        <v>1688.75</v>
      </c>
      <c r="F57" s="16">
        <f t="shared" si="0"/>
        <v>0.11699418600805633</v>
      </c>
      <c r="G57" s="9">
        <f>E57-D57</f>
        <v>176.88000000000011</v>
      </c>
      <c r="H57" s="17" cm="1">
        <f t="array" ref="H57">_xlfn.IFS(AND(F57&gt;0%,F57&lt;12%),0%,AND(F57&gt;=12%,F57&lt;=20%),0.5%,F57&gt;20%,1.5%)</f>
        <v>0</v>
      </c>
      <c r="I57" s="18">
        <f t="shared" si="1"/>
        <v>0</v>
      </c>
      <c r="J57" s="9">
        <f t="shared" si="2"/>
        <v>176.88000000000011</v>
      </c>
    </row>
    <row r="58" spans="1:10" ht="15.75" customHeight="1" x14ac:dyDescent="0.35">
      <c r="A58" s="5">
        <v>44783</v>
      </c>
      <c r="B58" s="6" t="s">
        <v>14</v>
      </c>
      <c r="C58" s="6" t="s">
        <v>15</v>
      </c>
      <c r="D58" s="7">
        <v>1103.76</v>
      </c>
      <c r="E58" s="7">
        <v>1256.75</v>
      </c>
      <c r="F58" s="16">
        <f t="shared" si="0"/>
        <v>0.13860803073131842</v>
      </c>
      <c r="G58" s="9">
        <f>E58-D58</f>
        <v>152.99</v>
      </c>
      <c r="H58" s="17" cm="1">
        <f t="array" ref="H58">_xlfn.IFS(AND(F58&gt;0%,F58&lt;12%),0%,AND(F58&gt;=12%,F58&lt;=20%),0.5%,F58&gt;20%,1.5%)</f>
        <v>5.0000000000000001E-3</v>
      </c>
      <c r="I58" s="18">
        <f t="shared" si="1"/>
        <v>0.76495000000000002</v>
      </c>
      <c r="J58" s="9">
        <f t="shared" si="2"/>
        <v>153.75495000000001</v>
      </c>
    </row>
    <row r="59" spans="1:10" ht="15.75" customHeight="1" x14ac:dyDescent="0.35">
      <c r="A59" s="5">
        <v>44783</v>
      </c>
      <c r="B59" s="6" t="s">
        <v>9</v>
      </c>
      <c r="C59" s="6" t="s">
        <v>16</v>
      </c>
      <c r="D59" s="7">
        <v>809.07</v>
      </c>
      <c r="E59" s="7">
        <v>930</v>
      </c>
      <c r="F59" s="16">
        <f t="shared" si="0"/>
        <v>0.149467907597612</v>
      </c>
      <c r="G59" s="9">
        <f>E59-D59</f>
        <v>120.92999999999995</v>
      </c>
      <c r="H59" s="17" cm="1">
        <f t="array" ref="H59">_xlfn.IFS(AND(F59&gt;0%,F59&lt;12%),0%,AND(F59&gt;=12%,F59&lt;=20%),0.5%,F59&gt;20%,1.5%)</f>
        <v>5.0000000000000001E-3</v>
      </c>
      <c r="I59" s="18">
        <f t="shared" si="1"/>
        <v>0.6046499999999998</v>
      </c>
      <c r="J59" s="9">
        <f t="shared" si="2"/>
        <v>121.53464999999996</v>
      </c>
    </row>
    <row r="60" spans="1:10" ht="15.75" customHeight="1" x14ac:dyDescent="0.35">
      <c r="A60" s="5">
        <v>44784</v>
      </c>
      <c r="B60" s="6" t="s">
        <v>14</v>
      </c>
      <c r="C60" s="6" t="s">
        <v>15</v>
      </c>
      <c r="D60" s="7">
        <v>1438.4</v>
      </c>
      <c r="E60" s="7">
        <v>1560.5</v>
      </c>
      <c r="F60" s="16">
        <f t="shared" si="0"/>
        <v>8.4885984427141195E-2</v>
      </c>
      <c r="G60" s="9">
        <f>E60-D60</f>
        <v>122.09999999999991</v>
      </c>
      <c r="H60" s="17" cm="1">
        <f t="array" ref="H60">_xlfn.IFS(AND(F60&gt;0%,F60&lt;12%),0%,AND(F60&gt;=12%,F60&lt;=20%),0.5%,F60&gt;20%,1.5%)</f>
        <v>0</v>
      </c>
      <c r="I60" s="18">
        <f t="shared" si="1"/>
        <v>0</v>
      </c>
      <c r="J60" s="9">
        <f t="shared" si="2"/>
        <v>122.09999999999991</v>
      </c>
    </row>
    <row r="61" spans="1:10" ht="15.75" customHeight="1" x14ac:dyDescent="0.35">
      <c r="A61" s="5">
        <v>44784</v>
      </c>
      <c r="B61" s="6" t="s">
        <v>9</v>
      </c>
      <c r="C61" s="6" t="s">
        <v>16</v>
      </c>
      <c r="D61" s="7">
        <v>1472.96</v>
      </c>
      <c r="E61" s="7">
        <v>1637</v>
      </c>
      <c r="F61" s="16">
        <f t="shared" si="0"/>
        <v>0.11136758635672385</v>
      </c>
      <c r="G61" s="9">
        <f>E61-D61</f>
        <v>164.03999999999996</v>
      </c>
      <c r="H61" s="17" cm="1">
        <f t="array" ref="H61">_xlfn.IFS(AND(F61&gt;0%,F61&lt;12%),0%,AND(F61&gt;=12%,F61&lt;=20%),0.5%,F61&gt;20%,1.5%)</f>
        <v>0</v>
      </c>
      <c r="I61" s="18">
        <f t="shared" si="1"/>
        <v>0</v>
      </c>
      <c r="J61" s="9">
        <f t="shared" si="2"/>
        <v>164.03999999999996</v>
      </c>
    </row>
    <row r="62" spans="1:10" ht="15.75" customHeight="1" x14ac:dyDescent="0.35">
      <c r="A62" s="5">
        <v>44785</v>
      </c>
      <c r="B62" s="6" t="s">
        <v>14</v>
      </c>
      <c r="C62" s="6" t="s">
        <v>16</v>
      </c>
      <c r="D62" s="7">
        <v>1556.29</v>
      </c>
      <c r="E62" s="7">
        <v>1742.25</v>
      </c>
      <c r="F62" s="16">
        <f t="shared" si="0"/>
        <v>0.11948929826703251</v>
      </c>
      <c r="G62" s="9">
        <f>E62-D62</f>
        <v>185.96000000000004</v>
      </c>
      <c r="H62" s="17" cm="1">
        <f t="array" ref="H62">_xlfn.IFS(AND(F62&gt;0%,F62&lt;12%),0%,AND(F62&gt;=12%,F62&lt;=20%),0.5%,F62&gt;20%,1.5%)</f>
        <v>0</v>
      </c>
      <c r="I62" s="18">
        <f t="shared" si="1"/>
        <v>0</v>
      </c>
      <c r="J62" s="9">
        <f t="shared" si="2"/>
        <v>185.96000000000004</v>
      </c>
    </row>
    <row r="63" spans="1:10" ht="15.75" customHeight="1" x14ac:dyDescent="0.35">
      <c r="A63" s="5">
        <v>44785</v>
      </c>
      <c r="B63" s="6" t="s">
        <v>9</v>
      </c>
      <c r="C63" s="6" t="s">
        <v>15</v>
      </c>
      <c r="D63" s="7">
        <v>960.13</v>
      </c>
      <c r="E63" s="7">
        <v>1088.25</v>
      </c>
      <c r="F63" s="16">
        <f t="shared" si="0"/>
        <v>0.13344026329767844</v>
      </c>
      <c r="G63" s="9">
        <f>E63-D63</f>
        <v>128.12</v>
      </c>
      <c r="H63" s="17" cm="1">
        <f t="array" ref="H63">_xlfn.IFS(AND(F63&gt;0%,F63&lt;12%),0%,AND(F63&gt;=12%,F63&lt;=20%),0.5%,F63&gt;20%,1.5%)</f>
        <v>5.0000000000000001E-3</v>
      </c>
      <c r="I63" s="18">
        <f t="shared" si="1"/>
        <v>0.64060000000000006</v>
      </c>
      <c r="J63" s="9">
        <f t="shared" si="2"/>
        <v>128.76060000000001</v>
      </c>
    </row>
    <row r="64" spans="1:10" ht="15.75" customHeight="1" x14ac:dyDescent="0.35">
      <c r="A64" s="5">
        <v>44788</v>
      </c>
      <c r="B64" s="6" t="s">
        <v>14</v>
      </c>
      <c r="C64" s="6" t="s">
        <v>15</v>
      </c>
      <c r="D64" s="7">
        <v>1520.43</v>
      </c>
      <c r="E64" s="7">
        <v>1594.5</v>
      </c>
      <c r="F64" s="16">
        <f t="shared" si="0"/>
        <v>4.8716481521674744E-2</v>
      </c>
      <c r="G64" s="9">
        <f>E64-D64</f>
        <v>74.069999999999936</v>
      </c>
      <c r="H64" s="17" cm="1">
        <f t="array" ref="H64">_xlfn.IFS(AND(F64&gt;0%,F64&lt;12%),0%,AND(F64&gt;=12%,F64&lt;=20%),0.5%,F64&gt;20%,1.5%)</f>
        <v>0</v>
      </c>
      <c r="I64" s="18">
        <f t="shared" si="1"/>
        <v>0</v>
      </c>
      <c r="J64" s="9">
        <f t="shared" si="2"/>
        <v>74.069999999999936</v>
      </c>
    </row>
    <row r="65" spans="1:10" ht="15.75" customHeight="1" x14ac:dyDescent="0.35">
      <c r="A65" s="5">
        <v>44788</v>
      </c>
      <c r="B65" s="6" t="s">
        <v>9</v>
      </c>
      <c r="C65" s="6" t="s">
        <v>16</v>
      </c>
      <c r="D65" s="7">
        <v>1195.05</v>
      </c>
      <c r="E65" s="7">
        <v>1263</v>
      </c>
      <c r="F65" s="16">
        <f t="shared" si="0"/>
        <v>5.6859545625706075E-2</v>
      </c>
      <c r="G65" s="9">
        <f>E65-D65</f>
        <v>67.950000000000045</v>
      </c>
      <c r="H65" s="17" cm="1">
        <f t="array" ref="H65">_xlfn.IFS(AND(F65&gt;0%,F65&lt;12%),0%,AND(F65&gt;=12%,F65&lt;=20%),0.5%,F65&gt;20%,1.5%)</f>
        <v>0</v>
      </c>
      <c r="I65" s="18">
        <f t="shared" si="1"/>
        <v>0</v>
      </c>
      <c r="J65" s="9">
        <f t="shared" si="2"/>
        <v>67.950000000000045</v>
      </c>
    </row>
    <row r="66" spans="1:10" ht="15.75" customHeight="1" x14ac:dyDescent="0.35">
      <c r="A66" s="5">
        <v>44789</v>
      </c>
      <c r="B66" s="6" t="s">
        <v>14</v>
      </c>
      <c r="C66" s="6" t="s">
        <v>15</v>
      </c>
      <c r="D66" s="7">
        <v>1357.83</v>
      </c>
      <c r="E66" s="7">
        <v>1518.75</v>
      </c>
      <c r="F66" s="16">
        <f t="shared" si="0"/>
        <v>0.11851262676476443</v>
      </c>
      <c r="G66" s="9">
        <f>E66-D66</f>
        <v>160.92000000000007</v>
      </c>
      <c r="H66" s="17" cm="1">
        <f t="array" ref="H66">_xlfn.IFS(AND(F66&gt;0%,F66&lt;12%),0%,AND(F66&gt;=12%,F66&lt;=20%),0.5%,F66&gt;20%,1.5%)</f>
        <v>0</v>
      </c>
      <c r="I66" s="18">
        <f t="shared" si="1"/>
        <v>0</v>
      </c>
      <c r="J66" s="9">
        <f t="shared" si="2"/>
        <v>160.92000000000007</v>
      </c>
    </row>
    <row r="67" spans="1:10" ht="15.75" customHeight="1" x14ac:dyDescent="0.35">
      <c r="A67" s="5">
        <v>44789</v>
      </c>
      <c r="B67" s="6" t="s">
        <v>9</v>
      </c>
      <c r="C67" s="6" t="s">
        <v>16</v>
      </c>
      <c r="D67" s="7">
        <v>1440.38</v>
      </c>
      <c r="E67" s="7">
        <v>1498.5</v>
      </c>
      <c r="F67" s="16">
        <f t="shared" ref="F67:F89" si="3">((E67-D67)/D67)</f>
        <v>4.0350463072244748E-2</v>
      </c>
      <c r="G67" s="9">
        <f>E67-D67</f>
        <v>58.119999999999891</v>
      </c>
      <c r="H67" s="17" cm="1">
        <f t="array" ref="H67">_xlfn.IFS(AND(F67&gt;0%,F67&lt;12%),0%,AND(F67&gt;=12%,F67&lt;=20%),0.5%,F67&gt;20%,1.5%)</f>
        <v>0</v>
      </c>
      <c r="I67" s="18">
        <f t="shared" ref="I67:I89" si="4">G67*H67</f>
        <v>0</v>
      </c>
      <c r="J67" s="9">
        <f t="shared" ref="J67:J89" si="5">G67+I67</f>
        <v>58.119999999999891</v>
      </c>
    </row>
    <row r="68" spans="1:10" ht="15.75" customHeight="1" x14ac:dyDescent="0.35">
      <c r="A68" s="5">
        <v>44790</v>
      </c>
      <c r="B68" s="6" t="s">
        <v>14</v>
      </c>
      <c r="C68" s="6" t="s">
        <v>15</v>
      </c>
      <c r="D68" s="7">
        <v>801.34</v>
      </c>
      <c r="E68" s="7">
        <v>913.25</v>
      </c>
      <c r="F68" s="16">
        <f t="shared" si="3"/>
        <v>0.13965358025307606</v>
      </c>
      <c r="G68" s="9">
        <f>E68-D68</f>
        <v>111.90999999999997</v>
      </c>
      <c r="H68" s="17" cm="1">
        <f t="array" ref="H68">_xlfn.IFS(AND(F68&gt;0%,F68&lt;12%),0%,AND(F68&gt;=12%,F68&lt;=20%),0.5%,F68&gt;20%,1.5%)</f>
        <v>5.0000000000000001E-3</v>
      </c>
      <c r="I68" s="18">
        <f t="shared" si="4"/>
        <v>0.55954999999999988</v>
      </c>
      <c r="J68" s="9">
        <f t="shared" si="5"/>
        <v>112.46954999999997</v>
      </c>
    </row>
    <row r="69" spans="1:10" ht="15.75" customHeight="1" x14ac:dyDescent="0.35">
      <c r="A69" s="5">
        <v>44790</v>
      </c>
      <c r="B69" s="6" t="s">
        <v>9</v>
      </c>
      <c r="C69" s="6" t="s">
        <v>16</v>
      </c>
      <c r="D69" s="7">
        <v>1001.99</v>
      </c>
      <c r="E69" s="7">
        <v>1097</v>
      </c>
      <c r="F69" s="16">
        <f t="shared" si="3"/>
        <v>9.4821305601852299E-2</v>
      </c>
      <c r="G69" s="9">
        <f>E69-D69</f>
        <v>95.009999999999991</v>
      </c>
      <c r="H69" s="17" cm="1">
        <f t="array" ref="H69">_xlfn.IFS(AND(F69&gt;0%,F69&lt;12%),0%,AND(F69&gt;=12%,F69&lt;=20%),0.5%,F69&gt;20%,1.5%)</f>
        <v>0</v>
      </c>
      <c r="I69" s="18">
        <f t="shared" si="4"/>
        <v>0</v>
      </c>
      <c r="J69" s="9">
        <f t="shared" si="5"/>
        <v>95.009999999999991</v>
      </c>
    </row>
    <row r="70" spans="1:10" ht="15.75" customHeight="1" x14ac:dyDescent="0.35">
      <c r="A70" s="5">
        <v>44791</v>
      </c>
      <c r="B70" s="6" t="s">
        <v>14</v>
      </c>
      <c r="C70" s="6" t="s">
        <v>16</v>
      </c>
      <c r="D70" s="7">
        <v>1121.8599999999999</v>
      </c>
      <c r="E70" s="7">
        <v>1191.75</v>
      </c>
      <c r="F70" s="16">
        <f t="shared" si="3"/>
        <v>6.2298325994330939E-2</v>
      </c>
      <c r="G70" s="9">
        <f>E70-D70</f>
        <v>69.8900000000001</v>
      </c>
      <c r="H70" s="17" cm="1">
        <f t="array" ref="H70">_xlfn.IFS(AND(F70&gt;0%,F70&lt;12%),0%,AND(F70&gt;=12%,F70&lt;=20%),0.5%,F70&gt;20%,1.5%)</f>
        <v>0</v>
      </c>
      <c r="I70" s="18">
        <f t="shared" si="4"/>
        <v>0</v>
      </c>
      <c r="J70" s="9">
        <f t="shared" si="5"/>
        <v>69.8900000000001</v>
      </c>
    </row>
    <row r="71" spans="1:10" ht="15.75" customHeight="1" x14ac:dyDescent="0.35">
      <c r="A71" s="5">
        <v>44791</v>
      </c>
      <c r="B71" s="6" t="s">
        <v>9</v>
      </c>
      <c r="C71" s="6" t="s">
        <v>15</v>
      </c>
      <c r="D71" s="7">
        <v>776.22</v>
      </c>
      <c r="E71" s="7">
        <v>961.25</v>
      </c>
      <c r="F71" s="16">
        <f t="shared" si="3"/>
        <v>0.2383731416351034</v>
      </c>
      <c r="G71" s="9">
        <f>E71-D71</f>
        <v>185.02999999999997</v>
      </c>
      <c r="H71" s="17" cm="1">
        <f t="array" ref="H71">_xlfn.IFS(AND(F71&gt;0%,F71&lt;12%),0%,AND(F71&gt;=12%,F71&lt;=20%),0.5%,F71&gt;20%,1.5%)</f>
        <v>1.4999999999999999E-2</v>
      </c>
      <c r="I71" s="18">
        <f t="shared" si="4"/>
        <v>2.7754499999999993</v>
      </c>
      <c r="J71" s="9">
        <f t="shared" si="5"/>
        <v>187.80544999999998</v>
      </c>
    </row>
    <row r="72" spans="1:10" ht="15.75" customHeight="1" x14ac:dyDescent="0.35">
      <c r="A72" s="5">
        <v>44792</v>
      </c>
      <c r="B72" s="6" t="s">
        <v>14</v>
      </c>
      <c r="C72" s="6" t="s">
        <v>15</v>
      </c>
      <c r="D72" s="7">
        <v>779.66</v>
      </c>
      <c r="E72" s="7">
        <v>900.75</v>
      </c>
      <c r="F72" s="16">
        <f t="shared" si="3"/>
        <v>0.15531128953646467</v>
      </c>
      <c r="G72" s="9">
        <f>E72-D72</f>
        <v>121.09000000000003</v>
      </c>
      <c r="H72" s="17" cm="1">
        <f t="array" ref="H72">_xlfn.IFS(AND(F72&gt;0%,F72&lt;12%),0%,AND(F72&gt;=12%,F72&lt;=20%),0.5%,F72&gt;20%,1.5%)</f>
        <v>5.0000000000000001E-3</v>
      </c>
      <c r="I72" s="18">
        <f t="shared" si="4"/>
        <v>0.60545000000000015</v>
      </c>
      <c r="J72" s="9">
        <f t="shared" si="5"/>
        <v>121.69545000000004</v>
      </c>
    </row>
    <row r="73" spans="1:10" ht="15.75" customHeight="1" x14ac:dyDescent="0.35">
      <c r="A73" s="5">
        <v>44792</v>
      </c>
      <c r="B73" s="6" t="s">
        <v>9</v>
      </c>
      <c r="C73" s="6" t="s">
        <v>16</v>
      </c>
      <c r="D73" s="7">
        <v>850.14</v>
      </c>
      <c r="E73" s="7">
        <v>932.25</v>
      </c>
      <c r="F73" s="16">
        <f t="shared" si="3"/>
        <v>9.6584092031900645E-2</v>
      </c>
      <c r="G73" s="9">
        <f>E73-D73</f>
        <v>82.110000000000014</v>
      </c>
      <c r="H73" s="17" cm="1">
        <f t="array" ref="H73">_xlfn.IFS(AND(F73&gt;0%,F73&lt;12%),0%,AND(F73&gt;=12%,F73&lt;=20%),0.5%,F73&gt;20%,1.5%)</f>
        <v>0</v>
      </c>
      <c r="I73" s="18">
        <f t="shared" si="4"/>
        <v>0</v>
      </c>
      <c r="J73" s="9">
        <f t="shared" si="5"/>
        <v>82.110000000000014</v>
      </c>
    </row>
    <row r="74" spans="1:10" ht="15.75" customHeight="1" x14ac:dyDescent="0.35">
      <c r="A74" s="5">
        <v>44795</v>
      </c>
      <c r="B74" s="6" t="s">
        <v>14</v>
      </c>
      <c r="C74" s="6" t="s">
        <v>16</v>
      </c>
      <c r="D74" s="7">
        <v>896.25</v>
      </c>
      <c r="E74" s="7">
        <v>1008.25</v>
      </c>
      <c r="F74" s="16">
        <f t="shared" si="3"/>
        <v>0.12496513249651325</v>
      </c>
      <c r="G74" s="9">
        <f>E74-D74</f>
        <v>112</v>
      </c>
      <c r="H74" s="17" cm="1">
        <f t="array" ref="H74">_xlfn.IFS(AND(F74&gt;0%,F74&lt;12%),0%,AND(F74&gt;=12%,F74&lt;=20%),0.5%,F74&gt;20%,1.5%)</f>
        <v>5.0000000000000001E-3</v>
      </c>
      <c r="I74" s="18">
        <f t="shared" si="4"/>
        <v>0.56000000000000005</v>
      </c>
      <c r="J74" s="9">
        <f t="shared" si="5"/>
        <v>112.56</v>
      </c>
    </row>
    <row r="75" spans="1:10" ht="15.75" customHeight="1" x14ac:dyDescent="0.35">
      <c r="A75" s="5">
        <v>44795</v>
      </c>
      <c r="B75" s="6" t="s">
        <v>9</v>
      </c>
      <c r="C75" s="6" t="s">
        <v>15</v>
      </c>
      <c r="D75" s="7">
        <v>1051</v>
      </c>
      <c r="E75" s="7">
        <v>1133</v>
      </c>
      <c r="F75" s="16">
        <f t="shared" si="3"/>
        <v>7.8020932445290195E-2</v>
      </c>
      <c r="G75" s="9">
        <f>E75-D75</f>
        <v>82</v>
      </c>
      <c r="H75" s="17" cm="1">
        <f t="array" ref="H75">_xlfn.IFS(AND(F75&gt;0%,F75&lt;12%),0%,AND(F75&gt;=12%,F75&lt;=20%),0.5%,F75&gt;20%,1.5%)</f>
        <v>0</v>
      </c>
      <c r="I75" s="18">
        <f t="shared" si="4"/>
        <v>0</v>
      </c>
      <c r="J75" s="9">
        <f t="shared" si="5"/>
        <v>82</v>
      </c>
    </row>
    <row r="76" spans="1:10" ht="15.75" customHeight="1" x14ac:dyDescent="0.35">
      <c r="A76" s="5">
        <v>44796</v>
      </c>
      <c r="B76" s="6" t="s">
        <v>14</v>
      </c>
      <c r="C76" s="6" t="s">
        <v>15</v>
      </c>
      <c r="D76" s="7">
        <v>1385.5</v>
      </c>
      <c r="E76" s="7">
        <v>1504.5</v>
      </c>
      <c r="F76" s="16">
        <f t="shared" si="3"/>
        <v>8.5889570552147243E-2</v>
      </c>
      <c r="G76" s="9">
        <f>E76-D76</f>
        <v>119</v>
      </c>
      <c r="H76" s="17" cm="1">
        <f t="array" ref="H76">_xlfn.IFS(AND(F76&gt;0%,F76&lt;12%),0%,AND(F76&gt;=12%,F76&lt;=20%),0.5%,F76&gt;20%,1.5%)</f>
        <v>0</v>
      </c>
      <c r="I76" s="18">
        <f t="shared" si="4"/>
        <v>0</v>
      </c>
      <c r="J76" s="9">
        <f t="shared" si="5"/>
        <v>119</v>
      </c>
    </row>
    <row r="77" spans="1:10" ht="15.75" customHeight="1" x14ac:dyDescent="0.35">
      <c r="A77" s="5">
        <v>44796</v>
      </c>
      <c r="B77" s="6" t="s">
        <v>9</v>
      </c>
      <c r="C77" s="6" t="s">
        <v>16</v>
      </c>
      <c r="D77" s="7">
        <v>1075.76</v>
      </c>
      <c r="E77" s="7">
        <v>1262.75</v>
      </c>
      <c r="F77" s="16">
        <f t="shared" si="3"/>
        <v>0.17382129843087679</v>
      </c>
      <c r="G77" s="9">
        <f>E77-D77</f>
        <v>186.99</v>
      </c>
      <c r="H77" s="17" cm="1">
        <f t="array" ref="H77">_xlfn.IFS(AND(F77&gt;0%,F77&lt;12%),0%,AND(F77&gt;=12%,F77&lt;=20%),0.5%,F77&gt;20%,1.5%)</f>
        <v>5.0000000000000001E-3</v>
      </c>
      <c r="I77" s="18">
        <f t="shared" si="4"/>
        <v>0.93495000000000006</v>
      </c>
      <c r="J77" s="9">
        <f t="shared" si="5"/>
        <v>187.92495</v>
      </c>
    </row>
    <row r="78" spans="1:10" ht="15.75" customHeight="1" x14ac:dyDescent="0.35">
      <c r="A78" s="5">
        <v>44797</v>
      </c>
      <c r="B78" s="6" t="s">
        <v>14</v>
      </c>
      <c r="C78" s="6" t="s">
        <v>16</v>
      </c>
      <c r="D78" s="7">
        <v>896.05</v>
      </c>
      <c r="E78" s="7">
        <v>957</v>
      </c>
      <c r="F78" s="16">
        <f t="shared" si="3"/>
        <v>6.8020757770213769E-2</v>
      </c>
      <c r="G78" s="9">
        <f>E78-D78</f>
        <v>60.950000000000045</v>
      </c>
      <c r="H78" s="17" cm="1">
        <f t="array" ref="H78">_xlfn.IFS(AND(F78&gt;0%,F78&lt;12%),0%,AND(F78&gt;=12%,F78&lt;=20%),0.5%,F78&gt;20%,1.5%)</f>
        <v>0</v>
      </c>
      <c r="I78" s="18">
        <f t="shared" si="4"/>
        <v>0</v>
      </c>
      <c r="J78" s="9">
        <f t="shared" si="5"/>
        <v>60.950000000000045</v>
      </c>
    </row>
    <row r="79" spans="1:10" ht="15.75" customHeight="1" x14ac:dyDescent="0.35">
      <c r="A79" s="5">
        <v>44797</v>
      </c>
      <c r="B79" s="6" t="s">
        <v>9</v>
      </c>
      <c r="C79" s="6" t="s">
        <v>15</v>
      </c>
      <c r="D79" s="7">
        <v>843.34</v>
      </c>
      <c r="E79" s="7">
        <v>1039.25</v>
      </c>
      <c r="F79" s="16">
        <f t="shared" si="3"/>
        <v>0.23230251144259725</v>
      </c>
      <c r="G79" s="9">
        <f>E79-D79</f>
        <v>195.90999999999997</v>
      </c>
      <c r="H79" s="17" cm="1">
        <f t="array" ref="H79">_xlfn.IFS(AND(F79&gt;0%,F79&lt;12%),0%,AND(F79&gt;=12%,F79&lt;=20%),0.5%,F79&gt;20%,1.5%)</f>
        <v>1.4999999999999999E-2</v>
      </c>
      <c r="I79" s="18">
        <f t="shared" si="4"/>
        <v>2.9386499999999995</v>
      </c>
      <c r="J79" s="9">
        <f t="shared" si="5"/>
        <v>198.84864999999996</v>
      </c>
    </row>
    <row r="80" spans="1:10" ht="15.75" customHeight="1" x14ac:dyDescent="0.35">
      <c r="A80" s="5">
        <v>44798</v>
      </c>
      <c r="B80" s="6" t="s">
        <v>14</v>
      </c>
      <c r="C80" s="6" t="s">
        <v>15</v>
      </c>
      <c r="D80" s="7">
        <v>1211.6600000000001</v>
      </c>
      <c r="E80" s="7">
        <v>1325.75</v>
      </c>
      <c r="F80" s="16">
        <f t="shared" si="3"/>
        <v>9.4160077909644549E-2</v>
      </c>
      <c r="G80" s="9">
        <f>E80-D80</f>
        <v>114.08999999999992</v>
      </c>
      <c r="H80" s="17" cm="1">
        <f t="array" ref="H80">_xlfn.IFS(AND(F80&gt;0%,F80&lt;12%),0%,AND(F80&gt;=12%,F80&lt;=20%),0.5%,F80&gt;20%,1.5%)</f>
        <v>0</v>
      </c>
      <c r="I80" s="18">
        <f t="shared" si="4"/>
        <v>0</v>
      </c>
      <c r="J80" s="9">
        <f t="shared" si="5"/>
        <v>114.08999999999992</v>
      </c>
    </row>
    <row r="81" spans="1:21" ht="15.75" customHeight="1" x14ac:dyDescent="0.35">
      <c r="A81" s="5">
        <v>44798</v>
      </c>
      <c r="B81" s="6" t="s">
        <v>9</v>
      </c>
      <c r="C81" s="6" t="s">
        <v>16</v>
      </c>
      <c r="D81" s="7">
        <v>1357.2</v>
      </c>
      <c r="E81" s="7">
        <v>1463.25</v>
      </c>
      <c r="F81" s="16">
        <f t="shared" si="3"/>
        <v>7.8138815207780696E-2</v>
      </c>
      <c r="G81" s="9">
        <f>E81-D81</f>
        <v>106.04999999999995</v>
      </c>
      <c r="H81" s="17" cm="1">
        <f t="array" ref="H81">_xlfn.IFS(AND(F81&gt;0%,F81&lt;12%),0%,AND(F81&gt;=12%,F81&lt;=20%),0.5%,F81&gt;20%,1.5%)</f>
        <v>0</v>
      </c>
      <c r="I81" s="18">
        <f t="shared" si="4"/>
        <v>0</v>
      </c>
      <c r="J81" s="9">
        <f t="shared" si="5"/>
        <v>106.04999999999995</v>
      </c>
    </row>
    <row r="82" spans="1:21" ht="15.75" customHeight="1" x14ac:dyDescent="0.35">
      <c r="A82" s="5">
        <v>44799</v>
      </c>
      <c r="B82" s="6" t="s">
        <v>14</v>
      </c>
      <c r="C82" s="6" t="s">
        <v>15</v>
      </c>
      <c r="D82" s="7">
        <v>940.87</v>
      </c>
      <c r="E82" s="7">
        <v>1027.75</v>
      </c>
      <c r="F82" s="16">
        <f t="shared" si="3"/>
        <v>9.2340068234718922E-2</v>
      </c>
      <c r="G82" s="9">
        <f>E82-D82</f>
        <v>86.88</v>
      </c>
      <c r="H82" s="17" cm="1">
        <f t="array" ref="H82">_xlfn.IFS(AND(F82&gt;0%,F82&lt;12%),0%,AND(F82&gt;=12%,F82&lt;=20%),0.5%,F82&gt;20%,1.5%)</f>
        <v>0</v>
      </c>
      <c r="I82" s="18">
        <f t="shared" si="4"/>
        <v>0</v>
      </c>
      <c r="J82" s="9">
        <f t="shared" si="5"/>
        <v>86.88</v>
      </c>
    </row>
    <row r="83" spans="1:21" ht="15.75" customHeight="1" x14ac:dyDescent="0.35">
      <c r="A83" s="5">
        <v>44799</v>
      </c>
      <c r="B83" s="6" t="s">
        <v>9</v>
      </c>
      <c r="C83" s="6" t="s">
        <v>16</v>
      </c>
      <c r="D83" s="7">
        <v>1274.05</v>
      </c>
      <c r="E83" s="7">
        <v>1455</v>
      </c>
      <c r="F83" s="16">
        <f t="shared" si="3"/>
        <v>0.14202739295946004</v>
      </c>
      <c r="G83" s="9">
        <f>E83-D83</f>
        <v>180.95000000000005</v>
      </c>
      <c r="H83" s="17" cm="1">
        <f t="array" ref="H83">_xlfn.IFS(AND(F83&gt;0%,F83&lt;12%),0%,AND(F83&gt;=12%,F83&lt;=20%),0.5%,F83&gt;20%,1.5%)</f>
        <v>5.0000000000000001E-3</v>
      </c>
      <c r="I83" s="18">
        <f t="shared" si="4"/>
        <v>0.90475000000000028</v>
      </c>
      <c r="J83" s="9">
        <f t="shared" si="5"/>
        <v>181.85475000000005</v>
      </c>
    </row>
    <row r="84" spans="1:21" ht="15.75" customHeight="1" x14ac:dyDescent="0.35">
      <c r="A84" s="5">
        <v>44802</v>
      </c>
      <c r="B84" s="6" t="s">
        <v>14</v>
      </c>
      <c r="C84" s="6" t="s">
        <v>15</v>
      </c>
      <c r="D84" s="7">
        <v>1179.06</v>
      </c>
      <c r="E84" s="7">
        <v>1376</v>
      </c>
      <c r="F84" s="16">
        <f t="shared" si="3"/>
        <v>0.16703136396790669</v>
      </c>
      <c r="G84" s="9">
        <f>E84-D84</f>
        <v>196.94000000000005</v>
      </c>
      <c r="H84" s="17" cm="1">
        <f t="array" ref="H84">_xlfn.IFS(AND(F84&gt;0%,F84&lt;12%),0%,AND(F84&gt;=12%,F84&lt;=20%),0.5%,F84&gt;20%,1.5%)</f>
        <v>5.0000000000000001E-3</v>
      </c>
      <c r="I84" s="18">
        <f t="shared" si="4"/>
        <v>0.98470000000000024</v>
      </c>
      <c r="J84" s="9">
        <f t="shared" si="5"/>
        <v>197.92470000000006</v>
      </c>
    </row>
    <row r="85" spans="1:21" ht="15.75" customHeight="1" x14ac:dyDescent="0.35">
      <c r="A85" s="5">
        <v>44802</v>
      </c>
      <c r="B85" s="6" t="s">
        <v>9</v>
      </c>
      <c r="C85" s="6" t="s">
        <v>16</v>
      </c>
      <c r="D85" s="7">
        <v>774.2</v>
      </c>
      <c r="E85" s="7">
        <v>946.25</v>
      </c>
      <c r="F85" s="16">
        <f t="shared" si="3"/>
        <v>0.22222939808834918</v>
      </c>
      <c r="G85" s="9">
        <f>E85-D85</f>
        <v>172.04999999999995</v>
      </c>
      <c r="H85" s="17" cm="1">
        <f t="array" ref="H85">_xlfn.IFS(AND(F85&gt;0%,F85&lt;12%),0%,AND(F85&gt;=12%,F85&lt;=20%),0.5%,F85&gt;20%,1.5%)</f>
        <v>1.4999999999999999E-2</v>
      </c>
      <c r="I85" s="18">
        <f t="shared" si="4"/>
        <v>2.5807499999999992</v>
      </c>
      <c r="J85" s="9">
        <f t="shared" si="5"/>
        <v>174.63074999999995</v>
      </c>
    </row>
    <row r="86" spans="1:21" ht="15.75" customHeight="1" x14ac:dyDescent="0.35">
      <c r="A86" s="5">
        <v>44803</v>
      </c>
      <c r="B86" s="6" t="s">
        <v>14</v>
      </c>
      <c r="C86" s="6" t="s">
        <v>16</v>
      </c>
      <c r="D86" s="7">
        <v>1350.48</v>
      </c>
      <c r="E86" s="7">
        <v>1509.5</v>
      </c>
      <c r="F86" s="16">
        <f t="shared" si="3"/>
        <v>0.11775072566791066</v>
      </c>
      <c r="G86" s="9">
        <f>E86-D86</f>
        <v>159.01999999999998</v>
      </c>
      <c r="H86" s="17" cm="1">
        <f t="array" ref="H86">_xlfn.IFS(AND(F86&gt;0%,F86&lt;12%),0%,AND(F86&gt;=12%,F86&lt;=20%),0.5%,F86&gt;20%,1.5%)</f>
        <v>0</v>
      </c>
      <c r="I86" s="18">
        <f t="shared" si="4"/>
        <v>0</v>
      </c>
      <c r="J86" s="9">
        <f t="shared" si="5"/>
        <v>159.01999999999998</v>
      </c>
    </row>
    <row r="87" spans="1:21" ht="15.75" customHeight="1" x14ac:dyDescent="0.35">
      <c r="A87" s="5">
        <v>44803</v>
      </c>
      <c r="B87" s="6" t="s">
        <v>9</v>
      </c>
      <c r="C87" s="6" t="s">
        <v>15</v>
      </c>
      <c r="D87" s="7">
        <v>1053.3699999999999</v>
      </c>
      <c r="E87" s="7">
        <v>1136.25</v>
      </c>
      <c r="F87" s="16">
        <f t="shared" si="3"/>
        <v>7.8680805415001484E-2</v>
      </c>
      <c r="G87" s="9">
        <f>E87-D87</f>
        <v>82.880000000000109</v>
      </c>
      <c r="H87" s="17" cm="1">
        <f t="array" ref="H87">_xlfn.IFS(AND(F87&gt;0%,F87&lt;12%),0%,AND(F87&gt;=12%,F87&lt;=20%),0.5%,F87&gt;20%,1.5%)</f>
        <v>0</v>
      </c>
      <c r="I87" s="18">
        <f t="shared" si="4"/>
        <v>0</v>
      </c>
      <c r="J87" s="9">
        <f t="shared" si="5"/>
        <v>82.880000000000109</v>
      </c>
    </row>
    <row r="88" spans="1:21" ht="15.75" customHeight="1" x14ac:dyDescent="0.35">
      <c r="A88" s="5">
        <v>44804</v>
      </c>
      <c r="B88" s="6" t="s">
        <v>14</v>
      </c>
      <c r="C88" s="6" t="s">
        <v>15</v>
      </c>
      <c r="D88" s="7">
        <v>1161.92</v>
      </c>
      <c r="E88" s="7">
        <v>1237</v>
      </c>
      <c r="F88" s="16">
        <f t="shared" si="3"/>
        <v>6.4617185348388811E-2</v>
      </c>
      <c r="G88" s="9">
        <f>E88-D88</f>
        <v>75.079999999999927</v>
      </c>
      <c r="H88" s="17" cm="1">
        <f t="array" ref="H88">_xlfn.IFS(AND(F88&gt;0%,F88&lt;12%),0%,AND(F88&gt;=12%,F88&lt;=20%),0.5%,F88&gt;20%,1.5%)</f>
        <v>0</v>
      </c>
      <c r="I88" s="18">
        <f t="shared" si="4"/>
        <v>0</v>
      </c>
      <c r="J88" s="9">
        <f t="shared" si="5"/>
        <v>75.079999999999927</v>
      </c>
    </row>
    <row r="89" spans="1:21" ht="15.75" customHeight="1" x14ac:dyDescent="0.35">
      <c r="A89" s="5">
        <v>44804</v>
      </c>
      <c r="B89" s="6" t="s">
        <v>9</v>
      </c>
      <c r="C89" s="6" t="s">
        <v>16</v>
      </c>
      <c r="D89" s="7">
        <v>951.93</v>
      </c>
      <c r="E89" s="7">
        <v>1136</v>
      </c>
      <c r="F89" s="16">
        <f t="shared" si="3"/>
        <v>0.19336505835513121</v>
      </c>
      <c r="G89" s="9">
        <f>E89-D89</f>
        <v>184.07000000000005</v>
      </c>
      <c r="H89" s="17" cm="1">
        <f t="array" ref="H89">_xlfn.IFS(AND(F89&gt;0%,F89&lt;12%),0%,AND(F89&gt;=12%,F89&lt;=20%),0.5%,F89&gt;20%,1.5%)</f>
        <v>5.0000000000000001E-3</v>
      </c>
      <c r="I89" s="18">
        <f t="shared" si="4"/>
        <v>0.92035000000000022</v>
      </c>
      <c r="J89" s="9">
        <f t="shared" si="5"/>
        <v>184.99035000000006</v>
      </c>
    </row>
    <row r="90" spans="1:21" ht="15.75" customHeight="1" x14ac:dyDescent="0.35">
      <c r="U90" s="10"/>
    </row>
    <row r="91" spans="1:21" ht="15.75" customHeight="1" x14ac:dyDescent="0.35"/>
    <row r="92" spans="1:21" ht="15.75" customHeight="1" x14ac:dyDescent="0.35"/>
    <row r="93" spans="1:21" ht="15.75" customHeight="1" x14ac:dyDescent="0.35"/>
    <row r="94" spans="1:21" ht="15.75" customHeight="1" x14ac:dyDescent="0.35"/>
    <row r="95" spans="1:21" ht="15.75" customHeight="1" x14ac:dyDescent="0.35"/>
    <row r="96" spans="1:21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Qurrat Ul Ain i220727</dc:creator>
  <cp:lastModifiedBy>Muhammad Moiz Ansari</cp:lastModifiedBy>
  <dcterms:created xsi:type="dcterms:W3CDTF">2023-10-08T15:27:11Z</dcterms:created>
  <dcterms:modified xsi:type="dcterms:W3CDTF">2023-10-17T18:40:28Z</dcterms:modified>
</cp:coreProperties>
</file>