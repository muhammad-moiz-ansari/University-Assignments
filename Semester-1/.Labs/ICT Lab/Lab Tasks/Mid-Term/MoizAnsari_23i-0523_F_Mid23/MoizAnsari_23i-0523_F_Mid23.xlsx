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230523\Documents\Moiz Ansari\"/>
    </mc:Choice>
  </mc:AlternateContent>
  <bookViews>
    <workbookView xWindow="0" yWindow="0" windowWidth="28800" windowHeight="12330" tabRatio="691" autoFilterDateGrouping="0"/>
  </bookViews>
  <sheets>
    <sheet name="WOs" sheetId="21" r:id="rId1"/>
    <sheet name="AdminLists" sheetId="10" r:id="rId2"/>
  </sheets>
  <definedNames>
    <definedName name="PmtList">tblPmt[Payment]</definedName>
    <definedName name="Rate01">AdminLists!$C$2</definedName>
    <definedName name="Rate02">AdminLists!$C$3</definedName>
    <definedName name="ServList">tblServ[Service]</definedName>
    <definedName name="TechList">tblTech[LeadTech]</definedName>
    <definedName name="TechNum">tblRates[Techs]</definedName>
    <definedName name="TechRate">tblRates[LbrRate]</definedName>
  </definedNames>
  <calcPr calcId="162913"/>
  <fileRecoveryPr repairLoad="1"/>
</workbook>
</file>

<file path=xl/calcChain.xml><?xml version="1.0" encoding="utf-8"?>
<calcChain xmlns="http://schemas.openxmlformats.org/spreadsheetml/2006/main">
  <c r="V2507" i="21" l="1"/>
  <c r="U2507" i="21"/>
  <c r="R2507" i="21"/>
  <c r="Q2507" i="21"/>
  <c r="T2507" i="21" s="1"/>
  <c r="P2507" i="21"/>
  <c r="S2507" i="21" s="1"/>
  <c r="O2507" i="21" a="1"/>
  <c r="O2507" i="21" s="1"/>
  <c r="N2507" i="21"/>
  <c r="V2506" i="21"/>
  <c r="U2506" i="21"/>
  <c r="R2506" i="21"/>
  <c r="P2506" i="21"/>
  <c r="S2506" i="21" s="1"/>
  <c r="O2506" i="21" a="1"/>
  <c r="O2506" i="21" s="1"/>
  <c r="N2506" i="21"/>
  <c r="V2505" i="21"/>
  <c r="U2505" i="21"/>
  <c r="R2505" i="21"/>
  <c r="P2505" i="21"/>
  <c r="S2505" i="21" s="1"/>
  <c r="O2505" i="21"/>
  <c r="O2505" i="21" a="1"/>
  <c r="N2505" i="21"/>
  <c r="V2504" i="21"/>
  <c r="U2504" i="21"/>
  <c r="R2504" i="21"/>
  <c r="P2504" i="21"/>
  <c r="S2504" i="21" s="1"/>
  <c r="O2504" i="21" a="1"/>
  <c r="O2504" i="21" s="1"/>
  <c r="N2504" i="21"/>
  <c r="V2503" i="21"/>
  <c r="U2503" i="21"/>
  <c r="R2503" i="21"/>
  <c r="P2503" i="21"/>
  <c r="S2503" i="21" s="1"/>
  <c r="O2503" i="21" a="1"/>
  <c r="O2503" i="21" s="1"/>
  <c r="N2503" i="21"/>
  <c r="V2502" i="21"/>
  <c r="U2502" i="21"/>
  <c r="R2502" i="21"/>
  <c r="P2502" i="21"/>
  <c r="S2502" i="21" s="1"/>
  <c r="O2502" i="21" a="1"/>
  <c r="O2502" i="21" s="1"/>
  <c r="N2502" i="21"/>
  <c r="V2501" i="21"/>
  <c r="U2501" i="21"/>
  <c r="R2501" i="21"/>
  <c r="P2501" i="21"/>
  <c r="Q2501" i="21" s="1"/>
  <c r="O2501" i="21" a="1"/>
  <c r="O2501" i="21" s="1"/>
  <c r="N2501" i="21"/>
  <c r="V2500" i="21"/>
  <c r="U2500" i="21"/>
  <c r="R2500" i="21"/>
  <c r="P2500" i="21"/>
  <c r="S2500" i="21" s="1"/>
  <c r="O2500" i="21" a="1"/>
  <c r="O2500" i="21" s="1"/>
  <c r="N2500" i="21"/>
  <c r="V2499" i="21"/>
  <c r="U2499" i="21"/>
  <c r="R2499" i="21"/>
  <c r="Q2499" i="21"/>
  <c r="P2499" i="21"/>
  <c r="S2499" i="21" s="1"/>
  <c r="O2499" i="21" a="1"/>
  <c r="O2499" i="21" s="1"/>
  <c r="N2499" i="21"/>
  <c r="V2498" i="21"/>
  <c r="U2498" i="21"/>
  <c r="R2498" i="21"/>
  <c r="P2498" i="21"/>
  <c r="S2498" i="21" s="1"/>
  <c r="O2498" i="21" a="1"/>
  <c r="O2498" i="21" s="1"/>
  <c r="N2498" i="21"/>
  <c r="V2497" i="21"/>
  <c r="U2497" i="21"/>
  <c r="R2497" i="21"/>
  <c r="P2497" i="21"/>
  <c r="S2497" i="21" s="1"/>
  <c r="O2497" i="21" a="1"/>
  <c r="O2497" i="21" s="1"/>
  <c r="N2497" i="21"/>
  <c r="V2496" i="21"/>
  <c r="U2496" i="21"/>
  <c r="R2496" i="21"/>
  <c r="P2496" i="21"/>
  <c r="S2496" i="21" s="1"/>
  <c r="O2496" i="21" a="1"/>
  <c r="O2496" i="21" s="1"/>
  <c r="N2496" i="21"/>
  <c r="V2495" i="21"/>
  <c r="U2495" i="21"/>
  <c r="R2495" i="21"/>
  <c r="P2495" i="21"/>
  <c r="S2495" i="21" s="1"/>
  <c r="O2495" i="21" a="1"/>
  <c r="O2495" i="21" s="1"/>
  <c r="N2495" i="21"/>
  <c r="V2494" i="21"/>
  <c r="U2494" i="21"/>
  <c r="R2494" i="21"/>
  <c r="P2494" i="21"/>
  <c r="S2494" i="21" s="1"/>
  <c r="O2494" i="21" a="1"/>
  <c r="O2494" i="21" s="1"/>
  <c r="N2494" i="21"/>
  <c r="V2493" i="21"/>
  <c r="U2493" i="21"/>
  <c r="R2493" i="21"/>
  <c r="P2493" i="21"/>
  <c r="Q2493" i="21" s="1"/>
  <c r="O2493" i="21" a="1"/>
  <c r="O2493" i="21" s="1"/>
  <c r="N2493" i="21"/>
  <c r="V2492" i="21"/>
  <c r="U2492" i="21"/>
  <c r="R2492" i="21"/>
  <c r="Q2492" i="21"/>
  <c r="P2492" i="21"/>
  <c r="S2492" i="21" s="1"/>
  <c r="O2492" i="21" a="1"/>
  <c r="O2492" i="21" s="1"/>
  <c r="N2492" i="21"/>
  <c r="V2491" i="21"/>
  <c r="U2491" i="21"/>
  <c r="R2491" i="21"/>
  <c r="P2491" i="21"/>
  <c r="S2491" i="21" s="1"/>
  <c r="O2491" i="21" a="1"/>
  <c r="O2491" i="21" s="1"/>
  <c r="N2491" i="21"/>
  <c r="V2490" i="21"/>
  <c r="U2490" i="21"/>
  <c r="R2490" i="21"/>
  <c r="P2490" i="21"/>
  <c r="S2490" i="21" s="1"/>
  <c r="O2490" i="21" a="1"/>
  <c r="O2490" i="21" s="1"/>
  <c r="N2490" i="21"/>
  <c r="V2489" i="21"/>
  <c r="U2489" i="21"/>
  <c r="R2489" i="21"/>
  <c r="P2489" i="21"/>
  <c r="S2489" i="21" s="1"/>
  <c r="O2489" i="21" a="1"/>
  <c r="O2489" i="21" s="1"/>
  <c r="N2489" i="21"/>
  <c r="V2488" i="21"/>
  <c r="U2488" i="21"/>
  <c r="R2488" i="21"/>
  <c r="Q2488" i="21"/>
  <c r="P2488" i="21"/>
  <c r="S2488" i="21" s="1"/>
  <c r="O2488" i="21" a="1"/>
  <c r="O2488" i="21" s="1"/>
  <c r="N2488" i="21"/>
  <c r="V2487" i="21"/>
  <c r="U2487" i="21"/>
  <c r="R2487" i="21"/>
  <c r="P2487" i="21"/>
  <c r="S2487" i="21" s="1"/>
  <c r="O2487" i="21" a="1"/>
  <c r="O2487" i="21" s="1"/>
  <c r="N2487" i="21"/>
  <c r="V2486" i="21"/>
  <c r="U2486" i="21"/>
  <c r="R2486" i="21"/>
  <c r="P2486" i="21"/>
  <c r="S2486" i="21" s="1"/>
  <c r="O2486" i="21" a="1"/>
  <c r="O2486" i="21" s="1"/>
  <c r="N2486" i="21"/>
  <c r="V2485" i="21"/>
  <c r="U2485" i="21"/>
  <c r="R2485" i="21"/>
  <c r="P2485" i="21"/>
  <c r="Q2485" i="21" s="1"/>
  <c r="O2485" i="21" a="1"/>
  <c r="O2485" i="21" s="1"/>
  <c r="N2485" i="21"/>
  <c r="V2484" i="21"/>
  <c r="U2484" i="21"/>
  <c r="R2484" i="21"/>
  <c r="P2484" i="21"/>
  <c r="S2484" i="21" s="1"/>
  <c r="O2484" i="21" a="1"/>
  <c r="O2484" i="21" s="1"/>
  <c r="N2484" i="21"/>
  <c r="V2483" i="21"/>
  <c r="U2483" i="21"/>
  <c r="R2483" i="21"/>
  <c r="P2483" i="21"/>
  <c r="S2483" i="21" s="1"/>
  <c r="O2483" i="21" a="1"/>
  <c r="O2483" i="21" s="1"/>
  <c r="N2483" i="21"/>
  <c r="V2482" i="21"/>
  <c r="U2482" i="21"/>
  <c r="R2482" i="21"/>
  <c r="P2482" i="21"/>
  <c r="S2482" i="21" s="1"/>
  <c r="O2482" i="21" a="1"/>
  <c r="O2482" i="21" s="1"/>
  <c r="N2482" i="21"/>
  <c r="V2481" i="21"/>
  <c r="U2481" i="21"/>
  <c r="R2481" i="21"/>
  <c r="P2481" i="21"/>
  <c r="S2481" i="21" s="1"/>
  <c r="O2481" i="21" a="1"/>
  <c r="O2481" i="21" s="1"/>
  <c r="N2481" i="21"/>
  <c r="V2480" i="21"/>
  <c r="U2480" i="21"/>
  <c r="R2480" i="21"/>
  <c r="P2480" i="21"/>
  <c r="S2480" i="21" s="1"/>
  <c r="O2480" i="21" a="1"/>
  <c r="O2480" i="21" s="1"/>
  <c r="N2480" i="21"/>
  <c r="V2479" i="21"/>
  <c r="U2479" i="21"/>
  <c r="R2479" i="21"/>
  <c r="P2479" i="21"/>
  <c r="S2479" i="21" s="1"/>
  <c r="O2479" i="21" a="1"/>
  <c r="O2479" i="21" s="1"/>
  <c r="N2479" i="21"/>
  <c r="V2478" i="21"/>
  <c r="U2478" i="21"/>
  <c r="R2478" i="21"/>
  <c r="P2478" i="21"/>
  <c r="S2478" i="21" s="1"/>
  <c r="O2478" i="21" a="1"/>
  <c r="O2478" i="21" s="1"/>
  <c r="N2478" i="21"/>
  <c r="V2477" i="21"/>
  <c r="U2477" i="21"/>
  <c r="R2477" i="21"/>
  <c r="P2477" i="21"/>
  <c r="Q2477" i="21" s="1"/>
  <c r="O2477" i="21" a="1"/>
  <c r="O2477" i="21" s="1"/>
  <c r="N2477" i="21"/>
  <c r="V2476" i="21"/>
  <c r="U2476" i="21"/>
  <c r="R2476" i="21"/>
  <c r="P2476" i="21"/>
  <c r="S2476" i="21" s="1"/>
  <c r="O2476" i="21" a="1"/>
  <c r="O2476" i="21" s="1"/>
  <c r="N2476" i="21"/>
  <c r="V2475" i="21"/>
  <c r="U2475" i="21"/>
  <c r="R2475" i="21"/>
  <c r="P2475" i="21"/>
  <c r="S2475" i="21" s="1"/>
  <c r="O2475" i="21" a="1"/>
  <c r="O2475" i="21" s="1"/>
  <c r="N2475" i="21"/>
  <c r="V2474" i="21"/>
  <c r="U2474" i="21"/>
  <c r="R2474" i="21"/>
  <c r="P2474" i="21"/>
  <c r="S2474" i="21" s="1"/>
  <c r="O2474" i="21" a="1"/>
  <c r="O2474" i="21" s="1"/>
  <c r="N2474" i="21"/>
  <c r="V2473" i="21"/>
  <c r="U2473" i="21"/>
  <c r="R2473" i="21"/>
  <c r="P2473" i="21"/>
  <c r="S2473" i="21" s="1"/>
  <c r="O2473" i="21" a="1"/>
  <c r="O2473" i="21" s="1"/>
  <c r="N2473" i="21"/>
  <c r="V2472" i="21"/>
  <c r="U2472" i="21"/>
  <c r="R2472" i="21"/>
  <c r="P2472" i="21"/>
  <c r="S2472" i="21" s="1"/>
  <c r="O2472" i="21" a="1"/>
  <c r="O2472" i="21" s="1"/>
  <c r="N2472" i="21"/>
  <c r="V2471" i="21"/>
  <c r="U2471" i="21"/>
  <c r="R2471" i="21"/>
  <c r="P2471" i="21"/>
  <c r="S2471" i="21" s="1"/>
  <c r="O2471" i="21" a="1"/>
  <c r="O2471" i="21" s="1"/>
  <c r="N2471" i="21"/>
  <c r="V2470" i="21"/>
  <c r="U2470" i="21"/>
  <c r="R2470" i="21"/>
  <c r="P2470" i="21"/>
  <c r="S2470" i="21" s="1"/>
  <c r="O2470" i="21" a="1"/>
  <c r="O2470" i="21" s="1"/>
  <c r="N2470" i="21"/>
  <c r="V2469" i="21"/>
  <c r="U2469" i="21"/>
  <c r="R2469" i="21"/>
  <c r="P2469" i="21"/>
  <c r="Q2469" i="21" s="1"/>
  <c r="T2469" i="21" s="1"/>
  <c r="O2469" i="21" a="1"/>
  <c r="O2469" i="21" s="1"/>
  <c r="N2469" i="21"/>
  <c r="V2468" i="21"/>
  <c r="U2468" i="21"/>
  <c r="R2468" i="21"/>
  <c r="P2468" i="21"/>
  <c r="S2468" i="21" s="1"/>
  <c r="O2468" i="21" a="1"/>
  <c r="O2468" i="21" s="1"/>
  <c r="N2468" i="21"/>
  <c r="V2467" i="21"/>
  <c r="U2467" i="21"/>
  <c r="R2467" i="21"/>
  <c r="P2467" i="21"/>
  <c r="S2467" i="21" s="1"/>
  <c r="O2467" i="21" a="1"/>
  <c r="O2467" i="21" s="1"/>
  <c r="N2467" i="21"/>
  <c r="V2466" i="21"/>
  <c r="U2466" i="21"/>
  <c r="R2466" i="21"/>
  <c r="P2466" i="21"/>
  <c r="S2466" i="21" s="1"/>
  <c r="O2466" i="21" a="1"/>
  <c r="O2466" i="21" s="1"/>
  <c r="N2466" i="21"/>
  <c r="V2465" i="21"/>
  <c r="U2465" i="21"/>
  <c r="R2465" i="21"/>
  <c r="P2465" i="21"/>
  <c r="S2465" i="21" s="1"/>
  <c r="O2465" i="21" a="1"/>
  <c r="O2465" i="21" s="1"/>
  <c r="N2465" i="21"/>
  <c r="V2464" i="21"/>
  <c r="U2464" i="21"/>
  <c r="R2464" i="21"/>
  <c r="P2464" i="21"/>
  <c r="S2464" i="21" s="1"/>
  <c r="O2464" i="21" a="1"/>
  <c r="O2464" i="21" s="1"/>
  <c r="N2464" i="21"/>
  <c r="V2463" i="21"/>
  <c r="U2463" i="21"/>
  <c r="R2463" i="21"/>
  <c r="P2463" i="21"/>
  <c r="S2463" i="21" s="1"/>
  <c r="O2463" i="21"/>
  <c r="O2463" i="21" a="1"/>
  <c r="N2463" i="21"/>
  <c r="V2462" i="21"/>
  <c r="U2462" i="21"/>
  <c r="R2462" i="21"/>
  <c r="P2462" i="21"/>
  <c r="S2462" i="21" s="1"/>
  <c r="O2462" i="21" a="1"/>
  <c r="O2462" i="21" s="1"/>
  <c r="N2462" i="21"/>
  <c r="V2461" i="21"/>
  <c r="U2461" i="21"/>
  <c r="R2461" i="21"/>
  <c r="P2461" i="21"/>
  <c r="Q2461" i="21" s="1"/>
  <c r="O2461" i="21" a="1"/>
  <c r="O2461" i="21" s="1"/>
  <c r="N2461" i="21"/>
  <c r="V2460" i="21"/>
  <c r="U2460" i="21"/>
  <c r="R2460" i="21"/>
  <c r="P2460" i="21"/>
  <c r="S2460" i="21" s="1"/>
  <c r="O2460" i="21" a="1"/>
  <c r="O2460" i="21" s="1"/>
  <c r="N2460" i="21"/>
  <c r="V2459" i="21"/>
  <c r="U2459" i="21"/>
  <c r="R2459" i="21"/>
  <c r="P2459" i="21"/>
  <c r="S2459" i="21" s="1"/>
  <c r="O2459" i="21" a="1"/>
  <c r="O2459" i="21" s="1"/>
  <c r="N2459" i="21"/>
  <c r="V2458" i="21"/>
  <c r="U2458" i="21"/>
  <c r="R2458" i="21"/>
  <c r="P2458" i="21"/>
  <c r="S2458" i="21" s="1"/>
  <c r="O2458" i="21" a="1"/>
  <c r="O2458" i="21" s="1"/>
  <c r="N2458" i="21"/>
  <c r="V2457" i="21"/>
  <c r="U2457" i="21"/>
  <c r="R2457" i="21"/>
  <c r="P2457" i="21"/>
  <c r="S2457" i="21" s="1"/>
  <c r="O2457" i="21" a="1"/>
  <c r="O2457" i="21" s="1"/>
  <c r="N2457" i="21"/>
  <c r="V2456" i="21"/>
  <c r="U2456" i="21"/>
  <c r="R2456" i="21"/>
  <c r="P2456" i="21"/>
  <c r="S2456" i="21" s="1"/>
  <c r="O2456" i="21" a="1"/>
  <c r="O2456" i="21" s="1"/>
  <c r="N2456" i="21"/>
  <c r="V2455" i="21"/>
  <c r="U2455" i="21"/>
  <c r="R2455" i="21"/>
  <c r="P2455" i="21"/>
  <c r="S2455" i="21" s="1"/>
  <c r="O2455" i="21" a="1"/>
  <c r="O2455" i="21" s="1"/>
  <c r="N2455" i="21"/>
  <c r="V2454" i="21"/>
  <c r="U2454" i="21"/>
  <c r="R2454" i="21"/>
  <c r="P2454" i="21"/>
  <c r="S2454" i="21" s="1"/>
  <c r="O2454" i="21" a="1"/>
  <c r="O2454" i="21" s="1"/>
  <c r="N2454" i="21"/>
  <c r="V2453" i="21"/>
  <c r="U2453" i="21"/>
  <c r="R2453" i="21"/>
  <c r="P2453" i="21"/>
  <c r="Q2453" i="21" s="1"/>
  <c r="O2453" i="21" a="1"/>
  <c r="O2453" i="21" s="1"/>
  <c r="N2453" i="21"/>
  <c r="V2452" i="21"/>
  <c r="U2452" i="21"/>
  <c r="R2452" i="21"/>
  <c r="P2452" i="21"/>
  <c r="S2452" i="21" s="1"/>
  <c r="O2452" i="21" a="1"/>
  <c r="O2452" i="21" s="1"/>
  <c r="N2452" i="21"/>
  <c r="V2451" i="21"/>
  <c r="U2451" i="21"/>
  <c r="R2451" i="21"/>
  <c r="Q2451" i="21"/>
  <c r="P2451" i="21"/>
  <c r="S2451" i="21" s="1"/>
  <c r="O2451" i="21" a="1"/>
  <c r="O2451" i="21" s="1"/>
  <c r="N2451" i="21"/>
  <c r="V2450" i="21"/>
  <c r="U2450" i="21"/>
  <c r="R2450" i="21"/>
  <c r="P2450" i="21"/>
  <c r="S2450" i="21" s="1"/>
  <c r="O2450" i="21" a="1"/>
  <c r="O2450" i="21" s="1"/>
  <c r="N2450" i="21"/>
  <c r="V2449" i="21"/>
  <c r="U2449" i="21"/>
  <c r="R2449" i="21"/>
  <c r="P2449" i="21"/>
  <c r="S2449" i="21" s="1"/>
  <c r="O2449" i="21" a="1"/>
  <c r="O2449" i="21" s="1"/>
  <c r="N2449" i="21"/>
  <c r="V2448" i="21"/>
  <c r="U2448" i="21"/>
  <c r="R2448" i="21"/>
  <c r="P2448" i="21"/>
  <c r="S2448" i="21" s="1"/>
  <c r="O2448" i="21" a="1"/>
  <c r="O2448" i="21" s="1"/>
  <c r="N2448" i="21"/>
  <c r="V2447" i="21"/>
  <c r="U2447" i="21"/>
  <c r="R2447" i="21"/>
  <c r="P2447" i="21"/>
  <c r="S2447" i="21" s="1"/>
  <c r="O2447" i="21" a="1"/>
  <c r="O2447" i="21" s="1"/>
  <c r="N2447" i="21"/>
  <c r="V2446" i="21"/>
  <c r="U2446" i="21"/>
  <c r="R2446" i="21"/>
  <c r="Q2446" i="21"/>
  <c r="P2446" i="21"/>
  <c r="S2446" i="21" s="1"/>
  <c r="O2446" i="21" a="1"/>
  <c r="O2446" i="21" s="1"/>
  <c r="N2446" i="21"/>
  <c r="V2445" i="21"/>
  <c r="U2445" i="21"/>
  <c r="R2445" i="21"/>
  <c r="Q2445" i="21"/>
  <c r="P2445" i="21"/>
  <c r="S2445" i="21" s="1"/>
  <c r="O2445" i="21" a="1"/>
  <c r="O2445" i="21" s="1"/>
  <c r="N2445" i="21"/>
  <c r="V2444" i="21"/>
  <c r="U2444" i="21"/>
  <c r="R2444" i="21"/>
  <c r="P2444" i="21"/>
  <c r="S2444" i="21" s="1"/>
  <c r="O2444" i="21" a="1"/>
  <c r="O2444" i="21" s="1"/>
  <c r="N2444" i="21"/>
  <c r="V2443" i="21"/>
  <c r="U2443" i="21"/>
  <c r="R2443" i="21"/>
  <c r="P2443" i="21"/>
  <c r="S2443" i="21" s="1"/>
  <c r="O2443" i="21" a="1"/>
  <c r="O2443" i="21" s="1"/>
  <c r="N2443" i="21"/>
  <c r="V2442" i="21"/>
  <c r="U2442" i="21"/>
  <c r="R2442" i="21"/>
  <c r="P2442" i="21"/>
  <c r="Q2442" i="21" s="1"/>
  <c r="O2442" i="21" a="1"/>
  <c r="O2442" i="21" s="1"/>
  <c r="N2442" i="21"/>
  <c r="V2441" i="21"/>
  <c r="U2441" i="21"/>
  <c r="R2441" i="21"/>
  <c r="Q2441" i="21"/>
  <c r="P2441" i="21"/>
  <c r="S2441" i="21" s="1"/>
  <c r="O2441" i="21" a="1"/>
  <c r="O2441" i="21" s="1"/>
  <c r="N2441" i="21"/>
  <c r="V2440" i="21"/>
  <c r="U2440" i="21"/>
  <c r="R2440" i="21"/>
  <c r="P2440" i="21"/>
  <c r="S2440" i="21" s="1"/>
  <c r="O2440" i="21" a="1"/>
  <c r="O2440" i="21" s="1"/>
  <c r="N2440" i="21"/>
  <c r="V2439" i="21"/>
  <c r="U2439" i="21"/>
  <c r="R2439" i="21"/>
  <c r="P2439" i="21"/>
  <c r="S2439" i="21" s="1"/>
  <c r="O2439" i="21" a="1"/>
  <c r="O2439" i="21" s="1"/>
  <c r="N2439" i="21"/>
  <c r="V2438" i="21"/>
  <c r="U2438" i="21"/>
  <c r="R2438" i="21"/>
  <c r="Q2438" i="21"/>
  <c r="P2438" i="21"/>
  <c r="S2438" i="21" s="1"/>
  <c r="O2438" i="21" a="1"/>
  <c r="O2438" i="21" s="1"/>
  <c r="N2438" i="21"/>
  <c r="V2437" i="21"/>
  <c r="U2437" i="21"/>
  <c r="R2437" i="21"/>
  <c r="P2437" i="21"/>
  <c r="Q2437" i="21" s="1"/>
  <c r="O2437" i="21" a="1"/>
  <c r="O2437" i="21" s="1"/>
  <c r="N2437" i="21"/>
  <c r="V2436" i="21"/>
  <c r="U2436" i="21"/>
  <c r="R2436" i="21"/>
  <c r="P2436" i="21"/>
  <c r="S2436" i="21" s="1"/>
  <c r="O2436" i="21" a="1"/>
  <c r="O2436" i="21" s="1"/>
  <c r="N2436" i="21"/>
  <c r="V2435" i="21"/>
  <c r="U2435" i="21"/>
  <c r="R2435" i="21"/>
  <c r="P2435" i="21"/>
  <c r="S2435" i="21" s="1"/>
  <c r="O2435" i="21" a="1"/>
  <c r="O2435" i="21" s="1"/>
  <c r="N2435" i="21"/>
  <c r="V2434" i="21"/>
  <c r="U2434" i="21"/>
  <c r="R2434" i="21"/>
  <c r="P2434" i="21"/>
  <c r="S2434" i="21" s="1"/>
  <c r="O2434" i="21" a="1"/>
  <c r="O2434" i="21" s="1"/>
  <c r="N2434" i="21"/>
  <c r="V2433" i="21"/>
  <c r="U2433" i="21"/>
  <c r="R2433" i="21"/>
  <c r="P2433" i="21"/>
  <c r="S2433" i="21" s="1"/>
  <c r="O2433" i="21" a="1"/>
  <c r="O2433" i="21" s="1"/>
  <c r="N2433" i="21"/>
  <c r="V2432" i="21"/>
  <c r="U2432" i="21"/>
  <c r="R2432" i="21"/>
  <c r="P2432" i="21"/>
  <c r="S2432" i="21" s="1"/>
  <c r="O2432" i="21" a="1"/>
  <c r="O2432" i="21" s="1"/>
  <c r="N2432" i="21"/>
  <c r="V2431" i="21"/>
  <c r="U2431" i="21"/>
  <c r="R2431" i="21"/>
  <c r="P2431" i="21"/>
  <c r="O2431" i="21" a="1"/>
  <c r="O2431" i="21" s="1"/>
  <c r="N2431" i="21"/>
  <c r="V2430" i="21"/>
  <c r="U2430" i="21"/>
  <c r="R2430" i="21"/>
  <c r="P2430" i="21"/>
  <c r="S2430" i="21" s="1"/>
  <c r="O2430" i="21" a="1"/>
  <c r="O2430" i="21" s="1"/>
  <c r="N2430" i="21"/>
  <c r="V2429" i="21"/>
  <c r="U2429" i="21"/>
  <c r="R2429" i="21"/>
  <c r="P2429" i="21"/>
  <c r="Q2429" i="21" s="1"/>
  <c r="O2429" i="21" a="1"/>
  <c r="O2429" i="21" s="1"/>
  <c r="N2429" i="21"/>
  <c r="V2428" i="21"/>
  <c r="U2428" i="21"/>
  <c r="R2428" i="21"/>
  <c r="P2428" i="21"/>
  <c r="S2428" i="21" s="1"/>
  <c r="O2428" i="21" a="1"/>
  <c r="O2428" i="21" s="1"/>
  <c r="N2428" i="21"/>
  <c r="V2427" i="21"/>
  <c r="U2427" i="21"/>
  <c r="R2427" i="21"/>
  <c r="P2427" i="21"/>
  <c r="S2427" i="21" s="1"/>
  <c r="O2427" i="21" a="1"/>
  <c r="O2427" i="21" s="1"/>
  <c r="N2427" i="21"/>
  <c r="V2426" i="21"/>
  <c r="U2426" i="21"/>
  <c r="R2426" i="21"/>
  <c r="P2426" i="21"/>
  <c r="Q2426" i="21" s="1"/>
  <c r="O2426" i="21" a="1"/>
  <c r="O2426" i="21" s="1"/>
  <c r="N2426" i="21"/>
  <c r="V2425" i="21"/>
  <c r="U2425" i="21"/>
  <c r="R2425" i="21"/>
  <c r="P2425" i="21"/>
  <c r="S2425" i="21" s="1"/>
  <c r="O2425" i="21" a="1"/>
  <c r="O2425" i="21" s="1"/>
  <c r="N2425" i="21"/>
  <c r="V2424" i="21"/>
  <c r="U2424" i="21"/>
  <c r="R2424" i="21"/>
  <c r="Q2424" i="21"/>
  <c r="T2424" i="21" s="1"/>
  <c r="P2424" i="21"/>
  <c r="S2424" i="21" s="1"/>
  <c r="O2424" i="21" a="1"/>
  <c r="O2424" i="21" s="1"/>
  <c r="N2424" i="21"/>
  <c r="V2423" i="21"/>
  <c r="U2423" i="21"/>
  <c r="R2423" i="21"/>
  <c r="P2423" i="21"/>
  <c r="O2423" i="21" a="1"/>
  <c r="O2423" i="21" s="1"/>
  <c r="N2423" i="21"/>
  <c r="V2422" i="21"/>
  <c r="U2422" i="21"/>
  <c r="R2422" i="21"/>
  <c r="P2422" i="21"/>
  <c r="S2422" i="21" s="1"/>
  <c r="O2422" i="21" a="1"/>
  <c r="O2422" i="21" s="1"/>
  <c r="N2422" i="21"/>
  <c r="V2421" i="21"/>
  <c r="U2421" i="21"/>
  <c r="R2421" i="21"/>
  <c r="P2421" i="21"/>
  <c r="Q2421" i="21" s="1"/>
  <c r="O2421" i="21" a="1"/>
  <c r="O2421" i="21" s="1"/>
  <c r="N2421" i="21"/>
  <c r="V2420" i="21"/>
  <c r="U2420" i="21"/>
  <c r="R2420" i="21"/>
  <c r="P2420" i="21"/>
  <c r="S2420" i="21" s="1"/>
  <c r="O2420" i="21" a="1"/>
  <c r="O2420" i="21" s="1"/>
  <c r="N2420" i="21"/>
  <c r="V2419" i="21"/>
  <c r="U2419" i="21"/>
  <c r="R2419" i="21"/>
  <c r="P2419" i="21"/>
  <c r="S2419" i="21" s="1"/>
  <c r="O2419" i="21" a="1"/>
  <c r="O2419" i="21" s="1"/>
  <c r="N2419" i="21"/>
  <c r="V2418" i="21"/>
  <c r="U2418" i="21"/>
  <c r="R2418" i="21"/>
  <c r="P2418" i="21"/>
  <c r="S2418" i="21" s="1"/>
  <c r="O2418" i="21" a="1"/>
  <c r="O2418" i="21" s="1"/>
  <c r="N2418" i="21"/>
  <c r="V2417" i="21"/>
  <c r="U2417" i="21"/>
  <c r="R2417" i="21"/>
  <c r="Q2417" i="21"/>
  <c r="P2417" i="21"/>
  <c r="S2417" i="21" s="1"/>
  <c r="O2417" i="21" a="1"/>
  <c r="O2417" i="21" s="1"/>
  <c r="N2417" i="21"/>
  <c r="V2416" i="21"/>
  <c r="U2416" i="21"/>
  <c r="R2416" i="21"/>
  <c r="P2416" i="21"/>
  <c r="S2416" i="21" s="1"/>
  <c r="O2416" i="21" a="1"/>
  <c r="O2416" i="21" s="1"/>
  <c r="N2416" i="21"/>
  <c r="V2415" i="21"/>
  <c r="U2415" i="21"/>
  <c r="R2415" i="21"/>
  <c r="P2415" i="21"/>
  <c r="O2415" i="21" a="1"/>
  <c r="O2415" i="21" s="1"/>
  <c r="N2415" i="21"/>
  <c r="V2414" i="21"/>
  <c r="U2414" i="21"/>
  <c r="R2414" i="21"/>
  <c r="P2414" i="21"/>
  <c r="S2414" i="21" s="1"/>
  <c r="O2414" i="21" a="1"/>
  <c r="O2414" i="21" s="1"/>
  <c r="N2414" i="21"/>
  <c r="V2413" i="21"/>
  <c r="U2413" i="21"/>
  <c r="R2413" i="21"/>
  <c r="P2413" i="21"/>
  <c r="Q2413" i="21" s="1"/>
  <c r="O2413" i="21" a="1"/>
  <c r="O2413" i="21" s="1"/>
  <c r="N2413" i="21"/>
  <c r="V2412" i="21"/>
  <c r="U2412" i="21"/>
  <c r="R2412" i="21"/>
  <c r="Q2412" i="21"/>
  <c r="P2412" i="21"/>
  <c r="S2412" i="21" s="1"/>
  <c r="O2412" i="21" a="1"/>
  <c r="O2412" i="21" s="1"/>
  <c r="N2412" i="21"/>
  <c r="V2411" i="21"/>
  <c r="U2411" i="21"/>
  <c r="R2411" i="21"/>
  <c r="P2411" i="21"/>
  <c r="S2411" i="21" s="1"/>
  <c r="O2411" i="21" a="1"/>
  <c r="O2411" i="21" s="1"/>
  <c r="N2411" i="21"/>
  <c r="V2410" i="21"/>
  <c r="U2410" i="21"/>
  <c r="R2410" i="21"/>
  <c r="P2410" i="21"/>
  <c r="S2410" i="21" s="1"/>
  <c r="O2410" i="21" a="1"/>
  <c r="O2410" i="21" s="1"/>
  <c r="N2410" i="21"/>
  <c r="V2409" i="21"/>
  <c r="U2409" i="21"/>
  <c r="R2409" i="21"/>
  <c r="P2409" i="21"/>
  <c r="S2409" i="21" s="1"/>
  <c r="O2409" i="21" a="1"/>
  <c r="O2409" i="21" s="1"/>
  <c r="N2409" i="21"/>
  <c r="V2408" i="21"/>
  <c r="U2408" i="21"/>
  <c r="R2408" i="21"/>
  <c r="P2408" i="21"/>
  <c r="S2408" i="21" s="1"/>
  <c r="O2408" i="21" a="1"/>
  <c r="O2408" i="21" s="1"/>
  <c r="N2408" i="21"/>
  <c r="V2407" i="21"/>
  <c r="U2407" i="21"/>
  <c r="R2407" i="21"/>
  <c r="P2407" i="21"/>
  <c r="O2407" i="21" a="1"/>
  <c r="O2407" i="21" s="1"/>
  <c r="N2407" i="21"/>
  <c r="V2406" i="21"/>
  <c r="U2406" i="21"/>
  <c r="R2406" i="21"/>
  <c r="P2406" i="21"/>
  <c r="S2406" i="21" s="1"/>
  <c r="O2406" i="21" a="1"/>
  <c r="O2406" i="21" s="1"/>
  <c r="N2406" i="21"/>
  <c r="V2405" i="21"/>
  <c r="U2405" i="21"/>
  <c r="R2405" i="21"/>
  <c r="P2405" i="21"/>
  <c r="Q2405" i="21" s="1"/>
  <c r="O2405" i="21" a="1"/>
  <c r="O2405" i="21" s="1"/>
  <c r="N2405" i="21"/>
  <c r="V2404" i="21"/>
  <c r="U2404" i="21"/>
  <c r="R2404" i="21"/>
  <c r="P2404" i="21"/>
  <c r="S2404" i="21" s="1"/>
  <c r="O2404" i="21" a="1"/>
  <c r="O2404" i="21" s="1"/>
  <c r="N2404" i="21"/>
  <c r="V2403" i="21"/>
  <c r="U2403" i="21"/>
  <c r="R2403" i="21"/>
  <c r="P2403" i="21"/>
  <c r="S2403" i="21" s="1"/>
  <c r="O2403" i="21" a="1"/>
  <c r="O2403" i="21" s="1"/>
  <c r="N2403" i="21"/>
  <c r="V2402" i="21"/>
  <c r="U2402" i="21"/>
  <c r="R2402" i="21"/>
  <c r="P2402" i="21"/>
  <c r="S2402" i="21" s="1"/>
  <c r="O2402" i="21" a="1"/>
  <c r="O2402" i="21" s="1"/>
  <c r="N2402" i="21"/>
  <c r="V2401" i="21"/>
  <c r="U2401" i="21"/>
  <c r="R2401" i="21"/>
  <c r="P2401" i="21"/>
  <c r="S2401" i="21" s="1"/>
  <c r="O2401" i="21" a="1"/>
  <c r="O2401" i="21" s="1"/>
  <c r="N2401" i="21"/>
  <c r="V2400" i="21"/>
  <c r="U2400" i="21"/>
  <c r="R2400" i="21"/>
  <c r="P2400" i="21"/>
  <c r="S2400" i="21" s="1"/>
  <c r="O2400" i="21" a="1"/>
  <c r="O2400" i="21" s="1"/>
  <c r="N2400" i="21"/>
  <c r="V2399" i="21"/>
  <c r="U2399" i="21"/>
  <c r="R2399" i="21"/>
  <c r="P2399" i="21"/>
  <c r="O2399" i="21" a="1"/>
  <c r="O2399" i="21" s="1"/>
  <c r="N2399" i="21"/>
  <c r="V2398" i="21"/>
  <c r="U2398" i="21"/>
  <c r="R2398" i="21"/>
  <c r="P2398" i="21"/>
  <c r="S2398" i="21" s="1"/>
  <c r="O2398" i="21" a="1"/>
  <c r="O2398" i="21" s="1"/>
  <c r="N2398" i="21"/>
  <c r="V2397" i="21"/>
  <c r="U2397" i="21"/>
  <c r="R2397" i="21"/>
  <c r="T2397" i="21" s="1"/>
  <c r="P2397" i="21"/>
  <c r="Q2397" i="21" s="1"/>
  <c r="O2397" i="21" a="1"/>
  <c r="O2397" i="21" s="1"/>
  <c r="N2397" i="21"/>
  <c r="V2396" i="21"/>
  <c r="U2396" i="21"/>
  <c r="R2396" i="21"/>
  <c r="P2396" i="21"/>
  <c r="S2396" i="21" s="1"/>
  <c r="O2396" i="21" a="1"/>
  <c r="O2396" i="21" s="1"/>
  <c r="N2396" i="21"/>
  <c r="V2395" i="21"/>
  <c r="U2395" i="21"/>
  <c r="R2395" i="21"/>
  <c r="P2395" i="21"/>
  <c r="S2395" i="21" s="1"/>
  <c r="O2395" i="21" a="1"/>
  <c r="O2395" i="21" s="1"/>
  <c r="N2395" i="21"/>
  <c r="V2394" i="21"/>
  <c r="U2394" i="21"/>
  <c r="R2394" i="21"/>
  <c r="P2394" i="21"/>
  <c r="S2394" i="21" s="1"/>
  <c r="O2394" i="21" a="1"/>
  <c r="O2394" i="21" s="1"/>
  <c r="N2394" i="21"/>
  <c r="V2393" i="21"/>
  <c r="U2393" i="21"/>
  <c r="R2393" i="21"/>
  <c r="P2393" i="21"/>
  <c r="S2393" i="21" s="1"/>
  <c r="O2393" i="21" a="1"/>
  <c r="O2393" i="21" s="1"/>
  <c r="N2393" i="21"/>
  <c r="V2392" i="21"/>
  <c r="U2392" i="21"/>
  <c r="R2392" i="21"/>
  <c r="P2392" i="21"/>
  <c r="S2392" i="21" s="1"/>
  <c r="O2392" i="21" a="1"/>
  <c r="O2392" i="21" s="1"/>
  <c r="N2392" i="21"/>
  <c r="V2391" i="21"/>
  <c r="U2391" i="21"/>
  <c r="R2391" i="21"/>
  <c r="P2391" i="21"/>
  <c r="O2391" i="21" a="1"/>
  <c r="O2391" i="21" s="1"/>
  <c r="N2391" i="21"/>
  <c r="V2390" i="21"/>
  <c r="U2390" i="21"/>
  <c r="R2390" i="21"/>
  <c r="P2390" i="21"/>
  <c r="S2390" i="21" s="1"/>
  <c r="O2390" i="21" a="1"/>
  <c r="O2390" i="21" s="1"/>
  <c r="N2390" i="21"/>
  <c r="V2389" i="21"/>
  <c r="U2389" i="21"/>
  <c r="R2389" i="21"/>
  <c r="P2389" i="21"/>
  <c r="Q2389" i="21" s="1"/>
  <c r="O2389" i="21" a="1"/>
  <c r="O2389" i="21" s="1"/>
  <c r="N2389" i="21"/>
  <c r="V2388" i="21"/>
  <c r="U2388" i="21"/>
  <c r="R2388" i="21"/>
  <c r="P2388" i="21"/>
  <c r="S2388" i="21" s="1"/>
  <c r="O2388" i="21" a="1"/>
  <c r="O2388" i="21" s="1"/>
  <c r="N2388" i="21"/>
  <c r="V2387" i="21"/>
  <c r="U2387" i="21"/>
  <c r="R2387" i="21"/>
  <c r="P2387" i="21"/>
  <c r="S2387" i="21" s="1"/>
  <c r="O2387" i="21" a="1"/>
  <c r="O2387" i="21" s="1"/>
  <c r="N2387" i="21"/>
  <c r="V2386" i="21"/>
  <c r="U2386" i="21"/>
  <c r="R2386" i="21"/>
  <c r="P2386" i="21"/>
  <c r="S2386" i="21" s="1"/>
  <c r="O2386" i="21" a="1"/>
  <c r="O2386" i="21" s="1"/>
  <c r="N2386" i="21"/>
  <c r="V2385" i="21"/>
  <c r="U2385" i="21"/>
  <c r="R2385" i="21"/>
  <c r="P2385" i="21"/>
  <c r="O2385" i="21" a="1"/>
  <c r="O2385" i="21" s="1"/>
  <c r="N2385" i="21"/>
  <c r="V2384" i="21"/>
  <c r="U2384" i="21"/>
  <c r="R2384" i="21"/>
  <c r="P2384" i="21"/>
  <c r="S2384" i="21" s="1"/>
  <c r="O2384" i="21" a="1"/>
  <c r="O2384" i="21" s="1"/>
  <c r="N2384" i="21"/>
  <c r="V2383" i="21"/>
  <c r="U2383" i="21"/>
  <c r="R2383" i="21"/>
  <c r="P2383" i="21"/>
  <c r="O2383" i="21" a="1"/>
  <c r="O2383" i="21" s="1"/>
  <c r="N2383" i="21"/>
  <c r="V2382" i="21"/>
  <c r="U2382" i="21"/>
  <c r="R2382" i="21"/>
  <c r="P2382" i="21"/>
  <c r="S2382" i="21" s="1"/>
  <c r="O2382" i="21" a="1"/>
  <c r="O2382" i="21" s="1"/>
  <c r="N2382" i="21"/>
  <c r="V2381" i="21"/>
  <c r="U2381" i="21"/>
  <c r="R2381" i="21"/>
  <c r="P2381" i="21"/>
  <c r="Q2381" i="21" s="1"/>
  <c r="O2381" i="21" a="1"/>
  <c r="O2381" i="21" s="1"/>
  <c r="N2381" i="21"/>
  <c r="V2380" i="21"/>
  <c r="U2380" i="21"/>
  <c r="R2380" i="21"/>
  <c r="P2380" i="21"/>
  <c r="S2380" i="21" s="1"/>
  <c r="O2380" i="21" a="1"/>
  <c r="O2380" i="21" s="1"/>
  <c r="N2380" i="21"/>
  <c r="V2379" i="21"/>
  <c r="U2379" i="21"/>
  <c r="R2379" i="21"/>
  <c r="P2379" i="21"/>
  <c r="S2379" i="21" s="1"/>
  <c r="O2379" i="21" a="1"/>
  <c r="O2379" i="21" s="1"/>
  <c r="N2379" i="21"/>
  <c r="V2378" i="21"/>
  <c r="U2378" i="21"/>
  <c r="R2378" i="21"/>
  <c r="P2378" i="21"/>
  <c r="S2378" i="21" s="1"/>
  <c r="O2378" i="21" a="1"/>
  <c r="O2378" i="21" s="1"/>
  <c r="N2378" i="21"/>
  <c r="V2377" i="21"/>
  <c r="U2377" i="21"/>
  <c r="R2377" i="21"/>
  <c r="P2377" i="21"/>
  <c r="O2377" i="21" a="1"/>
  <c r="O2377" i="21" s="1"/>
  <c r="N2377" i="21"/>
  <c r="V2376" i="21"/>
  <c r="U2376" i="21"/>
  <c r="R2376" i="21"/>
  <c r="Q2376" i="21"/>
  <c r="P2376" i="21"/>
  <c r="S2376" i="21" s="1"/>
  <c r="O2376" i="21" a="1"/>
  <c r="O2376" i="21" s="1"/>
  <c r="N2376" i="21"/>
  <c r="V2375" i="21"/>
  <c r="U2375" i="21"/>
  <c r="R2375" i="21"/>
  <c r="Q2375" i="21"/>
  <c r="P2375" i="21"/>
  <c r="S2375" i="21" s="1"/>
  <c r="O2375" i="21" a="1"/>
  <c r="O2375" i="21" s="1"/>
  <c r="N2375" i="21"/>
  <c r="V2374" i="21"/>
  <c r="U2374" i="21"/>
  <c r="R2374" i="21"/>
  <c r="P2374" i="21"/>
  <c r="S2374" i="21" s="1"/>
  <c r="O2374" i="21" a="1"/>
  <c r="O2374" i="21" s="1"/>
  <c r="N2374" i="21"/>
  <c r="V2373" i="21"/>
  <c r="U2373" i="21"/>
  <c r="R2373" i="21"/>
  <c r="P2373" i="21"/>
  <c r="Q2373" i="21" s="1"/>
  <c r="O2373" i="21" a="1"/>
  <c r="O2373" i="21" s="1"/>
  <c r="N2373" i="21"/>
  <c r="V2372" i="21"/>
  <c r="U2372" i="21"/>
  <c r="R2372" i="21"/>
  <c r="P2372" i="21"/>
  <c r="S2372" i="21" s="1"/>
  <c r="O2372" i="21" a="1"/>
  <c r="O2372" i="21" s="1"/>
  <c r="N2372" i="21"/>
  <c r="V2371" i="21"/>
  <c r="U2371" i="21"/>
  <c r="R2371" i="21"/>
  <c r="P2371" i="21"/>
  <c r="S2371" i="21" s="1"/>
  <c r="O2371" i="21" a="1"/>
  <c r="O2371" i="21" s="1"/>
  <c r="N2371" i="21"/>
  <c r="V2370" i="21"/>
  <c r="U2370" i="21"/>
  <c r="R2370" i="21"/>
  <c r="P2370" i="21"/>
  <c r="S2370" i="21" s="1"/>
  <c r="O2370" i="21" a="1"/>
  <c r="O2370" i="21" s="1"/>
  <c r="N2370" i="21"/>
  <c r="V2369" i="21"/>
  <c r="U2369" i="21"/>
  <c r="R2369" i="21"/>
  <c r="P2369" i="21"/>
  <c r="O2369" i="21" a="1"/>
  <c r="O2369" i="21" s="1"/>
  <c r="N2369" i="21"/>
  <c r="V2368" i="21"/>
  <c r="U2368" i="21"/>
  <c r="R2368" i="21"/>
  <c r="P2368" i="21"/>
  <c r="S2368" i="21" s="1"/>
  <c r="O2368" i="21" a="1"/>
  <c r="O2368" i="21" s="1"/>
  <c r="N2368" i="21"/>
  <c r="V2367" i="21"/>
  <c r="U2367" i="21"/>
  <c r="R2367" i="21"/>
  <c r="P2367" i="21"/>
  <c r="Q2367" i="21" s="1"/>
  <c r="O2367" i="21" a="1"/>
  <c r="O2367" i="21" s="1"/>
  <c r="N2367" i="21"/>
  <c r="V2366" i="21"/>
  <c r="U2366" i="21"/>
  <c r="R2366" i="21"/>
  <c r="P2366" i="21"/>
  <c r="S2366" i="21" s="1"/>
  <c r="O2366" i="21" a="1"/>
  <c r="O2366" i="21" s="1"/>
  <c r="N2366" i="21"/>
  <c r="V2365" i="21"/>
  <c r="U2365" i="21"/>
  <c r="R2365" i="21"/>
  <c r="P2365" i="21"/>
  <c r="Q2365" i="21" s="1"/>
  <c r="O2365" i="21" a="1"/>
  <c r="O2365" i="21" s="1"/>
  <c r="N2365" i="21"/>
  <c r="V2364" i="21"/>
  <c r="U2364" i="21"/>
  <c r="R2364" i="21"/>
  <c r="P2364" i="21"/>
  <c r="S2364" i="21" s="1"/>
  <c r="O2364" i="21" a="1"/>
  <c r="O2364" i="21" s="1"/>
  <c r="N2364" i="21"/>
  <c r="V2363" i="21"/>
  <c r="U2363" i="21"/>
  <c r="R2363" i="21"/>
  <c r="P2363" i="21"/>
  <c r="S2363" i="21" s="1"/>
  <c r="O2363" i="21" a="1"/>
  <c r="O2363" i="21" s="1"/>
  <c r="N2363" i="21"/>
  <c r="V2362" i="21"/>
  <c r="U2362" i="21"/>
  <c r="R2362" i="21"/>
  <c r="P2362" i="21"/>
  <c r="S2362" i="21" s="1"/>
  <c r="O2362" i="21" a="1"/>
  <c r="O2362" i="21" s="1"/>
  <c r="N2362" i="21"/>
  <c r="V2361" i="21"/>
  <c r="U2361" i="21"/>
  <c r="R2361" i="21"/>
  <c r="P2361" i="21"/>
  <c r="O2361" i="21" a="1"/>
  <c r="O2361" i="21" s="1"/>
  <c r="N2361" i="21"/>
  <c r="V2360" i="21"/>
  <c r="U2360" i="21"/>
  <c r="R2360" i="21"/>
  <c r="P2360" i="21"/>
  <c r="S2360" i="21" s="1"/>
  <c r="O2360" i="21" a="1"/>
  <c r="O2360" i="21" s="1"/>
  <c r="N2360" i="21"/>
  <c r="V2359" i="21"/>
  <c r="U2359" i="21"/>
  <c r="R2359" i="21"/>
  <c r="P2359" i="21"/>
  <c r="Q2359" i="21" s="1"/>
  <c r="O2359" i="21" a="1"/>
  <c r="O2359" i="21" s="1"/>
  <c r="N2359" i="21"/>
  <c r="V2358" i="21"/>
  <c r="U2358" i="21"/>
  <c r="R2358" i="21"/>
  <c r="P2358" i="21"/>
  <c r="S2358" i="21" s="1"/>
  <c r="O2358" i="21" a="1"/>
  <c r="O2358" i="21" s="1"/>
  <c r="N2358" i="21"/>
  <c r="V2357" i="21"/>
  <c r="U2357" i="21"/>
  <c r="R2357" i="21"/>
  <c r="P2357" i="21"/>
  <c r="Q2357" i="21" s="1"/>
  <c r="O2357" i="21" a="1"/>
  <c r="O2357" i="21" s="1"/>
  <c r="N2357" i="21"/>
  <c r="V2356" i="21"/>
  <c r="U2356" i="21"/>
  <c r="R2356" i="21"/>
  <c r="P2356" i="21"/>
  <c r="S2356" i="21" s="1"/>
  <c r="O2356" i="21" a="1"/>
  <c r="O2356" i="21" s="1"/>
  <c r="N2356" i="21"/>
  <c r="V2355" i="21"/>
  <c r="U2355" i="21"/>
  <c r="R2355" i="21"/>
  <c r="P2355" i="21"/>
  <c r="S2355" i="21" s="1"/>
  <c r="O2355" i="21" a="1"/>
  <c r="O2355" i="21" s="1"/>
  <c r="N2355" i="21"/>
  <c r="V2354" i="21"/>
  <c r="U2354" i="21"/>
  <c r="R2354" i="21"/>
  <c r="P2354" i="21"/>
  <c r="S2354" i="21" s="1"/>
  <c r="O2354" i="21" a="1"/>
  <c r="O2354" i="21" s="1"/>
  <c r="N2354" i="21"/>
  <c r="V2353" i="21"/>
  <c r="U2353" i="21"/>
  <c r="R2353" i="21"/>
  <c r="P2353" i="21"/>
  <c r="O2353" i="21" a="1"/>
  <c r="O2353" i="21" s="1"/>
  <c r="N2353" i="21"/>
  <c r="V2352" i="21"/>
  <c r="U2352" i="21"/>
  <c r="R2352" i="21"/>
  <c r="P2352" i="21"/>
  <c r="S2352" i="21" s="1"/>
  <c r="O2352" i="21" a="1"/>
  <c r="O2352" i="21" s="1"/>
  <c r="N2352" i="21"/>
  <c r="V2351" i="21"/>
  <c r="U2351" i="21"/>
  <c r="R2351" i="21"/>
  <c r="P2351" i="21"/>
  <c r="Q2351" i="21" s="1"/>
  <c r="O2351" i="21" a="1"/>
  <c r="O2351" i="21" s="1"/>
  <c r="N2351" i="21"/>
  <c r="V2350" i="21"/>
  <c r="U2350" i="21"/>
  <c r="R2350" i="21"/>
  <c r="P2350" i="21"/>
  <c r="S2350" i="21" s="1"/>
  <c r="O2350" i="21" a="1"/>
  <c r="O2350" i="21" s="1"/>
  <c r="N2350" i="21"/>
  <c r="V2349" i="21"/>
  <c r="U2349" i="21"/>
  <c r="R2349" i="21"/>
  <c r="P2349" i="21"/>
  <c r="Q2349" i="21" s="1"/>
  <c r="O2349" i="21" a="1"/>
  <c r="O2349" i="21" s="1"/>
  <c r="N2349" i="21"/>
  <c r="V2348" i="21"/>
  <c r="U2348" i="21"/>
  <c r="R2348" i="21"/>
  <c r="P2348" i="21"/>
  <c r="S2348" i="21" s="1"/>
  <c r="O2348" i="21" a="1"/>
  <c r="O2348" i="21" s="1"/>
  <c r="N2348" i="21"/>
  <c r="V2347" i="21"/>
  <c r="U2347" i="21"/>
  <c r="R2347" i="21"/>
  <c r="P2347" i="21"/>
  <c r="S2347" i="21" s="1"/>
  <c r="O2347" i="21" a="1"/>
  <c r="O2347" i="21" s="1"/>
  <c r="N2347" i="21"/>
  <c r="V2346" i="21"/>
  <c r="U2346" i="21"/>
  <c r="R2346" i="21"/>
  <c r="P2346" i="21"/>
  <c r="S2346" i="21" s="1"/>
  <c r="O2346" i="21" a="1"/>
  <c r="O2346" i="21" s="1"/>
  <c r="N2346" i="21"/>
  <c r="V2345" i="21"/>
  <c r="U2345" i="21"/>
  <c r="R2345" i="21"/>
  <c r="P2345" i="21"/>
  <c r="O2345" i="21" a="1"/>
  <c r="O2345" i="21" s="1"/>
  <c r="N2345" i="21"/>
  <c r="V2344" i="21"/>
  <c r="U2344" i="21"/>
  <c r="R2344" i="21"/>
  <c r="P2344" i="21"/>
  <c r="S2344" i="21" s="1"/>
  <c r="O2344" i="21" a="1"/>
  <c r="O2344" i="21" s="1"/>
  <c r="N2344" i="21"/>
  <c r="V2343" i="21"/>
  <c r="U2343" i="21"/>
  <c r="R2343" i="21"/>
  <c r="P2343" i="21"/>
  <c r="Q2343" i="21" s="1"/>
  <c r="O2343" i="21" a="1"/>
  <c r="O2343" i="21" s="1"/>
  <c r="N2343" i="21"/>
  <c r="V2342" i="21"/>
  <c r="U2342" i="21"/>
  <c r="R2342" i="21"/>
  <c r="P2342" i="21"/>
  <c r="S2342" i="21" s="1"/>
  <c r="O2342" i="21" a="1"/>
  <c r="O2342" i="21" s="1"/>
  <c r="N2342" i="21"/>
  <c r="V2341" i="21"/>
  <c r="U2341" i="21"/>
  <c r="R2341" i="21"/>
  <c r="Q2341" i="21"/>
  <c r="P2341" i="21"/>
  <c r="S2341" i="21" s="1"/>
  <c r="O2341" i="21" a="1"/>
  <c r="O2341" i="21" s="1"/>
  <c r="N2341" i="21"/>
  <c r="V2340" i="21"/>
  <c r="U2340" i="21"/>
  <c r="R2340" i="21"/>
  <c r="P2340" i="21"/>
  <c r="S2340" i="21" s="1"/>
  <c r="O2340" i="21" a="1"/>
  <c r="O2340" i="21" s="1"/>
  <c r="N2340" i="21"/>
  <c r="V2339" i="21"/>
  <c r="U2339" i="21"/>
  <c r="R2339" i="21"/>
  <c r="P2339" i="21"/>
  <c r="S2339" i="21" s="1"/>
  <c r="O2339" i="21" a="1"/>
  <c r="O2339" i="21" s="1"/>
  <c r="N2339" i="21"/>
  <c r="V2338" i="21"/>
  <c r="U2338" i="21"/>
  <c r="R2338" i="21"/>
  <c r="P2338" i="21"/>
  <c r="S2338" i="21" s="1"/>
  <c r="O2338" i="21" a="1"/>
  <c r="O2338" i="21" s="1"/>
  <c r="N2338" i="21"/>
  <c r="V2337" i="21"/>
  <c r="U2337" i="21"/>
  <c r="R2337" i="21"/>
  <c r="P2337" i="21"/>
  <c r="O2337" i="21" a="1"/>
  <c r="O2337" i="21" s="1"/>
  <c r="N2337" i="21"/>
  <c r="V2336" i="21"/>
  <c r="U2336" i="21"/>
  <c r="R2336" i="21"/>
  <c r="P2336" i="21"/>
  <c r="S2336" i="21" s="1"/>
  <c r="O2336" i="21" a="1"/>
  <c r="O2336" i="21" s="1"/>
  <c r="N2336" i="21"/>
  <c r="V2335" i="21"/>
  <c r="U2335" i="21"/>
  <c r="R2335" i="21"/>
  <c r="P2335" i="21"/>
  <c r="Q2335" i="21" s="1"/>
  <c r="O2335" i="21"/>
  <c r="O2335" i="21" a="1"/>
  <c r="N2335" i="21"/>
  <c r="V2334" i="21"/>
  <c r="U2334" i="21"/>
  <c r="R2334" i="21"/>
  <c r="P2334" i="21"/>
  <c r="S2334" i="21" s="1"/>
  <c r="O2334" i="21" a="1"/>
  <c r="O2334" i="21" s="1"/>
  <c r="N2334" i="21"/>
  <c r="V2333" i="21"/>
  <c r="U2333" i="21"/>
  <c r="R2333" i="21"/>
  <c r="P2333" i="21"/>
  <c r="Q2333" i="21" s="1"/>
  <c r="O2333" i="21" a="1"/>
  <c r="O2333" i="21" s="1"/>
  <c r="N2333" i="21"/>
  <c r="V2332" i="21"/>
  <c r="U2332" i="21"/>
  <c r="R2332" i="21"/>
  <c r="P2332" i="21"/>
  <c r="S2332" i="21" s="1"/>
  <c r="O2332" i="21" a="1"/>
  <c r="O2332" i="21" s="1"/>
  <c r="N2332" i="21"/>
  <c r="V2331" i="21"/>
  <c r="U2331" i="21"/>
  <c r="R2331" i="21"/>
  <c r="P2331" i="21"/>
  <c r="S2331" i="21" s="1"/>
  <c r="O2331" i="21" a="1"/>
  <c r="O2331" i="21" s="1"/>
  <c r="N2331" i="21"/>
  <c r="V2330" i="21"/>
  <c r="U2330" i="21"/>
  <c r="R2330" i="21"/>
  <c r="Q2330" i="21"/>
  <c r="P2330" i="21"/>
  <c r="S2330" i="21" s="1"/>
  <c r="O2330" i="21" a="1"/>
  <c r="O2330" i="21" s="1"/>
  <c r="N2330" i="21"/>
  <c r="V2329" i="21"/>
  <c r="U2329" i="21"/>
  <c r="R2329" i="21"/>
  <c r="P2329" i="21"/>
  <c r="O2329" i="21" a="1"/>
  <c r="O2329" i="21" s="1"/>
  <c r="N2329" i="21"/>
  <c r="V2328" i="21"/>
  <c r="U2328" i="21"/>
  <c r="R2328" i="21"/>
  <c r="P2328" i="21"/>
  <c r="S2328" i="21" s="1"/>
  <c r="O2328" i="21" a="1"/>
  <c r="O2328" i="21" s="1"/>
  <c r="N2328" i="21"/>
  <c r="V2327" i="21"/>
  <c r="U2327" i="21"/>
  <c r="R2327" i="21"/>
  <c r="P2327" i="21"/>
  <c r="Q2327" i="21" s="1"/>
  <c r="O2327" i="21" a="1"/>
  <c r="O2327" i="21" s="1"/>
  <c r="N2327" i="21"/>
  <c r="V2326" i="21"/>
  <c r="U2326" i="21"/>
  <c r="R2326" i="21"/>
  <c r="P2326" i="21"/>
  <c r="O2326" i="21" a="1"/>
  <c r="O2326" i="21" s="1"/>
  <c r="N2326" i="21"/>
  <c r="V2325" i="21"/>
  <c r="U2325" i="21"/>
  <c r="R2325" i="21"/>
  <c r="P2325" i="21"/>
  <c r="Q2325" i="21" s="1"/>
  <c r="O2325" i="21" a="1"/>
  <c r="O2325" i="21" s="1"/>
  <c r="N2325" i="21"/>
  <c r="V2324" i="21"/>
  <c r="U2324" i="21"/>
  <c r="R2324" i="21"/>
  <c r="P2324" i="21"/>
  <c r="S2324" i="21" s="1"/>
  <c r="O2324" i="21" a="1"/>
  <c r="O2324" i="21" s="1"/>
  <c r="N2324" i="21"/>
  <c r="V2323" i="21"/>
  <c r="U2323" i="21"/>
  <c r="R2323" i="21"/>
  <c r="P2323" i="21"/>
  <c r="S2323" i="21" s="1"/>
  <c r="O2323" i="21" a="1"/>
  <c r="O2323" i="21" s="1"/>
  <c r="N2323" i="21"/>
  <c r="V2322" i="21"/>
  <c r="U2322" i="21"/>
  <c r="R2322" i="21"/>
  <c r="P2322" i="21"/>
  <c r="S2322" i="21" s="1"/>
  <c r="O2322" i="21" a="1"/>
  <c r="O2322" i="21" s="1"/>
  <c r="N2322" i="21"/>
  <c r="V2321" i="21"/>
  <c r="U2321" i="21"/>
  <c r="R2321" i="21"/>
  <c r="P2321" i="21"/>
  <c r="O2321" i="21" a="1"/>
  <c r="O2321" i="21" s="1"/>
  <c r="N2321" i="21"/>
  <c r="V2320" i="21"/>
  <c r="U2320" i="21"/>
  <c r="R2320" i="21"/>
  <c r="P2320" i="21"/>
  <c r="S2320" i="21" s="1"/>
  <c r="O2320" i="21" a="1"/>
  <c r="O2320" i="21" s="1"/>
  <c r="N2320" i="21"/>
  <c r="V2319" i="21"/>
  <c r="U2319" i="21"/>
  <c r="R2319" i="21"/>
  <c r="P2319" i="21"/>
  <c r="Q2319" i="21" s="1"/>
  <c r="O2319" i="21" a="1"/>
  <c r="O2319" i="21" s="1"/>
  <c r="N2319" i="21"/>
  <c r="V2318" i="21"/>
  <c r="U2318" i="21"/>
  <c r="R2318" i="21"/>
  <c r="P2318" i="21"/>
  <c r="O2318" i="21" a="1"/>
  <c r="O2318" i="21" s="1"/>
  <c r="N2318" i="21"/>
  <c r="V2317" i="21"/>
  <c r="U2317" i="21"/>
  <c r="R2317" i="21"/>
  <c r="P2317" i="21"/>
  <c r="Q2317" i="21" s="1"/>
  <c r="O2317" i="21" a="1"/>
  <c r="O2317" i="21" s="1"/>
  <c r="N2317" i="21"/>
  <c r="V2316" i="21"/>
  <c r="U2316" i="21"/>
  <c r="R2316" i="21"/>
  <c r="P2316" i="21"/>
  <c r="S2316" i="21" s="1"/>
  <c r="O2316" i="21" a="1"/>
  <c r="O2316" i="21" s="1"/>
  <c r="N2316" i="21"/>
  <c r="V2315" i="21"/>
  <c r="U2315" i="21"/>
  <c r="R2315" i="21"/>
  <c r="P2315" i="21"/>
  <c r="O2315" i="21" a="1"/>
  <c r="O2315" i="21" s="1"/>
  <c r="N2315" i="21"/>
  <c r="V2314" i="21"/>
  <c r="U2314" i="21"/>
  <c r="R2314" i="21"/>
  <c r="P2314" i="21"/>
  <c r="S2314" i="21" s="1"/>
  <c r="O2314" i="21" a="1"/>
  <c r="O2314" i="21" s="1"/>
  <c r="N2314" i="21"/>
  <c r="V2313" i="21"/>
  <c r="U2313" i="21"/>
  <c r="R2313" i="21"/>
  <c r="P2313" i="21"/>
  <c r="O2313" i="21" a="1"/>
  <c r="O2313" i="21" s="1"/>
  <c r="N2313" i="21"/>
  <c r="V2312" i="21"/>
  <c r="U2312" i="21"/>
  <c r="R2312" i="21"/>
  <c r="P2312" i="21"/>
  <c r="O2312" i="21" a="1"/>
  <c r="O2312" i="21" s="1"/>
  <c r="N2312" i="21"/>
  <c r="V2311" i="21"/>
  <c r="U2311" i="21"/>
  <c r="R2311" i="21"/>
  <c r="Q2311" i="21"/>
  <c r="P2311" i="21"/>
  <c r="S2311" i="21" s="1"/>
  <c r="O2311" i="21" a="1"/>
  <c r="O2311" i="21" s="1"/>
  <c r="N2311" i="21"/>
  <c r="V2310" i="21"/>
  <c r="U2310" i="21"/>
  <c r="R2310" i="21"/>
  <c r="P2310" i="21"/>
  <c r="O2310" i="21" a="1"/>
  <c r="O2310" i="21" s="1"/>
  <c r="N2310" i="21"/>
  <c r="V2309" i="21"/>
  <c r="U2309" i="21"/>
  <c r="R2309" i="21"/>
  <c r="P2309" i="21"/>
  <c r="Q2309" i="21" s="1"/>
  <c r="O2309" i="21" a="1"/>
  <c r="O2309" i="21" s="1"/>
  <c r="N2309" i="21"/>
  <c r="V2308" i="21"/>
  <c r="U2308" i="21"/>
  <c r="R2308" i="21"/>
  <c r="P2308" i="21"/>
  <c r="S2308" i="21" s="1"/>
  <c r="O2308" i="21" a="1"/>
  <c r="O2308" i="21" s="1"/>
  <c r="N2308" i="21"/>
  <c r="V2307" i="21"/>
  <c r="U2307" i="21"/>
  <c r="R2307" i="21"/>
  <c r="P2307" i="21"/>
  <c r="O2307" i="21" a="1"/>
  <c r="O2307" i="21" s="1"/>
  <c r="N2307" i="21"/>
  <c r="V2306" i="21"/>
  <c r="U2306" i="21"/>
  <c r="S2306" i="21"/>
  <c r="R2306" i="21"/>
  <c r="P2306" i="21"/>
  <c r="Q2306" i="21" s="1"/>
  <c r="O2306" i="21" a="1"/>
  <c r="O2306" i="21" s="1"/>
  <c r="N2306" i="21"/>
  <c r="V2305" i="21"/>
  <c r="U2305" i="21"/>
  <c r="R2305" i="21"/>
  <c r="P2305" i="21"/>
  <c r="O2305" i="21" a="1"/>
  <c r="O2305" i="21" s="1"/>
  <c r="N2305" i="21"/>
  <c r="V2304" i="21"/>
  <c r="U2304" i="21"/>
  <c r="R2304" i="21"/>
  <c r="P2304" i="21"/>
  <c r="O2304" i="21" a="1"/>
  <c r="O2304" i="21" s="1"/>
  <c r="N2304" i="21"/>
  <c r="V2303" i="21"/>
  <c r="U2303" i="21"/>
  <c r="R2303" i="21"/>
  <c r="P2303" i="21"/>
  <c r="O2303" i="21" a="1"/>
  <c r="O2303" i="21" s="1"/>
  <c r="N2303" i="21"/>
  <c r="V2302" i="21"/>
  <c r="U2302" i="21"/>
  <c r="R2302" i="21"/>
  <c r="P2302" i="21"/>
  <c r="O2302" i="21" a="1"/>
  <c r="O2302" i="21" s="1"/>
  <c r="N2302" i="21"/>
  <c r="V2301" i="21"/>
  <c r="U2301" i="21"/>
  <c r="R2301" i="21"/>
  <c r="P2301" i="21"/>
  <c r="O2301" i="21" a="1"/>
  <c r="O2301" i="21" s="1"/>
  <c r="N2301" i="21"/>
  <c r="V2300" i="21"/>
  <c r="U2300" i="21"/>
  <c r="R2300" i="21"/>
  <c r="P2300" i="21"/>
  <c r="S2300" i="21" s="1"/>
  <c r="O2300" i="21"/>
  <c r="O2300" i="21" a="1"/>
  <c r="N2300" i="21"/>
  <c r="V2299" i="21"/>
  <c r="U2299" i="21"/>
  <c r="R2299" i="21"/>
  <c r="P2299" i="21"/>
  <c r="O2299" i="21" a="1"/>
  <c r="O2299" i="21" s="1"/>
  <c r="N2299" i="21"/>
  <c r="V2298" i="21"/>
  <c r="U2298" i="21"/>
  <c r="R2298" i="21"/>
  <c r="P2298" i="21"/>
  <c r="S2298" i="21" s="1"/>
  <c r="O2298" i="21" a="1"/>
  <c r="O2298" i="21" s="1"/>
  <c r="N2298" i="21"/>
  <c r="V2297" i="21"/>
  <c r="U2297" i="21"/>
  <c r="R2297" i="21"/>
  <c r="P2297" i="21"/>
  <c r="O2297" i="21" a="1"/>
  <c r="O2297" i="21" s="1"/>
  <c r="N2297" i="21"/>
  <c r="V2296" i="21"/>
  <c r="U2296" i="21"/>
  <c r="R2296" i="21"/>
  <c r="P2296" i="21"/>
  <c r="O2296" i="21" a="1"/>
  <c r="O2296" i="21" s="1"/>
  <c r="N2296" i="21"/>
  <c r="V2295" i="21"/>
  <c r="U2295" i="21"/>
  <c r="R2295" i="21"/>
  <c r="P2295" i="21"/>
  <c r="S2295" i="21" s="1"/>
  <c r="O2295" i="21" a="1"/>
  <c r="O2295" i="21" s="1"/>
  <c r="N2295" i="21"/>
  <c r="V2294" i="21"/>
  <c r="U2294" i="21"/>
  <c r="R2294" i="21"/>
  <c r="P2294" i="21"/>
  <c r="O2294" i="21" a="1"/>
  <c r="O2294" i="21" s="1"/>
  <c r="N2294" i="21"/>
  <c r="V2293" i="21"/>
  <c r="U2293" i="21"/>
  <c r="R2293" i="21"/>
  <c r="P2293" i="21"/>
  <c r="Q2293" i="21" s="1"/>
  <c r="O2293" i="21" a="1"/>
  <c r="O2293" i="21" s="1"/>
  <c r="N2293" i="21"/>
  <c r="V2292" i="21"/>
  <c r="U2292" i="21"/>
  <c r="R2292" i="21"/>
  <c r="P2292" i="21"/>
  <c r="S2292" i="21" s="1"/>
  <c r="O2292" i="21" a="1"/>
  <c r="O2292" i="21" s="1"/>
  <c r="N2292" i="21"/>
  <c r="V2291" i="21"/>
  <c r="U2291" i="21"/>
  <c r="R2291" i="21"/>
  <c r="P2291" i="21"/>
  <c r="O2291" i="21" a="1"/>
  <c r="O2291" i="21" s="1"/>
  <c r="N2291" i="21"/>
  <c r="V2290" i="21"/>
  <c r="U2290" i="21"/>
  <c r="R2290" i="21"/>
  <c r="P2290" i="21"/>
  <c r="Q2290" i="21" s="1"/>
  <c r="O2290" i="21" a="1"/>
  <c r="O2290" i="21" s="1"/>
  <c r="N2290" i="21"/>
  <c r="V2289" i="21"/>
  <c r="U2289" i="21"/>
  <c r="R2289" i="21"/>
  <c r="P2289" i="21"/>
  <c r="S2289" i="21" s="1"/>
  <c r="O2289" i="21" a="1"/>
  <c r="O2289" i="21" s="1"/>
  <c r="N2289" i="21"/>
  <c r="V2288" i="21"/>
  <c r="U2288" i="21"/>
  <c r="R2288" i="21"/>
  <c r="P2288" i="21"/>
  <c r="O2288" i="21" a="1"/>
  <c r="O2288" i="21" s="1"/>
  <c r="N2288" i="21"/>
  <c r="V2287" i="21"/>
  <c r="U2287" i="21"/>
  <c r="R2287" i="21"/>
  <c r="P2287" i="21"/>
  <c r="S2287" i="21" s="1"/>
  <c r="O2287" i="21" a="1"/>
  <c r="O2287" i="21" s="1"/>
  <c r="N2287" i="21"/>
  <c r="V2286" i="21"/>
  <c r="U2286" i="21"/>
  <c r="R2286" i="21"/>
  <c r="P2286" i="21"/>
  <c r="Q2286" i="21" s="1"/>
  <c r="O2286" i="21" a="1"/>
  <c r="O2286" i="21" s="1"/>
  <c r="N2286" i="21"/>
  <c r="V2285" i="21"/>
  <c r="U2285" i="21"/>
  <c r="R2285" i="21"/>
  <c r="P2285" i="21"/>
  <c r="Q2285" i="21" s="1"/>
  <c r="O2285" i="21" a="1"/>
  <c r="O2285" i="21" s="1"/>
  <c r="N2285" i="21"/>
  <c r="V2284" i="21"/>
  <c r="U2284" i="21"/>
  <c r="R2284" i="21"/>
  <c r="P2284" i="21"/>
  <c r="S2284" i="21" s="1"/>
  <c r="O2284" i="21" a="1"/>
  <c r="O2284" i="21" s="1"/>
  <c r="N2284" i="21"/>
  <c r="V2283" i="21"/>
  <c r="U2283" i="21"/>
  <c r="R2283" i="21"/>
  <c r="P2283" i="21"/>
  <c r="S2283" i="21" s="1"/>
  <c r="O2283" i="21" a="1"/>
  <c r="O2283" i="21" s="1"/>
  <c r="N2283" i="21"/>
  <c r="V2282" i="21"/>
  <c r="U2282" i="21"/>
  <c r="R2282" i="21"/>
  <c r="P2282" i="21"/>
  <c r="O2282" i="21" a="1"/>
  <c r="O2282" i="21" s="1"/>
  <c r="N2282" i="21"/>
  <c r="V2281" i="21"/>
  <c r="U2281" i="21"/>
  <c r="R2281" i="21"/>
  <c r="P2281" i="21"/>
  <c r="S2281" i="21" s="1"/>
  <c r="O2281" i="21" a="1"/>
  <c r="O2281" i="21" s="1"/>
  <c r="N2281" i="21"/>
  <c r="V2280" i="21"/>
  <c r="U2280" i="21"/>
  <c r="R2280" i="21"/>
  <c r="P2280" i="21"/>
  <c r="Q2280" i="21" s="1"/>
  <c r="O2280" i="21" a="1"/>
  <c r="O2280" i="21" s="1"/>
  <c r="N2280" i="21"/>
  <c r="V2279" i="21"/>
  <c r="U2279" i="21"/>
  <c r="R2279" i="21"/>
  <c r="P2279" i="21"/>
  <c r="S2279" i="21" s="1"/>
  <c r="O2279" i="21" a="1"/>
  <c r="O2279" i="21" s="1"/>
  <c r="N2279" i="21"/>
  <c r="V2278" i="21"/>
  <c r="U2278" i="21"/>
  <c r="R2278" i="21"/>
  <c r="P2278" i="21"/>
  <c r="Q2278" i="21" s="1"/>
  <c r="O2278" i="21" a="1"/>
  <c r="O2278" i="21" s="1"/>
  <c r="N2278" i="21"/>
  <c r="V2277" i="21"/>
  <c r="U2277" i="21"/>
  <c r="R2277" i="21"/>
  <c r="P2277" i="21"/>
  <c r="Q2277" i="21" s="1"/>
  <c r="T2277" i="21" s="1"/>
  <c r="O2277" i="21"/>
  <c r="O2277" i="21" a="1"/>
  <c r="N2277" i="21"/>
  <c r="V2276" i="21"/>
  <c r="U2276" i="21"/>
  <c r="R2276" i="21"/>
  <c r="P2276" i="21"/>
  <c r="S2276" i="21" s="1"/>
  <c r="O2276" i="21" a="1"/>
  <c r="O2276" i="21" s="1"/>
  <c r="N2276" i="21"/>
  <c r="V2275" i="21"/>
  <c r="U2275" i="21"/>
  <c r="S2275" i="21"/>
  <c r="R2275" i="21"/>
  <c r="P2275" i="21"/>
  <c r="Q2275" i="21" s="1"/>
  <c r="O2275" i="21" a="1"/>
  <c r="O2275" i="21" s="1"/>
  <c r="N2275" i="21"/>
  <c r="V2274" i="21"/>
  <c r="U2274" i="21"/>
  <c r="R2274" i="21"/>
  <c r="P2274" i="21"/>
  <c r="S2274" i="21" s="1"/>
  <c r="O2274" i="21" a="1"/>
  <c r="O2274" i="21" s="1"/>
  <c r="N2274" i="21"/>
  <c r="V2273" i="21"/>
  <c r="U2273" i="21"/>
  <c r="R2273" i="21"/>
  <c r="P2273" i="21"/>
  <c r="S2273" i="21" s="1"/>
  <c r="O2273" i="21" a="1"/>
  <c r="O2273" i="21" s="1"/>
  <c r="N2273" i="21"/>
  <c r="V2272" i="21"/>
  <c r="U2272" i="21"/>
  <c r="R2272" i="21"/>
  <c r="P2272" i="21"/>
  <c r="Q2272" i="21" s="1"/>
  <c r="O2272" i="21" a="1"/>
  <c r="O2272" i="21" s="1"/>
  <c r="N2272" i="21"/>
  <c r="V2271" i="21"/>
  <c r="U2271" i="21"/>
  <c r="R2271" i="21"/>
  <c r="P2271" i="21"/>
  <c r="S2271" i="21" s="1"/>
  <c r="O2271" i="21" a="1"/>
  <c r="O2271" i="21" s="1"/>
  <c r="N2271" i="21"/>
  <c r="V2270" i="21"/>
  <c r="U2270" i="21"/>
  <c r="R2270" i="21"/>
  <c r="P2270" i="21"/>
  <c r="S2270" i="21" s="1"/>
  <c r="O2270" i="21" a="1"/>
  <c r="O2270" i="21" s="1"/>
  <c r="N2270" i="21"/>
  <c r="V2269" i="21"/>
  <c r="U2269" i="21"/>
  <c r="R2269" i="21"/>
  <c r="P2269" i="21"/>
  <c r="S2269" i="21" s="1"/>
  <c r="O2269" i="21"/>
  <c r="O2269" i="21" a="1"/>
  <c r="N2269" i="21"/>
  <c r="V2268" i="21"/>
  <c r="U2268" i="21"/>
  <c r="R2268" i="21"/>
  <c r="P2268" i="21"/>
  <c r="S2268" i="21" s="1"/>
  <c r="O2268" i="21" a="1"/>
  <c r="O2268" i="21" s="1"/>
  <c r="N2268" i="21"/>
  <c r="V2267" i="21"/>
  <c r="U2267" i="21"/>
  <c r="R2267" i="21"/>
  <c r="P2267" i="21"/>
  <c r="S2267" i="21" s="1"/>
  <c r="O2267" i="21" a="1"/>
  <c r="O2267" i="21" s="1"/>
  <c r="N2267" i="21"/>
  <c r="V2266" i="21"/>
  <c r="U2266" i="21"/>
  <c r="R2266" i="21"/>
  <c r="P2266" i="21"/>
  <c r="S2266" i="21" s="1"/>
  <c r="O2266" i="21"/>
  <c r="O2266" i="21" a="1"/>
  <c r="N2266" i="21"/>
  <c r="V2265" i="21"/>
  <c r="U2265" i="21"/>
  <c r="R2265" i="21"/>
  <c r="P2265" i="21"/>
  <c r="S2265" i="21" s="1"/>
  <c r="O2265" i="21" a="1"/>
  <c r="O2265" i="21" s="1"/>
  <c r="N2265" i="21"/>
  <c r="V2264" i="21"/>
  <c r="U2264" i="21"/>
  <c r="R2264" i="21"/>
  <c r="P2264" i="21"/>
  <c r="S2264" i="21" s="1"/>
  <c r="O2264" i="21" a="1"/>
  <c r="O2264" i="21" s="1"/>
  <c r="N2264" i="21"/>
  <c r="V2263" i="21"/>
  <c r="U2263" i="21"/>
  <c r="R2263" i="21"/>
  <c r="P2263" i="21"/>
  <c r="S2263" i="21" s="1"/>
  <c r="O2263" i="21" a="1"/>
  <c r="O2263" i="21" s="1"/>
  <c r="N2263" i="21"/>
  <c r="V2262" i="21"/>
  <c r="U2262" i="21"/>
  <c r="R2262" i="21"/>
  <c r="P2262" i="21"/>
  <c r="S2262" i="21" s="1"/>
  <c r="O2262" i="21" a="1"/>
  <c r="O2262" i="21" s="1"/>
  <c r="N2262" i="21"/>
  <c r="V2261" i="21"/>
  <c r="U2261" i="21"/>
  <c r="R2261" i="21"/>
  <c r="P2261" i="21"/>
  <c r="S2261" i="21" s="1"/>
  <c r="O2261" i="21"/>
  <c r="O2261" i="21" a="1"/>
  <c r="N2261" i="21"/>
  <c r="V2260" i="21"/>
  <c r="U2260" i="21"/>
  <c r="R2260" i="21"/>
  <c r="P2260" i="21"/>
  <c r="S2260" i="21" s="1"/>
  <c r="O2260" i="21" a="1"/>
  <c r="O2260" i="21" s="1"/>
  <c r="N2260" i="21"/>
  <c r="V2259" i="21"/>
  <c r="U2259" i="21"/>
  <c r="R2259" i="21"/>
  <c r="P2259" i="21"/>
  <c r="Q2259" i="21" s="1"/>
  <c r="O2259" i="21" a="1"/>
  <c r="O2259" i="21" s="1"/>
  <c r="N2259" i="21"/>
  <c r="V2258" i="21"/>
  <c r="U2258" i="21"/>
  <c r="R2258" i="21"/>
  <c r="P2258" i="21"/>
  <c r="S2258" i="21" s="1"/>
  <c r="O2258" i="21" a="1"/>
  <c r="O2258" i="21" s="1"/>
  <c r="N2258" i="21"/>
  <c r="V2257" i="21"/>
  <c r="U2257" i="21"/>
  <c r="R2257" i="21"/>
  <c r="P2257" i="21"/>
  <c r="S2257" i="21" s="1"/>
  <c r="O2257" i="21" a="1"/>
  <c r="O2257" i="21" s="1"/>
  <c r="N2257" i="21"/>
  <c r="V2256" i="21"/>
  <c r="U2256" i="21"/>
  <c r="R2256" i="21"/>
  <c r="P2256" i="21"/>
  <c r="Q2256" i="21" s="1"/>
  <c r="O2256" i="21"/>
  <c r="O2256" i="21" a="1"/>
  <c r="N2256" i="21"/>
  <c r="V2255" i="21"/>
  <c r="U2255" i="21"/>
  <c r="R2255" i="21"/>
  <c r="P2255" i="21"/>
  <c r="S2255" i="21" s="1"/>
  <c r="O2255" i="21"/>
  <c r="O2255" i="21" a="1"/>
  <c r="N2255" i="21"/>
  <c r="V2254" i="21"/>
  <c r="U2254" i="21"/>
  <c r="R2254" i="21"/>
  <c r="P2254" i="21"/>
  <c r="S2254" i="21" s="1"/>
  <c r="O2254" i="21" a="1"/>
  <c r="O2254" i="21" s="1"/>
  <c r="N2254" i="21"/>
  <c r="V2253" i="21"/>
  <c r="U2253" i="21"/>
  <c r="R2253" i="21"/>
  <c r="P2253" i="21"/>
  <c r="S2253" i="21" s="1"/>
  <c r="O2253" i="21" a="1"/>
  <c r="O2253" i="21" s="1"/>
  <c r="N2253" i="21"/>
  <c r="V2252" i="21"/>
  <c r="U2252" i="21"/>
  <c r="R2252" i="21"/>
  <c r="P2252" i="21"/>
  <c r="S2252" i="21" s="1"/>
  <c r="O2252" i="21" a="1"/>
  <c r="O2252" i="21" s="1"/>
  <c r="N2252" i="21"/>
  <c r="V2251" i="21"/>
  <c r="U2251" i="21"/>
  <c r="R2251" i="21"/>
  <c r="P2251" i="21"/>
  <c r="S2251" i="21" s="1"/>
  <c r="O2251" i="21" a="1"/>
  <c r="O2251" i="21" s="1"/>
  <c r="N2251" i="21"/>
  <c r="V2250" i="21"/>
  <c r="U2250" i="21"/>
  <c r="R2250" i="21"/>
  <c r="P2250" i="21"/>
  <c r="S2250" i="21" s="1"/>
  <c r="O2250" i="21"/>
  <c r="O2250" i="21" a="1"/>
  <c r="N2250" i="21"/>
  <c r="V2249" i="21"/>
  <c r="U2249" i="21"/>
  <c r="R2249" i="21"/>
  <c r="P2249" i="21"/>
  <c r="S2249" i="21" s="1"/>
  <c r="O2249" i="21" a="1"/>
  <c r="O2249" i="21" s="1"/>
  <c r="N2249" i="21"/>
  <c r="V2248" i="21"/>
  <c r="U2248" i="21"/>
  <c r="R2248" i="21"/>
  <c r="P2248" i="21"/>
  <c r="S2248" i="21" s="1"/>
  <c r="O2248" i="21" a="1"/>
  <c r="O2248" i="21" s="1"/>
  <c r="N2248" i="21"/>
  <c r="V2247" i="21"/>
  <c r="U2247" i="21"/>
  <c r="R2247" i="21"/>
  <c r="P2247" i="21"/>
  <c r="S2247" i="21" s="1"/>
  <c r="O2247" i="21" a="1"/>
  <c r="O2247" i="21" s="1"/>
  <c r="N2247" i="21"/>
  <c r="V2246" i="21"/>
  <c r="U2246" i="21"/>
  <c r="R2246" i="21"/>
  <c r="P2246" i="21"/>
  <c r="S2246" i="21" s="1"/>
  <c r="O2246" i="21" a="1"/>
  <c r="O2246" i="21" s="1"/>
  <c r="N2246" i="21"/>
  <c r="V2245" i="21"/>
  <c r="U2245" i="21"/>
  <c r="R2245" i="21"/>
  <c r="P2245" i="21"/>
  <c r="S2245" i="21" s="1"/>
  <c r="O2245" i="21" a="1"/>
  <c r="O2245" i="21" s="1"/>
  <c r="N2245" i="21"/>
  <c r="V2244" i="21"/>
  <c r="U2244" i="21"/>
  <c r="R2244" i="21"/>
  <c r="P2244" i="21"/>
  <c r="S2244" i="21" s="1"/>
  <c r="O2244" i="21" a="1"/>
  <c r="O2244" i="21" s="1"/>
  <c r="N2244" i="21"/>
  <c r="V2243" i="21"/>
  <c r="U2243" i="21"/>
  <c r="R2243" i="21"/>
  <c r="P2243" i="21"/>
  <c r="Q2243" i="21" s="1"/>
  <c r="T2243" i="21" s="1"/>
  <c r="O2243" i="21" a="1"/>
  <c r="O2243" i="21" s="1"/>
  <c r="N2243" i="21"/>
  <c r="V2242" i="21"/>
  <c r="U2242" i="21"/>
  <c r="R2242" i="21"/>
  <c r="P2242" i="21"/>
  <c r="S2242" i="21" s="1"/>
  <c r="O2242" i="21"/>
  <c r="O2242" i="21" a="1"/>
  <c r="N2242" i="21"/>
  <c r="V2241" i="21"/>
  <c r="U2241" i="21"/>
  <c r="R2241" i="21"/>
  <c r="P2241" i="21"/>
  <c r="S2241" i="21" s="1"/>
  <c r="O2241" i="21" a="1"/>
  <c r="O2241" i="21" s="1"/>
  <c r="N2241" i="21"/>
  <c r="V2240" i="21"/>
  <c r="U2240" i="21"/>
  <c r="R2240" i="21"/>
  <c r="Q2240" i="21"/>
  <c r="P2240" i="21"/>
  <c r="S2240" i="21" s="1"/>
  <c r="O2240" i="21" a="1"/>
  <c r="O2240" i="21" s="1"/>
  <c r="N2240" i="21"/>
  <c r="V2239" i="21"/>
  <c r="U2239" i="21"/>
  <c r="R2239" i="21"/>
  <c r="P2239" i="21"/>
  <c r="S2239" i="21" s="1"/>
  <c r="O2239" i="21" a="1"/>
  <c r="O2239" i="21" s="1"/>
  <c r="N2239" i="21"/>
  <c r="V2238" i="21"/>
  <c r="U2238" i="21"/>
  <c r="R2238" i="21"/>
  <c r="P2238" i="21"/>
  <c r="S2238" i="21" s="1"/>
  <c r="O2238" i="21" a="1"/>
  <c r="O2238" i="21" s="1"/>
  <c r="N2238" i="21"/>
  <c r="V2237" i="21"/>
  <c r="U2237" i="21"/>
  <c r="R2237" i="21"/>
  <c r="P2237" i="21"/>
  <c r="S2237" i="21" s="1"/>
  <c r="O2237" i="21" a="1"/>
  <c r="O2237" i="21" s="1"/>
  <c r="N2237" i="21"/>
  <c r="V2236" i="21"/>
  <c r="U2236" i="21"/>
  <c r="R2236" i="21"/>
  <c r="P2236" i="21"/>
  <c r="S2236" i="21" s="1"/>
  <c r="O2236" i="21" a="1"/>
  <c r="O2236" i="21" s="1"/>
  <c r="N2236" i="21"/>
  <c r="V2235" i="21"/>
  <c r="U2235" i="21"/>
  <c r="R2235" i="21"/>
  <c r="P2235" i="21"/>
  <c r="Q2235" i="21" s="1"/>
  <c r="O2235" i="21" a="1"/>
  <c r="O2235" i="21" s="1"/>
  <c r="N2235" i="21"/>
  <c r="V2234" i="21"/>
  <c r="U2234" i="21"/>
  <c r="R2234" i="21"/>
  <c r="P2234" i="21"/>
  <c r="S2234" i="21" s="1"/>
  <c r="O2234" i="21" a="1"/>
  <c r="O2234" i="21" s="1"/>
  <c r="N2234" i="21"/>
  <c r="V2233" i="21"/>
  <c r="U2233" i="21"/>
  <c r="R2233" i="21"/>
  <c r="P2233" i="21"/>
  <c r="S2233" i="21" s="1"/>
  <c r="O2233" i="21" a="1"/>
  <c r="O2233" i="21" s="1"/>
  <c r="N2233" i="21"/>
  <c r="V2232" i="21"/>
  <c r="U2232" i="21"/>
  <c r="R2232" i="21"/>
  <c r="P2232" i="21"/>
  <c r="S2232" i="21" s="1"/>
  <c r="O2232" i="21" a="1"/>
  <c r="O2232" i="21" s="1"/>
  <c r="N2232" i="21"/>
  <c r="V2231" i="21"/>
  <c r="U2231" i="21"/>
  <c r="R2231" i="21"/>
  <c r="P2231" i="21"/>
  <c r="S2231" i="21" s="1"/>
  <c r="O2231" i="21" a="1"/>
  <c r="O2231" i="21" s="1"/>
  <c r="N2231" i="21"/>
  <c r="V2230" i="21"/>
  <c r="U2230" i="21"/>
  <c r="R2230" i="21"/>
  <c r="P2230" i="21"/>
  <c r="S2230" i="21" s="1"/>
  <c r="O2230" i="21" a="1"/>
  <c r="O2230" i="21" s="1"/>
  <c r="N2230" i="21"/>
  <c r="V2229" i="21"/>
  <c r="U2229" i="21"/>
  <c r="R2229" i="21"/>
  <c r="Q2229" i="21"/>
  <c r="P2229" i="21"/>
  <c r="S2229" i="21" s="1"/>
  <c r="O2229" i="21" a="1"/>
  <c r="O2229" i="21" s="1"/>
  <c r="N2229" i="21"/>
  <c r="V2228" i="21"/>
  <c r="U2228" i="21"/>
  <c r="R2228" i="21"/>
  <c r="P2228" i="21"/>
  <c r="S2228" i="21" s="1"/>
  <c r="O2228" i="21" a="1"/>
  <c r="O2228" i="21" s="1"/>
  <c r="N2228" i="21"/>
  <c r="V2227" i="21"/>
  <c r="U2227" i="21"/>
  <c r="R2227" i="21"/>
  <c r="P2227" i="21"/>
  <c r="Q2227" i="21" s="1"/>
  <c r="O2227" i="21" a="1"/>
  <c r="O2227" i="21" s="1"/>
  <c r="N2227" i="21"/>
  <c r="V2226" i="21"/>
  <c r="U2226" i="21"/>
  <c r="R2226" i="21"/>
  <c r="P2226" i="21"/>
  <c r="S2226" i="21" s="1"/>
  <c r="O2226" i="21" a="1"/>
  <c r="O2226" i="21" s="1"/>
  <c r="N2226" i="21"/>
  <c r="V2225" i="21"/>
  <c r="U2225" i="21"/>
  <c r="R2225" i="21"/>
  <c r="P2225" i="21"/>
  <c r="S2225" i="21" s="1"/>
  <c r="O2225" i="21" a="1"/>
  <c r="O2225" i="21" s="1"/>
  <c r="N2225" i="21"/>
  <c r="V2224" i="21"/>
  <c r="U2224" i="21"/>
  <c r="R2224" i="21"/>
  <c r="P2224" i="21"/>
  <c r="Q2224" i="21" s="1"/>
  <c r="O2224" i="21" a="1"/>
  <c r="O2224" i="21" s="1"/>
  <c r="N2224" i="21"/>
  <c r="V2223" i="21"/>
  <c r="U2223" i="21"/>
  <c r="R2223" i="21"/>
  <c r="P2223" i="21"/>
  <c r="S2223" i="21" s="1"/>
  <c r="O2223" i="21" a="1"/>
  <c r="O2223" i="21" s="1"/>
  <c r="N2223" i="21"/>
  <c r="V2222" i="21"/>
  <c r="U2222" i="21"/>
  <c r="R2222" i="21"/>
  <c r="P2222" i="21"/>
  <c r="S2222" i="21" s="1"/>
  <c r="O2222" i="21" a="1"/>
  <c r="O2222" i="21" s="1"/>
  <c r="N2222" i="21"/>
  <c r="V2221" i="21"/>
  <c r="U2221" i="21"/>
  <c r="R2221" i="21"/>
  <c r="P2221" i="21"/>
  <c r="S2221" i="21" s="1"/>
  <c r="O2221" i="21" a="1"/>
  <c r="O2221" i="21" s="1"/>
  <c r="N2221" i="21"/>
  <c r="V2220" i="21"/>
  <c r="U2220" i="21"/>
  <c r="R2220" i="21"/>
  <c r="P2220" i="21"/>
  <c r="S2220" i="21" s="1"/>
  <c r="O2220" i="21" a="1"/>
  <c r="O2220" i="21" s="1"/>
  <c r="N2220" i="21"/>
  <c r="V2219" i="21"/>
  <c r="U2219" i="21"/>
  <c r="R2219" i="21"/>
  <c r="P2219" i="21"/>
  <c r="Q2219" i="21" s="1"/>
  <c r="O2219" i="21" a="1"/>
  <c r="O2219" i="21" s="1"/>
  <c r="N2219" i="21"/>
  <c r="V2218" i="21"/>
  <c r="U2218" i="21"/>
  <c r="R2218" i="21"/>
  <c r="P2218" i="21"/>
  <c r="S2218" i="21" s="1"/>
  <c r="O2218" i="21" a="1"/>
  <c r="O2218" i="21" s="1"/>
  <c r="N2218" i="21"/>
  <c r="V2217" i="21"/>
  <c r="U2217" i="21"/>
  <c r="R2217" i="21"/>
  <c r="P2217" i="21"/>
  <c r="S2217" i="21" s="1"/>
  <c r="O2217" i="21" a="1"/>
  <c r="O2217" i="21" s="1"/>
  <c r="N2217" i="21"/>
  <c r="V2216" i="21"/>
  <c r="U2216" i="21"/>
  <c r="R2216" i="21"/>
  <c r="P2216" i="21"/>
  <c r="Q2216" i="21" s="1"/>
  <c r="O2216" i="21" a="1"/>
  <c r="O2216" i="21" s="1"/>
  <c r="N2216" i="21"/>
  <c r="V2215" i="21"/>
  <c r="U2215" i="21"/>
  <c r="R2215" i="21"/>
  <c r="P2215" i="21"/>
  <c r="S2215" i="21" s="1"/>
  <c r="O2215" i="21" a="1"/>
  <c r="O2215" i="21" s="1"/>
  <c r="N2215" i="21"/>
  <c r="V2214" i="21"/>
  <c r="U2214" i="21"/>
  <c r="R2214" i="21"/>
  <c r="P2214" i="21"/>
  <c r="S2214" i="21" s="1"/>
  <c r="O2214" i="21" a="1"/>
  <c r="O2214" i="21" s="1"/>
  <c r="N2214" i="21"/>
  <c r="V2213" i="21"/>
  <c r="U2213" i="21"/>
  <c r="R2213" i="21"/>
  <c r="P2213" i="21"/>
  <c r="S2213" i="21" s="1"/>
  <c r="O2213" i="21"/>
  <c r="O2213" i="21" a="1"/>
  <c r="N2213" i="21"/>
  <c r="V2212" i="21"/>
  <c r="U2212" i="21"/>
  <c r="R2212" i="21"/>
  <c r="P2212" i="21"/>
  <c r="S2212" i="21" s="1"/>
  <c r="O2212" i="21" a="1"/>
  <c r="O2212" i="21" s="1"/>
  <c r="N2212" i="21"/>
  <c r="V2211" i="21"/>
  <c r="U2211" i="21"/>
  <c r="R2211" i="21"/>
  <c r="P2211" i="21"/>
  <c r="Q2211" i="21" s="1"/>
  <c r="O2211" i="21" a="1"/>
  <c r="O2211" i="21" s="1"/>
  <c r="N2211" i="21"/>
  <c r="V2210" i="21"/>
  <c r="U2210" i="21"/>
  <c r="R2210" i="21"/>
  <c r="P2210" i="21"/>
  <c r="S2210" i="21" s="1"/>
  <c r="O2210" i="21" a="1"/>
  <c r="O2210" i="21" s="1"/>
  <c r="N2210" i="21"/>
  <c r="V2209" i="21"/>
  <c r="U2209" i="21"/>
  <c r="R2209" i="21"/>
  <c r="P2209" i="21"/>
  <c r="S2209" i="21" s="1"/>
  <c r="O2209" i="21" a="1"/>
  <c r="O2209" i="21" s="1"/>
  <c r="N2209" i="21"/>
  <c r="V2208" i="21"/>
  <c r="U2208" i="21"/>
  <c r="R2208" i="21"/>
  <c r="P2208" i="21"/>
  <c r="S2208" i="21" s="1"/>
  <c r="O2208" i="21" a="1"/>
  <c r="O2208" i="21" s="1"/>
  <c r="N2208" i="21"/>
  <c r="V2207" i="21"/>
  <c r="U2207" i="21"/>
  <c r="R2207" i="21"/>
  <c r="P2207" i="21"/>
  <c r="S2207" i="21" s="1"/>
  <c r="O2207" i="21" a="1"/>
  <c r="O2207" i="21" s="1"/>
  <c r="N2207" i="21"/>
  <c r="V2206" i="21"/>
  <c r="U2206" i="21"/>
  <c r="R2206" i="21"/>
  <c r="P2206" i="21"/>
  <c r="S2206" i="21" s="1"/>
  <c r="O2206" i="21" a="1"/>
  <c r="O2206" i="21" s="1"/>
  <c r="N2206" i="21"/>
  <c r="V2205" i="21"/>
  <c r="U2205" i="21"/>
  <c r="R2205" i="21"/>
  <c r="P2205" i="21"/>
  <c r="S2205" i="21" s="1"/>
  <c r="O2205" i="21" a="1"/>
  <c r="O2205" i="21" s="1"/>
  <c r="N2205" i="21"/>
  <c r="V2204" i="21"/>
  <c r="U2204" i="21"/>
  <c r="R2204" i="21"/>
  <c r="P2204" i="21"/>
  <c r="S2204" i="21" s="1"/>
  <c r="O2204" i="21" a="1"/>
  <c r="O2204" i="21" s="1"/>
  <c r="N2204" i="21"/>
  <c r="V2203" i="21"/>
  <c r="U2203" i="21"/>
  <c r="R2203" i="21"/>
  <c r="P2203" i="21"/>
  <c r="Q2203" i="21" s="1"/>
  <c r="O2203" i="21" a="1"/>
  <c r="O2203" i="21" s="1"/>
  <c r="N2203" i="21"/>
  <c r="V2202" i="21"/>
  <c r="U2202" i="21"/>
  <c r="R2202" i="21"/>
  <c r="P2202" i="21"/>
  <c r="S2202" i="21" s="1"/>
  <c r="O2202" i="21" a="1"/>
  <c r="O2202" i="21" s="1"/>
  <c r="N2202" i="21"/>
  <c r="V2201" i="21"/>
  <c r="U2201" i="21"/>
  <c r="R2201" i="21"/>
  <c r="P2201" i="21"/>
  <c r="S2201" i="21" s="1"/>
  <c r="O2201" i="21" a="1"/>
  <c r="O2201" i="21" s="1"/>
  <c r="N2201" i="21"/>
  <c r="V2200" i="21"/>
  <c r="U2200" i="21"/>
  <c r="R2200" i="21"/>
  <c r="P2200" i="21"/>
  <c r="S2200" i="21" s="1"/>
  <c r="O2200" i="21" a="1"/>
  <c r="O2200" i="21" s="1"/>
  <c r="N2200" i="21"/>
  <c r="V2199" i="21"/>
  <c r="U2199" i="21"/>
  <c r="R2199" i="21"/>
  <c r="P2199" i="21"/>
  <c r="S2199" i="21" s="1"/>
  <c r="O2199" i="21" a="1"/>
  <c r="O2199" i="21" s="1"/>
  <c r="N2199" i="21"/>
  <c r="V2198" i="21"/>
  <c r="U2198" i="21"/>
  <c r="R2198" i="21"/>
  <c r="P2198" i="21"/>
  <c r="S2198" i="21" s="1"/>
  <c r="O2198" i="21" a="1"/>
  <c r="O2198" i="21" s="1"/>
  <c r="N2198" i="21"/>
  <c r="V2197" i="21"/>
  <c r="U2197" i="21"/>
  <c r="S2197" i="21"/>
  <c r="R2197" i="21"/>
  <c r="P2197" i="21"/>
  <c r="Q2197" i="21" s="1"/>
  <c r="O2197" i="21" a="1"/>
  <c r="O2197" i="21" s="1"/>
  <c r="N2197" i="21"/>
  <c r="V2196" i="21"/>
  <c r="U2196" i="21"/>
  <c r="R2196" i="21"/>
  <c r="P2196" i="21"/>
  <c r="S2196" i="21" s="1"/>
  <c r="O2196" i="21" a="1"/>
  <c r="O2196" i="21" s="1"/>
  <c r="N2196" i="21"/>
  <c r="V2195" i="21"/>
  <c r="U2195" i="21"/>
  <c r="R2195" i="21"/>
  <c r="P2195" i="21"/>
  <c r="Q2195" i="21" s="1"/>
  <c r="O2195" i="21" a="1"/>
  <c r="O2195" i="21" s="1"/>
  <c r="N2195" i="21"/>
  <c r="V2194" i="21"/>
  <c r="U2194" i="21"/>
  <c r="R2194" i="21"/>
  <c r="P2194" i="21"/>
  <c r="S2194" i="21" s="1"/>
  <c r="O2194" i="21" a="1"/>
  <c r="O2194" i="21" s="1"/>
  <c r="N2194" i="21"/>
  <c r="V2193" i="21"/>
  <c r="U2193" i="21"/>
  <c r="R2193" i="21"/>
  <c r="P2193" i="21"/>
  <c r="S2193" i="21" s="1"/>
  <c r="O2193" i="21" a="1"/>
  <c r="O2193" i="21" s="1"/>
  <c r="N2193" i="21"/>
  <c r="V2192" i="21"/>
  <c r="U2192" i="21"/>
  <c r="R2192" i="21"/>
  <c r="P2192" i="21"/>
  <c r="S2192" i="21" s="1"/>
  <c r="O2192" i="21" a="1"/>
  <c r="O2192" i="21" s="1"/>
  <c r="N2192" i="21"/>
  <c r="V2191" i="21"/>
  <c r="U2191" i="21"/>
  <c r="R2191" i="21"/>
  <c r="P2191" i="21"/>
  <c r="S2191" i="21" s="1"/>
  <c r="O2191" i="21" a="1"/>
  <c r="O2191" i="21" s="1"/>
  <c r="N2191" i="21"/>
  <c r="V2190" i="21"/>
  <c r="U2190" i="21"/>
  <c r="R2190" i="21"/>
  <c r="P2190" i="21"/>
  <c r="S2190" i="21" s="1"/>
  <c r="O2190" i="21" a="1"/>
  <c r="O2190" i="21" s="1"/>
  <c r="N2190" i="21"/>
  <c r="V2189" i="21"/>
  <c r="U2189" i="21"/>
  <c r="R2189" i="21"/>
  <c r="P2189" i="21"/>
  <c r="S2189" i="21" s="1"/>
  <c r="O2189" i="21" a="1"/>
  <c r="O2189" i="21" s="1"/>
  <c r="N2189" i="21"/>
  <c r="V2188" i="21"/>
  <c r="U2188" i="21"/>
  <c r="R2188" i="21"/>
  <c r="P2188" i="21"/>
  <c r="S2188" i="21" s="1"/>
  <c r="O2188" i="21" a="1"/>
  <c r="O2188" i="21" s="1"/>
  <c r="N2188" i="21"/>
  <c r="V2187" i="21"/>
  <c r="U2187" i="21"/>
  <c r="R2187" i="21"/>
  <c r="P2187" i="21"/>
  <c r="Q2187" i="21" s="1"/>
  <c r="O2187" i="21" a="1"/>
  <c r="O2187" i="21" s="1"/>
  <c r="N2187" i="21"/>
  <c r="V2186" i="21"/>
  <c r="U2186" i="21"/>
  <c r="R2186" i="21"/>
  <c r="P2186" i="21"/>
  <c r="S2186" i="21" s="1"/>
  <c r="O2186" i="21" a="1"/>
  <c r="O2186" i="21" s="1"/>
  <c r="N2186" i="21"/>
  <c r="V2185" i="21"/>
  <c r="U2185" i="21"/>
  <c r="R2185" i="21"/>
  <c r="P2185" i="21"/>
  <c r="S2185" i="21" s="1"/>
  <c r="O2185" i="21" a="1"/>
  <c r="O2185" i="21" s="1"/>
  <c r="N2185" i="21"/>
  <c r="V2184" i="21"/>
  <c r="U2184" i="21"/>
  <c r="R2184" i="21"/>
  <c r="P2184" i="21"/>
  <c r="Q2184" i="21" s="1"/>
  <c r="O2184" i="21" a="1"/>
  <c r="O2184" i="21" s="1"/>
  <c r="N2184" i="21"/>
  <c r="V2183" i="21"/>
  <c r="U2183" i="21"/>
  <c r="R2183" i="21"/>
  <c r="P2183" i="21"/>
  <c r="S2183" i="21" s="1"/>
  <c r="O2183" i="21" a="1"/>
  <c r="O2183" i="21" s="1"/>
  <c r="N2183" i="21"/>
  <c r="V2182" i="21"/>
  <c r="U2182" i="21"/>
  <c r="R2182" i="21"/>
  <c r="P2182" i="21"/>
  <c r="S2182" i="21" s="1"/>
  <c r="O2182" i="21" a="1"/>
  <c r="O2182" i="21" s="1"/>
  <c r="N2182" i="21"/>
  <c r="V2181" i="21"/>
  <c r="U2181" i="21"/>
  <c r="R2181" i="21"/>
  <c r="P2181" i="21"/>
  <c r="S2181" i="21" s="1"/>
  <c r="O2181" i="21" a="1"/>
  <c r="O2181" i="21" s="1"/>
  <c r="N2181" i="21"/>
  <c r="V2180" i="21"/>
  <c r="U2180" i="21"/>
  <c r="R2180" i="21"/>
  <c r="P2180" i="21"/>
  <c r="S2180" i="21" s="1"/>
  <c r="O2180" i="21" a="1"/>
  <c r="O2180" i="21" s="1"/>
  <c r="N2180" i="21"/>
  <c r="V2179" i="21"/>
  <c r="U2179" i="21"/>
  <c r="R2179" i="21"/>
  <c r="P2179" i="21"/>
  <c r="Q2179" i="21" s="1"/>
  <c r="O2179" i="21" a="1"/>
  <c r="O2179" i="21" s="1"/>
  <c r="N2179" i="21"/>
  <c r="V2178" i="21"/>
  <c r="U2178" i="21"/>
  <c r="R2178" i="21"/>
  <c r="P2178" i="21"/>
  <c r="S2178" i="21" s="1"/>
  <c r="O2178" i="21"/>
  <c r="O2178" i="21" a="1"/>
  <c r="N2178" i="21"/>
  <c r="V2177" i="21"/>
  <c r="U2177" i="21"/>
  <c r="R2177" i="21"/>
  <c r="P2177" i="21"/>
  <c r="S2177" i="21" s="1"/>
  <c r="O2177" i="21" a="1"/>
  <c r="O2177" i="21" s="1"/>
  <c r="N2177" i="21"/>
  <c r="V2176" i="21"/>
  <c r="U2176" i="21"/>
  <c r="R2176" i="21"/>
  <c r="P2176" i="21"/>
  <c r="Q2176" i="21" s="1"/>
  <c r="O2176" i="21" a="1"/>
  <c r="O2176" i="21" s="1"/>
  <c r="N2176" i="21"/>
  <c r="V2175" i="21"/>
  <c r="U2175" i="21"/>
  <c r="R2175" i="21"/>
  <c r="P2175" i="21"/>
  <c r="S2175" i="21" s="1"/>
  <c r="O2175" i="21" a="1"/>
  <c r="O2175" i="21" s="1"/>
  <c r="N2175" i="21"/>
  <c r="V2174" i="21"/>
  <c r="U2174" i="21"/>
  <c r="R2174" i="21"/>
  <c r="P2174" i="21"/>
  <c r="S2174" i="21" s="1"/>
  <c r="O2174" i="21" a="1"/>
  <c r="O2174" i="21" s="1"/>
  <c r="N2174" i="21"/>
  <c r="V2173" i="21"/>
  <c r="U2173" i="21"/>
  <c r="R2173" i="21"/>
  <c r="P2173" i="21"/>
  <c r="S2173" i="21" s="1"/>
  <c r="O2173" i="21" a="1"/>
  <c r="O2173" i="21" s="1"/>
  <c r="N2173" i="21"/>
  <c r="V2172" i="21"/>
  <c r="U2172" i="21"/>
  <c r="R2172" i="21"/>
  <c r="P2172" i="21"/>
  <c r="S2172" i="21" s="1"/>
  <c r="O2172" i="21" a="1"/>
  <c r="O2172" i="21" s="1"/>
  <c r="N2172" i="21"/>
  <c r="V2171" i="21"/>
  <c r="U2171" i="21"/>
  <c r="R2171" i="21"/>
  <c r="P2171" i="21"/>
  <c r="Q2171" i="21" s="1"/>
  <c r="O2171" i="21" a="1"/>
  <c r="O2171" i="21" s="1"/>
  <c r="N2171" i="21"/>
  <c r="V2170" i="21"/>
  <c r="U2170" i="21"/>
  <c r="R2170" i="21"/>
  <c r="P2170" i="21"/>
  <c r="S2170" i="21" s="1"/>
  <c r="O2170" i="21" a="1"/>
  <c r="O2170" i="21" s="1"/>
  <c r="N2170" i="21"/>
  <c r="V2169" i="21"/>
  <c r="U2169" i="21"/>
  <c r="R2169" i="21"/>
  <c r="P2169" i="21"/>
  <c r="S2169" i="21" s="1"/>
  <c r="O2169" i="21" a="1"/>
  <c r="O2169" i="21" s="1"/>
  <c r="N2169" i="21"/>
  <c r="V2168" i="21"/>
  <c r="U2168" i="21"/>
  <c r="R2168" i="21"/>
  <c r="P2168" i="21"/>
  <c r="S2168" i="21" s="1"/>
  <c r="O2168" i="21" a="1"/>
  <c r="O2168" i="21" s="1"/>
  <c r="N2168" i="21"/>
  <c r="V2167" i="21"/>
  <c r="U2167" i="21"/>
  <c r="R2167" i="21"/>
  <c r="P2167" i="21"/>
  <c r="S2167" i="21" s="1"/>
  <c r="O2167" i="21" a="1"/>
  <c r="O2167" i="21" s="1"/>
  <c r="N2167" i="21"/>
  <c r="V2166" i="21"/>
  <c r="U2166" i="21"/>
  <c r="R2166" i="21"/>
  <c r="P2166" i="21"/>
  <c r="S2166" i="21" s="1"/>
  <c r="O2166" i="21" a="1"/>
  <c r="O2166" i="21" s="1"/>
  <c r="N2166" i="21"/>
  <c r="V2165" i="21"/>
  <c r="U2165" i="21"/>
  <c r="R2165" i="21"/>
  <c r="P2165" i="21"/>
  <c r="S2165" i="21" s="1"/>
  <c r="O2165" i="21" a="1"/>
  <c r="O2165" i="21" s="1"/>
  <c r="N2165" i="21"/>
  <c r="V2164" i="21"/>
  <c r="U2164" i="21"/>
  <c r="R2164" i="21"/>
  <c r="P2164" i="21"/>
  <c r="S2164" i="21" s="1"/>
  <c r="O2164" i="21" a="1"/>
  <c r="O2164" i="21" s="1"/>
  <c r="N2164" i="21"/>
  <c r="V2163" i="21"/>
  <c r="U2163" i="21"/>
  <c r="R2163" i="21"/>
  <c r="P2163" i="21"/>
  <c r="Q2163" i="21" s="1"/>
  <c r="O2163" i="21" a="1"/>
  <c r="O2163" i="21" s="1"/>
  <c r="N2163" i="21"/>
  <c r="V2162" i="21"/>
  <c r="U2162" i="21"/>
  <c r="R2162" i="21"/>
  <c r="P2162" i="21"/>
  <c r="S2162" i="21" s="1"/>
  <c r="O2162" i="21" a="1"/>
  <c r="O2162" i="21" s="1"/>
  <c r="N2162" i="21"/>
  <c r="V2161" i="21"/>
  <c r="U2161" i="21"/>
  <c r="R2161" i="21"/>
  <c r="P2161" i="21"/>
  <c r="S2161" i="21" s="1"/>
  <c r="O2161" i="21" a="1"/>
  <c r="O2161" i="21" s="1"/>
  <c r="N2161" i="21"/>
  <c r="V2160" i="21"/>
  <c r="U2160" i="21"/>
  <c r="R2160" i="21"/>
  <c r="P2160" i="21"/>
  <c r="S2160" i="21" s="1"/>
  <c r="O2160" i="21" a="1"/>
  <c r="O2160" i="21" s="1"/>
  <c r="N2160" i="21"/>
  <c r="V2159" i="21"/>
  <c r="U2159" i="21"/>
  <c r="R2159" i="21"/>
  <c r="P2159" i="21"/>
  <c r="S2159" i="21" s="1"/>
  <c r="O2159" i="21" a="1"/>
  <c r="O2159" i="21" s="1"/>
  <c r="N2159" i="21"/>
  <c r="V2158" i="21"/>
  <c r="U2158" i="21"/>
  <c r="R2158" i="21"/>
  <c r="P2158" i="21"/>
  <c r="S2158" i="21" s="1"/>
  <c r="O2158" i="21" a="1"/>
  <c r="O2158" i="21" s="1"/>
  <c r="N2158" i="21"/>
  <c r="V2157" i="21"/>
  <c r="U2157" i="21"/>
  <c r="R2157" i="21"/>
  <c r="P2157" i="21"/>
  <c r="Q2157" i="21" s="1"/>
  <c r="O2157" i="21" a="1"/>
  <c r="O2157" i="21" s="1"/>
  <c r="N2157" i="21"/>
  <c r="V2156" i="21"/>
  <c r="U2156" i="21"/>
  <c r="R2156" i="21"/>
  <c r="P2156" i="21"/>
  <c r="S2156" i="21" s="1"/>
  <c r="O2156" i="21" a="1"/>
  <c r="O2156" i="21" s="1"/>
  <c r="N2156" i="21"/>
  <c r="V2155" i="21"/>
  <c r="U2155" i="21"/>
  <c r="R2155" i="21"/>
  <c r="P2155" i="21"/>
  <c r="Q2155" i="21" s="1"/>
  <c r="O2155" i="21" a="1"/>
  <c r="O2155" i="21" s="1"/>
  <c r="N2155" i="21"/>
  <c r="V2154" i="21"/>
  <c r="U2154" i="21"/>
  <c r="R2154" i="21"/>
  <c r="P2154" i="21"/>
  <c r="S2154" i="21" s="1"/>
  <c r="O2154" i="21" a="1"/>
  <c r="O2154" i="21" s="1"/>
  <c r="N2154" i="21"/>
  <c r="V2153" i="21"/>
  <c r="U2153" i="21"/>
  <c r="R2153" i="21"/>
  <c r="P2153" i="21"/>
  <c r="S2153" i="21" s="1"/>
  <c r="O2153" i="21" a="1"/>
  <c r="O2153" i="21" s="1"/>
  <c r="N2153" i="21"/>
  <c r="V2152" i="21"/>
  <c r="U2152" i="21"/>
  <c r="R2152" i="21"/>
  <c r="P2152" i="21"/>
  <c r="S2152" i="21" s="1"/>
  <c r="O2152" i="21" a="1"/>
  <c r="O2152" i="21" s="1"/>
  <c r="N2152" i="21"/>
  <c r="V2151" i="21"/>
  <c r="U2151" i="21"/>
  <c r="R2151" i="21"/>
  <c r="P2151" i="21"/>
  <c r="S2151" i="21" s="1"/>
  <c r="O2151" i="21" a="1"/>
  <c r="O2151" i="21" s="1"/>
  <c r="N2151" i="21"/>
  <c r="V2150" i="21"/>
  <c r="U2150" i="21"/>
  <c r="R2150" i="21"/>
  <c r="P2150" i="21"/>
  <c r="S2150" i="21" s="1"/>
  <c r="O2150" i="21" a="1"/>
  <c r="O2150" i="21" s="1"/>
  <c r="N2150" i="21"/>
  <c r="V2149" i="21"/>
  <c r="U2149" i="21"/>
  <c r="R2149" i="21"/>
  <c r="Q2149" i="21"/>
  <c r="P2149" i="21"/>
  <c r="S2149" i="21" s="1"/>
  <c r="O2149" i="21" a="1"/>
  <c r="O2149" i="21" s="1"/>
  <c r="N2149" i="21"/>
  <c r="V2148" i="21"/>
  <c r="U2148" i="21"/>
  <c r="R2148" i="21"/>
  <c r="P2148" i="21"/>
  <c r="S2148" i="21" s="1"/>
  <c r="O2148" i="21" a="1"/>
  <c r="O2148" i="21" s="1"/>
  <c r="N2148" i="21"/>
  <c r="V2147" i="21"/>
  <c r="U2147" i="21"/>
  <c r="R2147" i="21"/>
  <c r="P2147" i="21"/>
  <c r="Q2147" i="21" s="1"/>
  <c r="O2147" i="21" a="1"/>
  <c r="O2147" i="21" s="1"/>
  <c r="N2147" i="21"/>
  <c r="V2146" i="21"/>
  <c r="U2146" i="21"/>
  <c r="R2146" i="21"/>
  <c r="P2146" i="21"/>
  <c r="S2146" i="21" s="1"/>
  <c r="O2146" i="21" a="1"/>
  <c r="O2146" i="21" s="1"/>
  <c r="N2146" i="21"/>
  <c r="V2145" i="21"/>
  <c r="U2145" i="21"/>
  <c r="R2145" i="21"/>
  <c r="P2145" i="21"/>
  <c r="S2145" i="21" s="1"/>
  <c r="O2145" i="21" a="1"/>
  <c r="O2145" i="21" s="1"/>
  <c r="N2145" i="21"/>
  <c r="V2144" i="21"/>
  <c r="U2144" i="21"/>
  <c r="R2144" i="21"/>
  <c r="P2144" i="21"/>
  <c r="S2144" i="21" s="1"/>
  <c r="O2144" i="21" a="1"/>
  <c r="O2144" i="21" s="1"/>
  <c r="N2144" i="21"/>
  <c r="V2143" i="21"/>
  <c r="U2143" i="21"/>
  <c r="R2143" i="21"/>
  <c r="P2143" i="21"/>
  <c r="O2143" i="21" a="1"/>
  <c r="O2143" i="21" s="1"/>
  <c r="N2143" i="21"/>
  <c r="V2142" i="21"/>
  <c r="U2142" i="21"/>
  <c r="R2142" i="21"/>
  <c r="P2142" i="21"/>
  <c r="S2142" i="21" s="1"/>
  <c r="O2142" i="21" a="1"/>
  <c r="O2142" i="21" s="1"/>
  <c r="N2142" i="21"/>
  <c r="V2141" i="21"/>
  <c r="U2141" i="21"/>
  <c r="R2141" i="21"/>
  <c r="P2141" i="21"/>
  <c r="S2141" i="21" s="1"/>
  <c r="O2141" i="21" a="1"/>
  <c r="O2141" i="21" s="1"/>
  <c r="N2141" i="21"/>
  <c r="V2140" i="21"/>
  <c r="U2140" i="21"/>
  <c r="R2140" i="21"/>
  <c r="P2140" i="21"/>
  <c r="S2140" i="21" s="1"/>
  <c r="O2140" i="21" a="1"/>
  <c r="O2140" i="21" s="1"/>
  <c r="N2140" i="21"/>
  <c r="V2139" i="21"/>
  <c r="U2139" i="21"/>
  <c r="R2139" i="21"/>
  <c r="P2139" i="21"/>
  <c r="Q2139" i="21" s="1"/>
  <c r="O2139" i="21" a="1"/>
  <c r="O2139" i="21" s="1"/>
  <c r="N2139" i="21"/>
  <c r="V2138" i="21"/>
  <c r="U2138" i="21"/>
  <c r="R2138" i="21"/>
  <c r="P2138" i="21"/>
  <c r="S2138" i="21" s="1"/>
  <c r="O2138" i="21" a="1"/>
  <c r="O2138" i="21" s="1"/>
  <c r="N2138" i="21"/>
  <c r="V2137" i="21"/>
  <c r="U2137" i="21"/>
  <c r="R2137" i="21"/>
  <c r="P2137" i="21"/>
  <c r="O2137" i="21" a="1"/>
  <c r="O2137" i="21" s="1"/>
  <c r="N2137" i="21"/>
  <c r="V2136" i="21"/>
  <c r="U2136" i="21"/>
  <c r="R2136" i="21"/>
  <c r="P2136" i="21"/>
  <c r="Q2136" i="21" s="1"/>
  <c r="O2136" i="21" a="1"/>
  <c r="O2136" i="21" s="1"/>
  <c r="N2136" i="21"/>
  <c r="V2135" i="21"/>
  <c r="U2135" i="21"/>
  <c r="R2135" i="21"/>
  <c r="P2135" i="21"/>
  <c r="O2135" i="21"/>
  <c r="O2135" i="21" a="1"/>
  <c r="N2135" i="21"/>
  <c r="V2134" i="21"/>
  <c r="U2134" i="21"/>
  <c r="R2134" i="21"/>
  <c r="P2134" i="21"/>
  <c r="O2134" i="21" a="1"/>
  <c r="O2134" i="21" s="1"/>
  <c r="N2134" i="21"/>
  <c r="V2133" i="21"/>
  <c r="U2133" i="21"/>
  <c r="R2133" i="21"/>
  <c r="P2133" i="21"/>
  <c r="S2133" i="21" s="1"/>
  <c r="O2133" i="21" a="1"/>
  <c r="O2133" i="21" s="1"/>
  <c r="N2133" i="21"/>
  <c r="V2132" i="21"/>
  <c r="U2132" i="21"/>
  <c r="R2132" i="21"/>
  <c r="P2132" i="21"/>
  <c r="O2132" i="21" a="1"/>
  <c r="O2132" i="21" s="1"/>
  <c r="N2132" i="21"/>
  <c r="V2131" i="21"/>
  <c r="U2131" i="21"/>
  <c r="R2131" i="21"/>
  <c r="P2131" i="21"/>
  <c r="Q2131" i="21" s="1"/>
  <c r="O2131" i="21" a="1"/>
  <c r="O2131" i="21" s="1"/>
  <c r="N2131" i="21"/>
  <c r="V2130" i="21"/>
  <c r="U2130" i="21"/>
  <c r="R2130" i="21"/>
  <c r="P2130" i="21"/>
  <c r="S2130" i="21" s="1"/>
  <c r="O2130" i="21" a="1"/>
  <c r="O2130" i="21" s="1"/>
  <c r="N2130" i="21"/>
  <c r="V2129" i="21"/>
  <c r="U2129" i="21"/>
  <c r="R2129" i="21"/>
  <c r="P2129" i="21"/>
  <c r="O2129" i="21" a="1"/>
  <c r="O2129" i="21" s="1"/>
  <c r="N2129" i="21"/>
  <c r="V2128" i="21"/>
  <c r="U2128" i="21"/>
  <c r="S2128" i="21"/>
  <c r="R2128" i="21"/>
  <c r="P2128" i="21"/>
  <c r="Q2128" i="21" s="1"/>
  <c r="O2128" i="21" a="1"/>
  <c r="O2128" i="21" s="1"/>
  <c r="N2128" i="21"/>
  <c r="V2127" i="21"/>
  <c r="U2127" i="21"/>
  <c r="R2127" i="21"/>
  <c r="P2127" i="21"/>
  <c r="O2127" i="21" a="1"/>
  <c r="O2127" i="21" s="1"/>
  <c r="N2127" i="21"/>
  <c r="V2126" i="21"/>
  <c r="U2126" i="21"/>
  <c r="R2126" i="21"/>
  <c r="P2126" i="21"/>
  <c r="O2126" i="21" a="1"/>
  <c r="O2126" i="21" s="1"/>
  <c r="N2126" i="21"/>
  <c r="V2125" i="21"/>
  <c r="U2125" i="21"/>
  <c r="R2125" i="21"/>
  <c r="P2125" i="21"/>
  <c r="S2125" i="21" s="1"/>
  <c r="O2125" i="21" a="1"/>
  <c r="O2125" i="21" s="1"/>
  <c r="N2125" i="21"/>
  <c r="V2124" i="21"/>
  <c r="U2124" i="21"/>
  <c r="R2124" i="21"/>
  <c r="P2124" i="21"/>
  <c r="O2124" i="21" a="1"/>
  <c r="O2124" i="21" s="1"/>
  <c r="N2124" i="21"/>
  <c r="V2123" i="21"/>
  <c r="U2123" i="21"/>
  <c r="R2123" i="21"/>
  <c r="P2123" i="21"/>
  <c r="Q2123" i="21" s="1"/>
  <c r="T2123" i="21" s="1"/>
  <c r="O2123" i="21" a="1"/>
  <c r="O2123" i="21" s="1"/>
  <c r="N2123" i="21"/>
  <c r="V2122" i="21"/>
  <c r="U2122" i="21"/>
  <c r="R2122" i="21"/>
  <c r="P2122" i="21"/>
  <c r="S2122" i="21" s="1"/>
  <c r="O2122" i="21" a="1"/>
  <c r="O2122" i="21" s="1"/>
  <c r="N2122" i="21"/>
  <c r="V2121" i="21"/>
  <c r="U2121" i="21"/>
  <c r="R2121" i="21"/>
  <c r="P2121" i="21"/>
  <c r="O2121" i="21" a="1"/>
  <c r="O2121" i="21" s="1"/>
  <c r="N2121" i="21"/>
  <c r="V2120" i="21"/>
  <c r="U2120" i="21"/>
  <c r="R2120" i="21"/>
  <c r="P2120" i="21"/>
  <c r="Q2120" i="21" s="1"/>
  <c r="O2120" i="21" a="1"/>
  <c r="O2120" i="21" s="1"/>
  <c r="N2120" i="21"/>
  <c r="V2119" i="21"/>
  <c r="U2119" i="21"/>
  <c r="R2119" i="21"/>
  <c r="P2119" i="21"/>
  <c r="O2119" i="21" a="1"/>
  <c r="O2119" i="21" s="1"/>
  <c r="N2119" i="21"/>
  <c r="V2118" i="21"/>
  <c r="U2118" i="21"/>
  <c r="R2118" i="21"/>
  <c r="P2118" i="21"/>
  <c r="O2118" i="21" a="1"/>
  <c r="O2118" i="21" s="1"/>
  <c r="N2118" i="21"/>
  <c r="V2117" i="21"/>
  <c r="U2117" i="21"/>
  <c r="R2117" i="21"/>
  <c r="P2117" i="21"/>
  <c r="S2117" i="21" s="1"/>
  <c r="O2117" i="21" a="1"/>
  <c r="O2117" i="21" s="1"/>
  <c r="N2117" i="21"/>
  <c r="V2116" i="21"/>
  <c r="U2116" i="21"/>
  <c r="R2116" i="21"/>
  <c r="P2116" i="21"/>
  <c r="O2116" i="21" a="1"/>
  <c r="O2116" i="21" s="1"/>
  <c r="N2116" i="21"/>
  <c r="V2115" i="21"/>
  <c r="U2115" i="21"/>
  <c r="R2115" i="21"/>
  <c r="P2115" i="21"/>
  <c r="Q2115" i="21" s="1"/>
  <c r="O2115" i="21" a="1"/>
  <c r="O2115" i="21" s="1"/>
  <c r="N2115" i="21"/>
  <c r="V2114" i="21"/>
  <c r="U2114" i="21"/>
  <c r="R2114" i="21"/>
  <c r="P2114" i="21"/>
  <c r="S2114" i="21" s="1"/>
  <c r="O2114" i="21" a="1"/>
  <c r="O2114" i="21" s="1"/>
  <c r="N2114" i="21"/>
  <c r="V2113" i="21"/>
  <c r="U2113" i="21"/>
  <c r="R2113" i="21"/>
  <c r="P2113" i="21"/>
  <c r="O2113" i="21" a="1"/>
  <c r="O2113" i="21" s="1"/>
  <c r="N2113" i="21"/>
  <c r="V2112" i="21"/>
  <c r="U2112" i="21"/>
  <c r="R2112" i="21"/>
  <c r="P2112" i="21"/>
  <c r="Q2112" i="21" s="1"/>
  <c r="O2112" i="21" a="1"/>
  <c r="O2112" i="21" s="1"/>
  <c r="N2112" i="21"/>
  <c r="V2111" i="21"/>
  <c r="U2111" i="21"/>
  <c r="R2111" i="21"/>
  <c r="P2111" i="21"/>
  <c r="O2111" i="21" a="1"/>
  <c r="O2111" i="21" s="1"/>
  <c r="N2111" i="21"/>
  <c r="V2110" i="21"/>
  <c r="U2110" i="21"/>
  <c r="R2110" i="21"/>
  <c r="P2110" i="21"/>
  <c r="O2110" i="21" a="1"/>
  <c r="O2110" i="21" s="1"/>
  <c r="N2110" i="21"/>
  <c r="V2109" i="21"/>
  <c r="U2109" i="21"/>
  <c r="S2109" i="21"/>
  <c r="R2109" i="21"/>
  <c r="P2109" i="21"/>
  <c r="Q2109" i="21" s="1"/>
  <c r="O2109" i="21" a="1"/>
  <c r="O2109" i="21" s="1"/>
  <c r="N2109" i="21"/>
  <c r="V2108" i="21"/>
  <c r="U2108" i="21"/>
  <c r="R2108" i="21"/>
  <c r="P2108" i="21"/>
  <c r="O2108" i="21" a="1"/>
  <c r="O2108" i="21" s="1"/>
  <c r="N2108" i="21"/>
  <c r="V2107" i="21"/>
  <c r="U2107" i="21"/>
  <c r="R2107" i="21"/>
  <c r="P2107" i="21"/>
  <c r="Q2107" i="21" s="1"/>
  <c r="O2107" i="21" a="1"/>
  <c r="O2107" i="21" s="1"/>
  <c r="N2107" i="21"/>
  <c r="V2106" i="21"/>
  <c r="U2106" i="21"/>
  <c r="R2106" i="21"/>
  <c r="P2106" i="21"/>
  <c r="S2106" i="21" s="1"/>
  <c r="O2106" i="21" a="1"/>
  <c r="O2106" i="21" s="1"/>
  <c r="N2106" i="21"/>
  <c r="V2105" i="21"/>
  <c r="U2105" i="21"/>
  <c r="R2105" i="21"/>
  <c r="P2105" i="21"/>
  <c r="O2105" i="21" a="1"/>
  <c r="O2105" i="21" s="1"/>
  <c r="N2105" i="21"/>
  <c r="V2104" i="21"/>
  <c r="U2104" i="21"/>
  <c r="R2104" i="21"/>
  <c r="P2104" i="21"/>
  <c r="S2104" i="21" s="1"/>
  <c r="O2104" i="21" a="1"/>
  <c r="O2104" i="21" s="1"/>
  <c r="N2104" i="21"/>
  <c r="V2103" i="21"/>
  <c r="U2103" i="21"/>
  <c r="R2103" i="21"/>
  <c r="P2103" i="21"/>
  <c r="O2103" i="21" a="1"/>
  <c r="O2103" i="21" s="1"/>
  <c r="N2103" i="21"/>
  <c r="V2102" i="21"/>
  <c r="U2102" i="21"/>
  <c r="R2102" i="21"/>
  <c r="P2102" i="21"/>
  <c r="O2102" i="21" a="1"/>
  <c r="O2102" i="21" s="1"/>
  <c r="N2102" i="21"/>
  <c r="V2101" i="21"/>
  <c r="U2101" i="21"/>
  <c r="R2101" i="21"/>
  <c r="P2101" i="21"/>
  <c r="Q2101" i="21" s="1"/>
  <c r="O2101" i="21" a="1"/>
  <c r="O2101" i="21" s="1"/>
  <c r="N2101" i="21"/>
  <c r="V2100" i="21"/>
  <c r="U2100" i="21"/>
  <c r="R2100" i="21"/>
  <c r="P2100" i="21"/>
  <c r="O2100" i="21" a="1"/>
  <c r="O2100" i="21" s="1"/>
  <c r="N2100" i="21"/>
  <c r="V2099" i="21"/>
  <c r="U2099" i="21"/>
  <c r="R2099" i="21"/>
  <c r="P2099" i="21"/>
  <c r="Q2099" i="21" s="1"/>
  <c r="O2099" i="21" a="1"/>
  <c r="O2099" i="21" s="1"/>
  <c r="N2099" i="21"/>
  <c r="V2098" i="21"/>
  <c r="U2098" i="21"/>
  <c r="R2098" i="21"/>
  <c r="P2098" i="21"/>
  <c r="S2098" i="21" s="1"/>
  <c r="O2098" i="21" a="1"/>
  <c r="O2098" i="21" s="1"/>
  <c r="N2098" i="21"/>
  <c r="V2097" i="21"/>
  <c r="U2097" i="21"/>
  <c r="R2097" i="21"/>
  <c r="P2097" i="21"/>
  <c r="O2097" i="21" a="1"/>
  <c r="O2097" i="21" s="1"/>
  <c r="N2097" i="21"/>
  <c r="V2096" i="21"/>
  <c r="U2096" i="21"/>
  <c r="R2096" i="21"/>
  <c r="P2096" i="21"/>
  <c r="S2096" i="21" s="1"/>
  <c r="O2096" i="21" a="1"/>
  <c r="O2096" i="21" s="1"/>
  <c r="N2096" i="21"/>
  <c r="V2095" i="21"/>
  <c r="U2095" i="21"/>
  <c r="R2095" i="21"/>
  <c r="P2095" i="21"/>
  <c r="O2095" i="21" a="1"/>
  <c r="O2095" i="21" s="1"/>
  <c r="N2095" i="21"/>
  <c r="V2094" i="21"/>
  <c r="U2094" i="21"/>
  <c r="R2094" i="21"/>
  <c r="P2094" i="21"/>
  <c r="S2094" i="21" s="1"/>
  <c r="O2094" i="21" a="1"/>
  <c r="O2094" i="21" s="1"/>
  <c r="N2094" i="21"/>
  <c r="V2093" i="21"/>
  <c r="U2093" i="21"/>
  <c r="R2093" i="21"/>
  <c r="P2093" i="21"/>
  <c r="S2093" i="21" s="1"/>
  <c r="O2093" i="21" a="1"/>
  <c r="O2093" i="21" s="1"/>
  <c r="N2093" i="21"/>
  <c r="V2092" i="21"/>
  <c r="U2092" i="21"/>
  <c r="R2092" i="21"/>
  <c r="P2092" i="21"/>
  <c r="O2092" i="21" a="1"/>
  <c r="O2092" i="21" s="1"/>
  <c r="N2092" i="21"/>
  <c r="V2091" i="21"/>
  <c r="U2091" i="21"/>
  <c r="R2091" i="21"/>
  <c r="P2091" i="21"/>
  <c r="Q2091" i="21" s="1"/>
  <c r="O2091" i="21" a="1"/>
  <c r="O2091" i="21" s="1"/>
  <c r="N2091" i="21"/>
  <c r="V2090" i="21"/>
  <c r="U2090" i="21"/>
  <c r="R2090" i="21"/>
  <c r="P2090" i="21"/>
  <c r="S2090" i="21" s="1"/>
  <c r="O2090" i="21" a="1"/>
  <c r="O2090" i="21" s="1"/>
  <c r="N2090" i="21"/>
  <c r="V2089" i="21"/>
  <c r="U2089" i="21"/>
  <c r="R2089" i="21"/>
  <c r="P2089" i="21"/>
  <c r="Q2089" i="21" s="1"/>
  <c r="O2089" i="21" a="1"/>
  <c r="O2089" i="21" s="1"/>
  <c r="N2089" i="21"/>
  <c r="V2088" i="21"/>
  <c r="U2088" i="21"/>
  <c r="R2088" i="21"/>
  <c r="P2088" i="21"/>
  <c r="S2088" i="21" s="1"/>
  <c r="O2088" i="21" a="1"/>
  <c r="O2088" i="21" s="1"/>
  <c r="N2088" i="21"/>
  <c r="V2087" i="21"/>
  <c r="U2087" i="21"/>
  <c r="R2087" i="21"/>
  <c r="P2087" i="21"/>
  <c r="O2087" i="21" a="1"/>
  <c r="O2087" i="21" s="1"/>
  <c r="N2087" i="21"/>
  <c r="V2086" i="21"/>
  <c r="U2086" i="21"/>
  <c r="R2086" i="21"/>
  <c r="P2086" i="21"/>
  <c r="S2086" i="21" s="1"/>
  <c r="O2086" i="21" a="1"/>
  <c r="O2086" i="21" s="1"/>
  <c r="N2086" i="21"/>
  <c r="V2085" i="21"/>
  <c r="U2085" i="21"/>
  <c r="R2085" i="21"/>
  <c r="P2085" i="21"/>
  <c r="Q2085" i="21" s="1"/>
  <c r="O2085" i="21" a="1"/>
  <c r="O2085" i="21" s="1"/>
  <c r="N2085" i="21"/>
  <c r="V2084" i="21"/>
  <c r="U2084" i="21"/>
  <c r="R2084" i="21"/>
  <c r="P2084" i="21"/>
  <c r="S2084" i="21" s="1"/>
  <c r="O2084" i="21" a="1"/>
  <c r="O2084" i="21" s="1"/>
  <c r="N2084" i="21"/>
  <c r="V2083" i="21"/>
  <c r="U2083" i="21"/>
  <c r="R2083" i="21"/>
  <c r="P2083" i="21"/>
  <c r="Q2083" i="21" s="1"/>
  <c r="O2083" i="21" a="1"/>
  <c r="O2083" i="21" s="1"/>
  <c r="N2083" i="21"/>
  <c r="V2082" i="21"/>
  <c r="U2082" i="21"/>
  <c r="R2082" i="21"/>
  <c r="P2082" i="21"/>
  <c r="S2082" i="21" s="1"/>
  <c r="O2082" i="21" a="1"/>
  <c r="O2082" i="21" s="1"/>
  <c r="N2082" i="21"/>
  <c r="V2081" i="21"/>
  <c r="U2081" i="21"/>
  <c r="R2081" i="21"/>
  <c r="P2081" i="21"/>
  <c r="Q2081" i="21" s="1"/>
  <c r="O2081" i="21" a="1"/>
  <c r="O2081" i="21" s="1"/>
  <c r="N2081" i="21"/>
  <c r="V2080" i="21"/>
  <c r="U2080" i="21"/>
  <c r="R2080" i="21"/>
  <c r="P2080" i="21"/>
  <c r="Q2080" i="21" s="1"/>
  <c r="O2080" i="21" a="1"/>
  <c r="O2080" i="21" s="1"/>
  <c r="N2080" i="21"/>
  <c r="V2079" i="21"/>
  <c r="U2079" i="21"/>
  <c r="R2079" i="21"/>
  <c r="P2079" i="21"/>
  <c r="S2079" i="21" s="1"/>
  <c r="O2079" i="21" a="1"/>
  <c r="O2079" i="21" s="1"/>
  <c r="N2079" i="21"/>
  <c r="V2078" i="21"/>
  <c r="U2078" i="21"/>
  <c r="R2078" i="21"/>
  <c r="P2078" i="21"/>
  <c r="S2078" i="21" s="1"/>
  <c r="O2078" i="21" a="1"/>
  <c r="O2078" i="21" s="1"/>
  <c r="N2078" i="21"/>
  <c r="V2077" i="21"/>
  <c r="U2077" i="21"/>
  <c r="R2077" i="21"/>
  <c r="P2077" i="21"/>
  <c r="S2077" i="21" s="1"/>
  <c r="O2077" i="21"/>
  <c r="O2077" i="21" a="1"/>
  <c r="N2077" i="21"/>
  <c r="V2076" i="21"/>
  <c r="U2076" i="21"/>
  <c r="S2076" i="21"/>
  <c r="R2076" i="21"/>
  <c r="P2076" i="21"/>
  <c r="Q2076" i="21" s="1"/>
  <c r="O2076" i="21" a="1"/>
  <c r="O2076" i="21" s="1"/>
  <c r="N2076" i="21"/>
  <c r="V2075" i="21"/>
  <c r="U2075" i="21"/>
  <c r="R2075" i="21"/>
  <c r="P2075" i="21"/>
  <c r="Q2075" i="21" s="1"/>
  <c r="O2075" i="21" a="1"/>
  <c r="O2075" i="21" s="1"/>
  <c r="N2075" i="21"/>
  <c r="V2074" i="21"/>
  <c r="U2074" i="21"/>
  <c r="R2074" i="21"/>
  <c r="P2074" i="21"/>
  <c r="S2074" i="21" s="1"/>
  <c r="O2074" i="21" a="1"/>
  <c r="O2074" i="21" s="1"/>
  <c r="N2074" i="21"/>
  <c r="V2073" i="21"/>
  <c r="U2073" i="21"/>
  <c r="S2073" i="21"/>
  <c r="R2073" i="21"/>
  <c r="P2073" i="21"/>
  <c r="Q2073" i="21" s="1"/>
  <c r="O2073" i="21" a="1"/>
  <c r="O2073" i="21" s="1"/>
  <c r="N2073" i="21"/>
  <c r="V2072" i="21"/>
  <c r="U2072" i="21"/>
  <c r="R2072" i="21"/>
  <c r="P2072" i="21"/>
  <c r="Q2072" i="21" s="1"/>
  <c r="T2072" i="21" s="1"/>
  <c r="O2072" i="21" a="1"/>
  <c r="O2072" i="21" s="1"/>
  <c r="N2072" i="21"/>
  <c r="V2071" i="21"/>
  <c r="U2071" i="21"/>
  <c r="R2071" i="21"/>
  <c r="P2071" i="21"/>
  <c r="Q2071" i="21" s="1"/>
  <c r="T2071" i="21" s="1"/>
  <c r="O2071" i="21" a="1"/>
  <c r="O2071" i="21" s="1"/>
  <c r="N2071" i="21"/>
  <c r="V2070" i="21"/>
  <c r="U2070" i="21"/>
  <c r="R2070" i="21"/>
  <c r="P2070" i="21"/>
  <c r="S2070" i="21" s="1"/>
  <c r="O2070" i="21" a="1"/>
  <c r="O2070" i="21" s="1"/>
  <c r="N2070" i="21"/>
  <c r="V2069" i="21"/>
  <c r="U2069" i="21"/>
  <c r="R2069" i="21"/>
  <c r="P2069" i="21"/>
  <c r="S2069" i="21" s="1"/>
  <c r="O2069" i="21" a="1"/>
  <c r="O2069" i="21" s="1"/>
  <c r="N2069" i="21"/>
  <c r="V2068" i="21"/>
  <c r="U2068" i="21"/>
  <c r="R2068" i="21"/>
  <c r="P2068" i="21"/>
  <c r="Q2068" i="21" s="1"/>
  <c r="O2068" i="21" a="1"/>
  <c r="O2068" i="21" s="1"/>
  <c r="N2068" i="21"/>
  <c r="V2067" i="21"/>
  <c r="U2067" i="21"/>
  <c r="S2067" i="21"/>
  <c r="R2067" i="21"/>
  <c r="P2067" i="21"/>
  <c r="Q2067" i="21" s="1"/>
  <c r="O2067" i="21" a="1"/>
  <c r="O2067" i="21" s="1"/>
  <c r="N2067" i="21"/>
  <c r="V2066" i="21"/>
  <c r="U2066" i="21"/>
  <c r="R2066" i="21"/>
  <c r="P2066" i="21"/>
  <c r="S2066" i="21" s="1"/>
  <c r="O2066" i="21" a="1"/>
  <c r="O2066" i="21" s="1"/>
  <c r="N2066" i="21"/>
  <c r="V2065" i="21"/>
  <c r="U2065" i="21"/>
  <c r="R2065" i="21"/>
  <c r="P2065" i="21"/>
  <c r="S2065" i="21" s="1"/>
  <c r="O2065" i="21" a="1"/>
  <c r="O2065" i="21" s="1"/>
  <c r="N2065" i="21"/>
  <c r="V2064" i="21"/>
  <c r="U2064" i="21"/>
  <c r="R2064" i="21"/>
  <c r="P2064" i="21"/>
  <c r="S2064" i="21" s="1"/>
  <c r="O2064" i="21" a="1"/>
  <c r="O2064" i="21" s="1"/>
  <c r="N2064" i="21"/>
  <c r="V2063" i="21"/>
  <c r="U2063" i="21"/>
  <c r="R2063" i="21"/>
  <c r="P2063" i="21"/>
  <c r="Q2063" i="21" s="1"/>
  <c r="T2063" i="21" s="1"/>
  <c r="O2063" i="21" a="1"/>
  <c r="O2063" i="21" s="1"/>
  <c r="N2063" i="21"/>
  <c r="V2062" i="21"/>
  <c r="U2062" i="21"/>
  <c r="R2062" i="21"/>
  <c r="P2062" i="21"/>
  <c r="S2062" i="21" s="1"/>
  <c r="O2062" i="21" a="1"/>
  <c r="O2062" i="21" s="1"/>
  <c r="N2062" i="21"/>
  <c r="V2061" i="21"/>
  <c r="U2061" i="21"/>
  <c r="R2061" i="21"/>
  <c r="P2061" i="21"/>
  <c r="S2061" i="21" s="1"/>
  <c r="O2061" i="21"/>
  <c r="O2061" i="21" a="1"/>
  <c r="N2061" i="21"/>
  <c r="V2060" i="21"/>
  <c r="U2060" i="21"/>
  <c r="R2060" i="21"/>
  <c r="P2060" i="21"/>
  <c r="S2060" i="21" s="1"/>
  <c r="O2060" i="21" a="1"/>
  <c r="O2060" i="21" s="1"/>
  <c r="N2060" i="21"/>
  <c r="V2059" i="21"/>
  <c r="U2059" i="21"/>
  <c r="R2059" i="21"/>
  <c r="P2059" i="21"/>
  <c r="Q2059" i="21" s="1"/>
  <c r="O2059" i="21" a="1"/>
  <c r="O2059" i="21" s="1"/>
  <c r="N2059" i="21"/>
  <c r="V2058" i="21"/>
  <c r="U2058" i="21"/>
  <c r="R2058" i="21"/>
  <c r="P2058" i="21"/>
  <c r="S2058" i="21" s="1"/>
  <c r="O2058" i="21" a="1"/>
  <c r="O2058" i="21" s="1"/>
  <c r="N2058" i="21"/>
  <c r="V2057" i="21"/>
  <c r="U2057" i="21"/>
  <c r="R2057" i="21"/>
  <c r="P2057" i="21"/>
  <c r="Q2057" i="21" s="1"/>
  <c r="O2057" i="21" a="1"/>
  <c r="O2057" i="21" s="1"/>
  <c r="N2057" i="21"/>
  <c r="V2056" i="21"/>
  <c r="U2056" i="21"/>
  <c r="R2056" i="21"/>
  <c r="P2056" i="21"/>
  <c r="S2056" i="21" s="1"/>
  <c r="O2056" i="21" a="1"/>
  <c r="O2056" i="21" s="1"/>
  <c r="N2056" i="21"/>
  <c r="V2055" i="21"/>
  <c r="U2055" i="21"/>
  <c r="R2055" i="21"/>
  <c r="P2055" i="21"/>
  <c r="S2055" i="21" s="1"/>
  <c r="O2055" i="21" a="1"/>
  <c r="O2055" i="21" s="1"/>
  <c r="N2055" i="21"/>
  <c r="V2054" i="21"/>
  <c r="U2054" i="21"/>
  <c r="R2054" i="21"/>
  <c r="P2054" i="21"/>
  <c r="S2054" i="21" s="1"/>
  <c r="O2054" i="21" a="1"/>
  <c r="O2054" i="21" s="1"/>
  <c r="N2054" i="21"/>
  <c r="V2053" i="21"/>
  <c r="U2053" i="21"/>
  <c r="R2053" i="21"/>
  <c r="P2053" i="21"/>
  <c r="S2053" i="21" s="1"/>
  <c r="O2053" i="21" a="1"/>
  <c r="O2053" i="21" s="1"/>
  <c r="N2053" i="21"/>
  <c r="V2052" i="21"/>
  <c r="U2052" i="21"/>
  <c r="R2052" i="21"/>
  <c r="P2052" i="21"/>
  <c r="S2052" i="21" s="1"/>
  <c r="O2052" i="21" a="1"/>
  <c r="O2052" i="21" s="1"/>
  <c r="N2052" i="21"/>
  <c r="V2051" i="21"/>
  <c r="U2051" i="21"/>
  <c r="R2051" i="21"/>
  <c r="P2051" i="21"/>
  <c r="Q2051" i="21" s="1"/>
  <c r="T2051" i="21" s="1"/>
  <c r="O2051" i="21" a="1"/>
  <c r="O2051" i="21" s="1"/>
  <c r="N2051" i="21"/>
  <c r="V2050" i="21"/>
  <c r="U2050" i="21"/>
  <c r="R2050" i="21"/>
  <c r="P2050" i="21"/>
  <c r="S2050" i="21" s="1"/>
  <c r="O2050" i="21" a="1"/>
  <c r="O2050" i="21" s="1"/>
  <c r="N2050" i="21"/>
  <c r="V2049" i="21"/>
  <c r="U2049" i="21"/>
  <c r="R2049" i="21"/>
  <c r="P2049" i="21"/>
  <c r="S2049" i="21" s="1"/>
  <c r="O2049" i="21" a="1"/>
  <c r="O2049" i="21" s="1"/>
  <c r="N2049" i="21"/>
  <c r="V2048" i="21"/>
  <c r="U2048" i="21"/>
  <c r="R2048" i="21"/>
  <c r="P2048" i="21"/>
  <c r="S2048" i="21" s="1"/>
  <c r="O2048" i="21" a="1"/>
  <c r="O2048" i="21" s="1"/>
  <c r="N2048" i="21"/>
  <c r="V2047" i="21"/>
  <c r="U2047" i="21"/>
  <c r="R2047" i="21"/>
  <c r="P2047" i="21"/>
  <c r="S2047" i="21" s="1"/>
  <c r="O2047" i="21" a="1"/>
  <c r="O2047" i="21" s="1"/>
  <c r="N2047" i="21"/>
  <c r="V2046" i="21"/>
  <c r="U2046" i="21"/>
  <c r="R2046" i="21"/>
  <c r="P2046" i="21"/>
  <c r="S2046" i="21" s="1"/>
  <c r="O2046" i="21" a="1"/>
  <c r="O2046" i="21" s="1"/>
  <c r="N2046" i="21"/>
  <c r="V2045" i="21"/>
  <c r="U2045" i="21"/>
  <c r="R2045" i="21"/>
  <c r="P2045" i="21"/>
  <c r="S2045" i="21" s="1"/>
  <c r="O2045" i="21"/>
  <c r="O2045" i="21" a="1"/>
  <c r="N2045" i="21"/>
  <c r="V2044" i="21"/>
  <c r="U2044" i="21"/>
  <c r="R2044" i="21"/>
  <c r="P2044" i="21"/>
  <c r="S2044" i="21" s="1"/>
  <c r="O2044" i="21" a="1"/>
  <c r="O2044" i="21" s="1"/>
  <c r="N2044" i="21"/>
  <c r="V2043" i="21"/>
  <c r="U2043" i="21"/>
  <c r="R2043" i="21"/>
  <c r="P2043" i="21"/>
  <c r="Q2043" i="21" s="1"/>
  <c r="O2043" i="21" a="1"/>
  <c r="O2043" i="21" s="1"/>
  <c r="N2043" i="21"/>
  <c r="V2042" i="21"/>
  <c r="U2042" i="21"/>
  <c r="R2042" i="21"/>
  <c r="P2042" i="21"/>
  <c r="S2042" i="21" s="1"/>
  <c r="O2042" i="21" a="1"/>
  <c r="O2042" i="21" s="1"/>
  <c r="N2042" i="21"/>
  <c r="V2041" i="21"/>
  <c r="U2041" i="21"/>
  <c r="R2041" i="21"/>
  <c r="Q2041" i="21"/>
  <c r="P2041" i="21"/>
  <c r="S2041" i="21" s="1"/>
  <c r="O2041" i="21" a="1"/>
  <c r="O2041" i="21" s="1"/>
  <c r="N2041" i="21"/>
  <c r="V2040" i="21"/>
  <c r="U2040" i="21"/>
  <c r="R2040" i="21"/>
  <c r="P2040" i="21"/>
  <c r="S2040" i="21" s="1"/>
  <c r="O2040" i="21" a="1"/>
  <c r="O2040" i="21" s="1"/>
  <c r="N2040" i="21"/>
  <c r="V2039" i="21"/>
  <c r="U2039" i="21"/>
  <c r="R2039" i="21"/>
  <c r="P2039" i="21"/>
  <c r="S2039" i="21" s="1"/>
  <c r="O2039" i="21" a="1"/>
  <c r="O2039" i="21" s="1"/>
  <c r="N2039" i="21"/>
  <c r="V2038" i="21"/>
  <c r="U2038" i="21"/>
  <c r="R2038" i="21"/>
  <c r="P2038" i="21"/>
  <c r="S2038" i="21" s="1"/>
  <c r="O2038" i="21" a="1"/>
  <c r="O2038" i="21" s="1"/>
  <c r="N2038" i="21"/>
  <c r="V2037" i="21"/>
  <c r="U2037" i="21"/>
  <c r="R2037" i="21"/>
  <c r="P2037" i="21"/>
  <c r="S2037" i="21" s="1"/>
  <c r="O2037" i="21" a="1"/>
  <c r="O2037" i="21" s="1"/>
  <c r="N2037" i="21"/>
  <c r="V2036" i="21"/>
  <c r="U2036" i="21"/>
  <c r="R2036" i="21"/>
  <c r="P2036" i="21"/>
  <c r="S2036" i="21" s="1"/>
  <c r="O2036" i="21" a="1"/>
  <c r="O2036" i="21" s="1"/>
  <c r="N2036" i="21"/>
  <c r="V2035" i="21"/>
  <c r="U2035" i="21"/>
  <c r="R2035" i="21"/>
  <c r="P2035" i="21"/>
  <c r="Q2035" i="21" s="1"/>
  <c r="O2035" i="21" a="1"/>
  <c r="O2035" i="21" s="1"/>
  <c r="N2035" i="21"/>
  <c r="V2034" i="21"/>
  <c r="U2034" i="21"/>
  <c r="R2034" i="21"/>
  <c r="P2034" i="21"/>
  <c r="S2034" i="21" s="1"/>
  <c r="O2034" i="21" a="1"/>
  <c r="O2034" i="21" s="1"/>
  <c r="N2034" i="21"/>
  <c r="V2033" i="21"/>
  <c r="U2033" i="21"/>
  <c r="R2033" i="21"/>
  <c r="P2033" i="21"/>
  <c r="S2033" i="21" s="1"/>
  <c r="O2033" i="21" a="1"/>
  <c r="O2033" i="21" s="1"/>
  <c r="N2033" i="21"/>
  <c r="V2032" i="21"/>
  <c r="U2032" i="21"/>
  <c r="R2032" i="21"/>
  <c r="P2032" i="21"/>
  <c r="S2032" i="21" s="1"/>
  <c r="O2032" i="21" a="1"/>
  <c r="O2032" i="21" s="1"/>
  <c r="N2032" i="21"/>
  <c r="V2031" i="21"/>
  <c r="U2031" i="21"/>
  <c r="R2031" i="21"/>
  <c r="P2031" i="21"/>
  <c r="S2031" i="21" s="1"/>
  <c r="O2031" i="21" a="1"/>
  <c r="O2031" i="21" s="1"/>
  <c r="N2031" i="21"/>
  <c r="V2030" i="21"/>
  <c r="U2030" i="21"/>
  <c r="R2030" i="21"/>
  <c r="P2030" i="21"/>
  <c r="S2030" i="21" s="1"/>
  <c r="O2030" i="21" a="1"/>
  <c r="O2030" i="21" s="1"/>
  <c r="N2030" i="21"/>
  <c r="V2029" i="21"/>
  <c r="U2029" i="21"/>
  <c r="R2029" i="21"/>
  <c r="P2029" i="21"/>
  <c r="S2029" i="21" s="1"/>
  <c r="O2029" i="21" a="1"/>
  <c r="O2029" i="21" s="1"/>
  <c r="N2029" i="21"/>
  <c r="V2028" i="21"/>
  <c r="U2028" i="21"/>
  <c r="R2028" i="21"/>
  <c r="P2028" i="21"/>
  <c r="S2028" i="21" s="1"/>
  <c r="O2028" i="21" a="1"/>
  <c r="O2028" i="21" s="1"/>
  <c r="N2028" i="21"/>
  <c r="V2027" i="21"/>
  <c r="U2027" i="21"/>
  <c r="R2027" i="21"/>
  <c r="P2027" i="21"/>
  <c r="Q2027" i="21" s="1"/>
  <c r="O2027" i="21" a="1"/>
  <c r="O2027" i="21" s="1"/>
  <c r="N2027" i="21"/>
  <c r="V2026" i="21"/>
  <c r="U2026" i="21"/>
  <c r="R2026" i="21"/>
  <c r="P2026" i="21"/>
  <c r="S2026" i="21" s="1"/>
  <c r="O2026" i="21" a="1"/>
  <c r="O2026" i="21" s="1"/>
  <c r="N2026" i="21"/>
  <c r="V2025" i="21"/>
  <c r="U2025" i="21"/>
  <c r="R2025" i="21"/>
  <c r="P2025" i="21"/>
  <c r="S2025" i="21" s="1"/>
  <c r="O2025" i="21" a="1"/>
  <c r="O2025" i="21" s="1"/>
  <c r="N2025" i="21"/>
  <c r="V2024" i="21"/>
  <c r="U2024" i="21"/>
  <c r="R2024" i="21"/>
  <c r="P2024" i="21"/>
  <c r="S2024" i="21" s="1"/>
  <c r="O2024" i="21" a="1"/>
  <c r="O2024" i="21" s="1"/>
  <c r="N2024" i="21"/>
  <c r="V2023" i="21"/>
  <c r="U2023" i="21"/>
  <c r="R2023" i="21"/>
  <c r="P2023" i="21"/>
  <c r="S2023" i="21" s="1"/>
  <c r="O2023" i="21" a="1"/>
  <c r="O2023" i="21" s="1"/>
  <c r="N2023" i="21"/>
  <c r="V2022" i="21"/>
  <c r="U2022" i="21"/>
  <c r="R2022" i="21"/>
  <c r="P2022" i="21"/>
  <c r="S2022" i="21" s="1"/>
  <c r="O2022" i="21" a="1"/>
  <c r="O2022" i="21" s="1"/>
  <c r="N2022" i="21"/>
  <c r="V2021" i="21"/>
  <c r="U2021" i="21"/>
  <c r="R2021" i="21"/>
  <c r="P2021" i="21"/>
  <c r="S2021" i="21" s="1"/>
  <c r="O2021" i="21" a="1"/>
  <c r="O2021" i="21" s="1"/>
  <c r="N2021" i="21"/>
  <c r="V2020" i="21"/>
  <c r="U2020" i="21"/>
  <c r="R2020" i="21"/>
  <c r="P2020" i="21"/>
  <c r="S2020" i="21" s="1"/>
  <c r="O2020" i="21" a="1"/>
  <c r="O2020" i="21" s="1"/>
  <c r="N2020" i="21"/>
  <c r="V2019" i="21"/>
  <c r="U2019" i="21"/>
  <c r="R2019" i="21"/>
  <c r="P2019" i="21"/>
  <c r="Q2019" i="21" s="1"/>
  <c r="O2019" i="21" a="1"/>
  <c r="O2019" i="21" s="1"/>
  <c r="N2019" i="21"/>
  <c r="V2018" i="21"/>
  <c r="U2018" i="21"/>
  <c r="R2018" i="21"/>
  <c r="P2018" i="21"/>
  <c r="S2018" i="21" s="1"/>
  <c r="O2018" i="21" a="1"/>
  <c r="O2018" i="21" s="1"/>
  <c r="N2018" i="21"/>
  <c r="V2017" i="21"/>
  <c r="U2017" i="21"/>
  <c r="R2017" i="21"/>
  <c r="P2017" i="21"/>
  <c r="S2017" i="21" s="1"/>
  <c r="O2017" i="21" a="1"/>
  <c r="O2017" i="21" s="1"/>
  <c r="N2017" i="21"/>
  <c r="V2016" i="21"/>
  <c r="U2016" i="21"/>
  <c r="R2016" i="21"/>
  <c r="P2016" i="21"/>
  <c r="S2016" i="21" s="1"/>
  <c r="O2016" i="21" a="1"/>
  <c r="O2016" i="21" s="1"/>
  <c r="N2016" i="21"/>
  <c r="V2015" i="21"/>
  <c r="U2015" i="21"/>
  <c r="R2015" i="21"/>
  <c r="P2015" i="21"/>
  <c r="S2015" i="21" s="1"/>
  <c r="O2015" i="21" a="1"/>
  <c r="O2015" i="21" s="1"/>
  <c r="N2015" i="21"/>
  <c r="V2014" i="21"/>
  <c r="U2014" i="21"/>
  <c r="R2014" i="21"/>
  <c r="P2014" i="21"/>
  <c r="S2014" i="21" s="1"/>
  <c r="O2014" i="21" a="1"/>
  <c r="O2014" i="21" s="1"/>
  <c r="N2014" i="21"/>
  <c r="V2013" i="21"/>
  <c r="U2013" i="21"/>
  <c r="R2013" i="21"/>
  <c r="P2013" i="21"/>
  <c r="S2013" i="21" s="1"/>
  <c r="O2013" i="21"/>
  <c r="O2013" i="21" a="1"/>
  <c r="N2013" i="21"/>
  <c r="V2012" i="21"/>
  <c r="U2012" i="21"/>
  <c r="R2012" i="21"/>
  <c r="P2012" i="21"/>
  <c r="S2012" i="21" s="1"/>
  <c r="O2012" i="21" a="1"/>
  <c r="O2012" i="21" s="1"/>
  <c r="N2012" i="21"/>
  <c r="V2011" i="21"/>
  <c r="U2011" i="21"/>
  <c r="R2011" i="21"/>
  <c r="P2011" i="21"/>
  <c r="Q2011" i="21" s="1"/>
  <c r="O2011" i="21" a="1"/>
  <c r="O2011" i="21" s="1"/>
  <c r="N2011" i="21"/>
  <c r="V2010" i="21"/>
  <c r="U2010" i="21"/>
  <c r="R2010" i="21"/>
  <c r="P2010" i="21"/>
  <c r="S2010" i="21" s="1"/>
  <c r="O2010" i="21" a="1"/>
  <c r="O2010" i="21" s="1"/>
  <c r="N2010" i="21"/>
  <c r="V2009" i="21"/>
  <c r="U2009" i="21"/>
  <c r="R2009" i="21"/>
  <c r="P2009" i="21"/>
  <c r="S2009" i="21" s="1"/>
  <c r="O2009" i="21" a="1"/>
  <c r="O2009" i="21" s="1"/>
  <c r="N2009" i="21"/>
  <c r="B2006" i="21"/>
  <c r="B2005" i="21"/>
  <c r="V2003" i="21"/>
  <c r="U2003" i="21"/>
  <c r="R2003" i="21"/>
  <c r="Q2003" i="21"/>
  <c r="T2003" i="21" s="1"/>
  <c r="P2003" i="21"/>
  <c r="S2003" i="21" s="1"/>
  <c r="O2003" i="21" a="1"/>
  <c r="O2003" i="21" s="1"/>
  <c r="N2003" i="21"/>
  <c r="V2002" i="21"/>
  <c r="U2002" i="21"/>
  <c r="R2002" i="21"/>
  <c r="Q2002" i="21"/>
  <c r="T2002" i="21" s="1"/>
  <c r="P2002" i="21"/>
  <c r="S2002" i="21" s="1"/>
  <c r="O2002" i="21" a="1"/>
  <c r="O2002" i="21" s="1"/>
  <c r="N2002" i="21"/>
  <c r="V2001" i="21"/>
  <c r="U2001" i="21"/>
  <c r="R2001" i="21"/>
  <c r="P2001" i="21"/>
  <c r="S2001" i="21" s="1"/>
  <c r="O2001" i="21" a="1"/>
  <c r="O2001" i="21" s="1"/>
  <c r="N2001" i="21"/>
  <c r="V2000" i="21"/>
  <c r="U2000" i="21"/>
  <c r="R2000" i="21"/>
  <c r="Q2000" i="21"/>
  <c r="T2000" i="21" s="1"/>
  <c r="P2000" i="21"/>
  <c r="S2000" i="21" s="1"/>
  <c r="O2000" i="21" a="1"/>
  <c r="O2000" i="21" s="1"/>
  <c r="N2000" i="21"/>
  <c r="V1999" i="21"/>
  <c r="U1999" i="21"/>
  <c r="S1999" i="21"/>
  <c r="R1999" i="21"/>
  <c r="P1999" i="21"/>
  <c r="Q1999" i="21" s="1"/>
  <c r="O1999" i="21" a="1"/>
  <c r="O1999" i="21" s="1"/>
  <c r="N1999" i="21"/>
  <c r="V1998" i="21"/>
  <c r="U1998" i="21"/>
  <c r="R1998" i="21"/>
  <c r="P1998" i="21"/>
  <c r="S1998" i="21" s="1"/>
  <c r="O1998" i="21" a="1"/>
  <c r="O1998" i="21" s="1"/>
  <c r="N1998" i="21"/>
  <c r="V1997" i="21"/>
  <c r="U1997" i="21"/>
  <c r="R1997" i="21"/>
  <c r="P1997" i="21"/>
  <c r="Q1997" i="21" s="1"/>
  <c r="O1997" i="21"/>
  <c r="O1997" i="21" a="1"/>
  <c r="N1997" i="21"/>
  <c r="V1996" i="21"/>
  <c r="U1996" i="21"/>
  <c r="R1996" i="21"/>
  <c r="Q1996" i="21"/>
  <c r="T1996" i="21" s="1"/>
  <c r="P1996" i="21"/>
  <c r="S1996" i="21" s="1"/>
  <c r="O1996" i="21" a="1"/>
  <c r="O1996" i="21" s="1"/>
  <c r="N1996" i="21"/>
  <c r="V1995" i="21"/>
  <c r="U1995" i="21"/>
  <c r="S1995" i="21"/>
  <c r="R1995" i="21"/>
  <c r="T1995" i="21" s="1"/>
  <c r="Q1995" i="21"/>
  <c r="P1995" i="21"/>
  <c r="O1995" i="21" a="1"/>
  <c r="O1995" i="21" s="1"/>
  <c r="N1995" i="21"/>
  <c r="V1994" i="21"/>
  <c r="U1994" i="21"/>
  <c r="R1994" i="21"/>
  <c r="Q1994" i="21"/>
  <c r="T1994" i="21" s="1"/>
  <c r="P1994" i="21"/>
  <c r="S1994" i="21" s="1"/>
  <c r="O1994" i="21" a="1"/>
  <c r="O1994" i="21" s="1"/>
  <c r="N1994" i="21"/>
  <c r="V1993" i="21"/>
  <c r="U1993" i="21"/>
  <c r="R1993" i="21"/>
  <c r="P1993" i="21"/>
  <c r="S1993" i="21" s="1"/>
  <c r="O1993" i="21"/>
  <c r="O1993" i="21" a="1"/>
  <c r="N1993" i="21"/>
  <c r="V1992" i="21"/>
  <c r="U1992" i="21"/>
  <c r="R1992" i="21"/>
  <c r="Q1992" i="21"/>
  <c r="P1992" i="21"/>
  <c r="S1992" i="21" s="1"/>
  <c r="O1992" i="21" a="1"/>
  <c r="O1992" i="21" s="1"/>
  <c r="N1992" i="21"/>
  <c r="V1991" i="21"/>
  <c r="U1991" i="21"/>
  <c r="R1991" i="21"/>
  <c r="P1991" i="21"/>
  <c r="Q1991" i="21" s="1"/>
  <c r="O1991" i="21" a="1"/>
  <c r="O1991" i="21" s="1"/>
  <c r="N1991" i="21"/>
  <c r="V1990" i="21"/>
  <c r="U1990" i="21"/>
  <c r="R1990" i="21"/>
  <c r="P1990" i="21"/>
  <c r="S1990" i="21" s="1"/>
  <c r="O1990" i="21" a="1"/>
  <c r="O1990" i="21" s="1"/>
  <c r="N1990" i="21"/>
  <c r="V1989" i="21"/>
  <c r="U1989" i="21"/>
  <c r="R1989" i="21"/>
  <c r="P1989" i="21"/>
  <c r="Q1989" i="21" s="1"/>
  <c r="O1989" i="21"/>
  <c r="O1989" i="21" a="1"/>
  <c r="N1989" i="21"/>
  <c r="V1988" i="21"/>
  <c r="U1988" i="21"/>
  <c r="R1988" i="21"/>
  <c r="Q1988" i="21"/>
  <c r="T1988" i="21" s="1"/>
  <c r="P1988" i="21"/>
  <c r="S1988" i="21" s="1"/>
  <c r="O1988" i="21" a="1"/>
  <c r="O1988" i="21" s="1"/>
  <c r="N1988" i="21"/>
  <c r="V1987" i="21"/>
  <c r="U1987" i="21"/>
  <c r="R1987" i="21"/>
  <c r="P1987" i="21"/>
  <c r="Q1987" i="21" s="1"/>
  <c r="T1987" i="21" s="1"/>
  <c r="O1987" i="21" a="1"/>
  <c r="O1987" i="21" s="1"/>
  <c r="N1987" i="21"/>
  <c r="V1986" i="21"/>
  <c r="U1986" i="21"/>
  <c r="R1986" i="21"/>
  <c r="Q1986" i="21"/>
  <c r="P1986" i="21"/>
  <c r="S1986" i="21" s="1"/>
  <c r="O1986" i="21" a="1"/>
  <c r="O1986" i="21" s="1"/>
  <c r="N1986" i="21"/>
  <c r="V1985" i="21"/>
  <c r="U1985" i="21"/>
  <c r="R1985" i="21"/>
  <c r="P1985" i="21"/>
  <c r="S1985" i="21" s="1"/>
  <c r="O1985" i="21" a="1"/>
  <c r="O1985" i="21" s="1"/>
  <c r="N1985" i="21"/>
  <c r="V1984" i="21"/>
  <c r="U1984" i="21"/>
  <c r="R1984" i="21"/>
  <c r="Q1984" i="21"/>
  <c r="P1984" i="21"/>
  <c r="S1984" i="21" s="1"/>
  <c r="O1984" i="21" a="1"/>
  <c r="O1984" i="21" s="1"/>
  <c r="N1984" i="21"/>
  <c r="V1983" i="21"/>
  <c r="U1983" i="21"/>
  <c r="S1983" i="21"/>
  <c r="R1983" i="21"/>
  <c r="P1983" i="21"/>
  <c r="Q1983" i="21" s="1"/>
  <c r="O1983" i="21"/>
  <c r="O1983" i="21" a="1"/>
  <c r="N1983" i="21"/>
  <c r="V1982" i="21"/>
  <c r="U1982" i="21"/>
  <c r="R1982" i="21"/>
  <c r="P1982" i="21"/>
  <c r="S1982" i="21" s="1"/>
  <c r="O1982" i="21" a="1"/>
  <c r="O1982" i="21" s="1"/>
  <c r="N1982" i="21"/>
  <c r="V1981" i="21"/>
  <c r="U1981" i="21"/>
  <c r="R1981" i="21"/>
  <c r="P1981" i="21"/>
  <c r="Q1981" i="21" s="1"/>
  <c r="T1981" i="21" s="1"/>
  <c r="O1981" i="21"/>
  <c r="O1981" i="21" a="1"/>
  <c r="N1981" i="21"/>
  <c r="V1980" i="21"/>
  <c r="U1980" i="21"/>
  <c r="R1980" i="21"/>
  <c r="Q1980" i="21"/>
  <c r="T1980" i="21" s="1"/>
  <c r="P1980" i="21"/>
  <c r="S1980" i="21" s="1"/>
  <c r="O1980" i="21" a="1"/>
  <c r="O1980" i="21" s="1"/>
  <c r="N1980" i="21"/>
  <c r="V1979" i="21"/>
  <c r="U1979" i="21"/>
  <c r="R1979" i="21"/>
  <c r="P1979" i="21"/>
  <c r="Q1979" i="21" s="1"/>
  <c r="T1979" i="21" s="1"/>
  <c r="O1979" i="21" a="1"/>
  <c r="O1979" i="21" s="1"/>
  <c r="N1979" i="21"/>
  <c r="V1978" i="21"/>
  <c r="U1978" i="21"/>
  <c r="R1978" i="21"/>
  <c r="Q1978" i="21"/>
  <c r="T1978" i="21" s="1"/>
  <c r="P1978" i="21"/>
  <c r="S1978" i="21" s="1"/>
  <c r="O1978" i="21" a="1"/>
  <c r="O1978" i="21" s="1"/>
  <c r="N1978" i="21"/>
  <c r="V1977" i="21"/>
  <c r="U1977" i="21"/>
  <c r="R1977" i="21"/>
  <c r="P1977" i="21"/>
  <c r="S1977" i="21" s="1"/>
  <c r="O1977" i="21" a="1"/>
  <c r="O1977" i="21" s="1"/>
  <c r="N1977" i="21"/>
  <c r="V1976" i="21"/>
  <c r="U1976" i="21"/>
  <c r="R1976" i="21"/>
  <c r="Q1976" i="21"/>
  <c r="P1976" i="21"/>
  <c r="S1976" i="21" s="1"/>
  <c r="O1976" i="21" a="1"/>
  <c r="O1976" i="21" s="1"/>
  <c r="N1976" i="21"/>
  <c r="V1975" i="21"/>
  <c r="U1975" i="21"/>
  <c r="R1975" i="21"/>
  <c r="P1975" i="21"/>
  <c r="Q1975" i="21" s="1"/>
  <c r="O1975" i="21"/>
  <c r="O1975" i="21" a="1"/>
  <c r="N1975" i="21"/>
  <c r="V1974" i="21"/>
  <c r="U1974" i="21"/>
  <c r="R1974" i="21"/>
  <c r="P1974" i="21"/>
  <c r="S1974" i="21" s="1"/>
  <c r="O1974" i="21" a="1"/>
  <c r="O1974" i="21" s="1"/>
  <c r="N1974" i="21"/>
  <c r="V1973" i="21"/>
  <c r="U1973" i="21"/>
  <c r="S1973" i="21"/>
  <c r="R1973" i="21"/>
  <c r="P1973" i="21"/>
  <c r="Q1973" i="21" s="1"/>
  <c r="O1973" i="21"/>
  <c r="O1973" i="21" a="1"/>
  <c r="N1973" i="21"/>
  <c r="V1972" i="21"/>
  <c r="U1972" i="21"/>
  <c r="R1972" i="21"/>
  <c r="P1972" i="21"/>
  <c r="S1972" i="21" s="1"/>
  <c r="O1972" i="21" a="1"/>
  <c r="O1972" i="21" s="1"/>
  <c r="N1972" i="21"/>
  <c r="V1971" i="21"/>
  <c r="U1971" i="21"/>
  <c r="S1971" i="21"/>
  <c r="R1971" i="21"/>
  <c r="P1971" i="21"/>
  <c r="Q1971" i="21" s="1"/>
  <c r="O1971" i="21" a="1"/>
  <c r="O1971" i="21" s="1"/>
  <c r="N1971" i="21"/>
  <c r="V1970" i="21"/>
  <c r="U1970" i="21"/>
  <c r="R1970" i="21"/>
  <c r="Q1970" i="21"/>
  <c r="T1970" i="21" s="1"/>
  <c r="P1970" i="21"/>
  <c r="S1970" i="21" s="1"/>
  <c r="O1970" i="21" a="1"/>
  <c r="O1970" i="21" s="1"/>
  <c r="N1970" i="21"/>
  <c r="V1969" i="21"/>
  <c r="U1969" i="21"/>
  <c r="R1969" i="21"/>
  <c r="P1969" i="21"/>
  <c r="S1969" i="21" s="1"/>
  <c r="O1969" i="21"/>
  <c r="O1969" i="21" a="1"/>
  <c r="N1969" i="21"/>
  <c r="V1968" i="21"/>
  <c r="U1968" i="21"/>
  <c r="R1968" i="21"/>
  <c r="Q1968" i="21"/>
  <c r="T1968" i="21" s="1"/>
  <c r="P1968" i="21"/>
  <c r="S1968" i="21" s="1"/>
  <c r="O1968" i="21" a="1"/>
  <c r="O1968" i="21" s="1"/>
  <c r="N1968" i="21"/>
  <c r="V1967" i="21"/>
  <c r="U1967" i="21"/>
  <c r="S1967" i="21"/>
  <c r="R1967" i="21"/>
  <c r="P1967" i="21"/>
  <c r="Q1967" i="21" s="1"/>
  <c r="T1967" i="21" s="1"/>
  <c r="O1967" i="21" a="1"/>
  <c r="O1967" i="21" s="1"/>
  <c r="N1967" i="21"/>
  <c r="V1966" i="21"/>
  <c r="U1966" i="21"/>
  <c r="R1966" i="21"/>
  <c r="P1966" i="21"/>
  <c r="S1966" i="21" s="1"/>
  <c r="O1966" i="21" a="1"/>
  <c r="O1966" i="21" s="1"/>
  <c r="N1966" i="21"/>
  <c r="V1965" i="21"/>
  <c r="U1965" i="21"/>
  <c r="R1965" i="21"/>
  <c r="P1965" i="21"/>
  <c r="Q1965" i="21" s="1"/>
  <c r="O1965" i="21" a="1"/>
  <c r="O1965" i="21" s="1"/>
  <c r="N1965" i="21"/>
  <c r="V1964" i="21"/>
  <c r="U1964" i="21"/>
  <c r="R1964" i="21"/>
  <c r="Q1964" i="21"/>
  <c r="T1964" i="21" s="1"/>
  <c r="P1964" i="21"/>
  <c r="S1964" i="21" s="1"/>
  <c r="O1964" i="21" a="1"/>
  <c r="O1964" i="21" s="1"/>
  <c r="N1964" i="21"/>
  <c r="V1963" i="21"/>
  <c r="U1963" i="21"/>
  <c r="R1963" i="21"/>
  <c r="P1963" i="21"/>
  <c r="Q1963" i="21" s="1"/>
  <c r="O1963" i="21" a="1"/>
  <c r="O1963" i="21" s="1"/>
  <c r="N1963" i="21"/>
  <c r="V1962" i="21"/>
  <c r="U1962" i="21"/>
  <c r="R1962" i="21"/>
  <c r="P1962" i="21"/>
  <c r="S1962" i="21" s="1"/>
  <c r="O1962" i="21" a="1"/>
  <c r="O1962" i="21" s="1"/>
  <c r="N1962" i="21"/>
  <c r="V1961" i="21"/>
  <c r="U1961" i="21"/>
  <c r="R1961" i="21"/>
  <c r="P1961" i="21"/>
  <c r="S1961" i="21" s="1"/>
  <c r="O1961" i="21" a="1"/>
  <c r="O1961" i="21" s="1"/>
  <c r="N1961" i="21"/>
  <c r="V1960" i="21"/>
  <c r="U1960" i="21"/>
  <c r="R1960" i="21"/>
  <c r="Q1960" i="21"/>
  <c r="T1960" i="21" s="1"/>
  <c r="P1960" i="21"/>
  <c r="S1960" i="21" s="1"/>
  <c r="O1960" i="21" a="1"/>
  <c r="O1960" i="21" s="1"/>
  <c r="N1960" i="21"/>
  <c r="V1959" i="21"/>
  <c r="U1959" i="21"/>
  <c r="R1959" i="21"/>
  <c r="P1959" i="21"/>
  <c r="Q1959" i="21" s="1"/>
  <c r="T1959" i="21" s="1"/>
  <c r="O1959" i="21"/>
  <c r="O1959" i="21" a="1"/>
  <c r="N1959" i="21"/>
  <c r="V1958" i="21"/>
  <c r="U1958" i="21"/>
  <c r="R1958" i="21"/>
  <c r="P1958" i="21"/>
  <c r="S1958" i="21" s="1"/>
  <c r="O1958" i="21" a="1"/>
  <c r="O1958" i="21" s="1"/>
  <c r="N1958" i="21"/>
  <c r="V1957" i="21"/>
  <c r="U1957" i="21"/>
  <c r="S1957" i="21"/>
  <c r="R1957" i="21"/>
  <c r="P1957" i="21"/>
  <c r="Q1957" i="21" s="1"/>
  <c r="T1957" i="21" s="1"/>
  <c r="O1957" i="21" a="1"/>
  <c r="O1957" i="21" s="1"/>
  <c r="N1957" i="21"/>
  <c r="V1956" i="21"/>
  <c r="U1956" i="21"/>
  <c r="T1956" i="21"/>
  <c r="R1956" i="21"/>
  <c r="Q1956" i="21"/>
  <c r="P1956" i="21"/>
  <c r="S1956" i="21" s="1"/>
  <c r="O1956" i="21" a="1"/>
  <c r="O1956" i="21" s="1"/>
  <c r="N1956" i="21"/>
  <c r="V1955" i="21"/>
  <c r="U1955" i="21"/>
  <c r="S1955" i="21"/>
  <c r="R1955" i="21"/>
  <c r="P1955" i="21"/>
  <c r="Q1955" i="21" s="1"/>
  <c r="T1955" i="21" s="1"/>
  <c r="O1955" i="21" a="1"/>
  <c r="O1955" i="21" s="1"/>
  <c r="N1955" i="21"/>
  <c r="V1954" i="21"/>
  <c r="U1954" i="21"/>
  <c r="R1954" i="21"/>
  <c r="Q1954" i="21"/>
  <c r="P1954" i="21"/>
  <c r="S1954" i="21" s="1"/>
  <c r="O1954" i="21" a="1"/>
  <c r="O1954" i="21" s="1"/>
  <c r="N1954" i="21"/>
  <c r="V1953" i="21"/>
  <c r="U1953" i="21"/>
  <c r="R1953" i="21"/>
  <c r="P1953" i="21"/>
  <c r="S1953" i="21" s="1"/>
  <c r="O1953" i="21"/>
  <c r="O1953" i="21" a="1"/>
  <c r="N1953" i="21"/>
  <c r="V1952" i="21"/>
  <c r="U1952" i="21"/>
  <c r="R1952" i="21"/>
  <c r="P1952" i="21"/>
  <c r="S1952" i="21" s="1"/>
  <c r="O1952" i="21" a="1"/>
  <c r="O1952" i="21" s="1"/>
  <c r="N1952" i="21"/>
  <c r="V1951" i="21"/>
  <c r="U1951" i="21"/>
  <c r="S1951" i="21"/>
  <c r="R1951" i="21"/>
  <c r="P1951" i="21"/>
  <c r="Q1951" i="21" s="1"/>
  <c r="O1951" i="21"/>
  <c r="O1951" i="21" a="1"/>
  <c r="N1951" i="21"/>
  <c r="V1950" i="21"/>
  <c r="U1950" i="21"/>
  <c r="R1950" i="21"/>
  <c r="P1950" i="21"/>
  <c r="S1950" i="21" s="1"/>
  <c r="O1950" i="21" a="1"/>
  <c r="O1950" i="21" s="1"/>
  <c r="N1950" i="21"/>
  <c r="V1949" i="21"/>
  <c r="U1949" i="21"/>
  <c r="R1949" i="21"/>
  <c r="P1949" i="21"/>
  <c r="Q1949" i="21" s="1"/>
  <c r="T1949" i="21" s="1"/>
  <c r="O1949" i="21"/>
  <c r="O1949" i="21" a="1"/>
  <c r="N1949" i="21"/>
  <c r="V1948" i="21"/>
  <c r="U1948" i="21"/>
  <c r="R1948" i="21"/>
  <c r="Q1948" i="21"/>
  <c r="T1948" i="21" s="1"/>
  <c r="P1948" i="21"/>
  <c r="S1948" i="21" s="1"/>
  <c r="O1948" i="21" a="1"/>
  <c r="O1948" i="21" s="1"/>
  <c r="N1948" i="21"/>
  <c r="V1947" i="21"/>
  <c r="U1947" i="21"/>
  <c r="R1947" i="21"/>
  <c r="Q1947" i="21"/>
  <c r="T1947" i="21" s="1"/>
  <c r="P1947" i="21"/>
  <c r="S1947" i="21" s="1"/>
  <c r="O1947" i="21" a="1"/>
  <c r="O1947" i="21" s="1"/>
  <c r="N1947" i="21"/>
  <c r="V1946" i="21"/>
  <c r="U1946" i="21"/>
  <c r="R1946" i="21"/>
  <c r="Q1946" i="21"/>
  <c r="T1946" i="21" s="1"/>
  <c r="P1946" i="21"/>
  <c r="S1946" i="21" s="1"/>
  <c r="O1946" i="21" a="1"/>
  <c r="O1946" i="21" s="1"/>
  <c r="N1946" i="21"/>
  <c r="V1945" i="21"/>
  <c r="U1945" i="21"/>
  <c r="R1945" i="21"/>
  <c r="P1945" i="21"/>
  <c r="S1945" i="21" s="1"/>
  <c r="O1945" i="21"/>
  <c r="O1945" i="21" a="1"/>
  <c r="N1945" i="21"/>
  <c r="V1944" i="21"/>
  <c r="U1944" i="21"/>
  <c r="R1944" i="21"/>
  <c r="P1944" i="21"/>
  <c r="S1944" i="21" s="1"/>
  <c r="O1944" i="21" a="1"/>
  <c r="O1944" i="21" s="1"/>
  <c r="N1944" i="21"/>
  <c r="V1943" i="21"/>
  <c r="U1943" i="21"/>
  <c r="S1943" i="21"/>
  <c r="R1943" i="21"/>
  <c r="P1943" i="21"/>
  <c r="Q1943" i="21" s="1"/>
  <c r="T1943" i="21" s="1"/>
  <c r="O1943" i="21" a="1"/>
  <c r="O1943" i="21" s="1"/>
  <c r="N1943" i="21"/>
  <c r="V1942" i="21"/>
  <c r="U1942" i="21"/>
  <c r="R1942" i="21"/>
  <c r="T1942" i="21" s="1"/>
  <c r="Q1942" i="21"/>
  <c r="P1942" i="21"/>
  <c r="S1942" i="21" s="1"/>
  <c r="O1942" i="21" a="1"/>
  <c r="O1942" i="21" s="1"/>
  <c r="N1942" i="21"/>
  <c r="V1941" i="21"/>
  <c r="U1941" i="21"/>
  <c r="S1941" i="21"/>
  <c r="R1941" i="21"/>
  <c r="T1941" i="21" s="1"/>
  <c r="Q1941" i="21"/>
  <c r="P1941" i="21"/>
  <c r="O1941" i="21" a="1"/>
  <c r="O1941" i="21" s="1"/>
  <c r="N1941" i="21"/>
  <c r="V1940" i="21"/>
  <c r="U1940" i="21"/>
  <c r="R1940" i="21"/>
  <c r="P1940" i="21"/>
  <c r="S1940" i="21" s="1"/>
  <c r="O1940" i="21" a="1"/>
  <c r="O1940" i="21" s="1"/>
  <c r="N1940" i="21"/>
  <c r="V1939" i="21"/>
  <c r="U1939" i="21"/>
  <c r="S1939" i="21"/>
  <c r="R1939" i="21"/>
  <c r="P1939" i="21"/>
  <c r="Q1939" i="21" s="1"/>
  <c r="T1939" i="21" s="1"/>
  <c r="O1939" i="21" a="1"/>
  <c r="O1939" i="21" s="1"/>
  <c r="N1939" i="21"/>
  <c r="V1938" i="21"/>
  <c r="U1938" i="21"/>
  <c r="R1938" i="21"/>
  <c r="Q1938" i="21"/>
  <c r="P1938" i="21"/>
  <c r="S1938" i="21" s="1"/>
  <c r="O1938" i="21" a="1"/>
  <c r="O1938" i="21" s="1"/>
  <c r="N1938" i="21"/>
  <c r="V1937" i="21"/>
  <c r="U1937" i="21"/>
  <c r="R1937" i="21"/>
  <c r="Q1937" i="21"/>
  <c r="P1937" i="21"/>
  <c r="S1937" i="21" s="1"/>
  <c r="O1937" i="21" a="1"/>
  <c r="O1937" i="21" s="1"/>
  <c r="N1937" i="21"/>
  <c r="V1936" i="21"/>
  <c r="U1936" i="21"/>
  <c r="R1936" i="21"/>
  <c r="Q1936" i="21"/>
  <c r="T1936" i="21" s="1"/>
  <c r="P1936" i="21"/>
  <c r="S1936" i="21" s="1"/>
  <c r="O1936" i="21" a="1"/>
  <c r="O1936" i="21" s="1"/>
  <c r="N1936" i="21"/>
  <c r="V1935" i="21"/>
  <c r="U1935" i="21"/>
  <c r="S1935" i="21"/>
  <c r="R1935" i="21"/>
  <c r="P1935" i="21"/>
  <c r="Q1935" i="21" s="1"/>
  <c r="T1935" i="21" s="1"/>
  <c r="O1935" i="21"/>
  <c r="O1935" i="21" a="1"/>
  <c r="N1935" i="21"/>
  <c r="V1934" i="21"/>
  <c r="U1934" i="21"/>
  <c r="R1934" i="21"/>
  <c r="T1934" i="21" s="1"/>
  <c r="Q1934" i="21"/>
  <c r="P1934" i="21"/>
  <c r="S1934" i="21" s="1"/>
  <c r="O1934" i="21" a="1"/>
  <c r="O1934" i="21" s="1"/>
  <c r="N1934" i="21"/>
  <c r="V1933" i="21"/>
  <c r="U1933" i="21"/>
  <c r="S1933" i="21"/>
  <c r="R1933" i="21"/>
  <c r="P1933" i="21"/>
  <c r="Q1933" i="21" s="1"/>
  <c r="O1933" i="21"/>
  <c r="O1933" i="21" a="1"/>
  <c r="N1933" i="21"/>
  <c r="V1932" i="21"/>
  <c r="U1932" i="21"/>
  <c r="R1932" i="21"/>
  <c r="P1932" i="21"/>
  <c r="S1932" i="21" s="1"/>
  <c r="O1932" i="21" a="1"/>
  <c r="O1932" i="21" s="1"/>
  <c r="N1932" i="21"/>
  <c r="V1931" i="21"/>
  <c r="U1931" i="21"/>
  <c r="S1931" i="21"/>
  <c r="R1931" i="21"/>
  <c r="P1931" i="21"/>
  <c r="Q1931" i="21" s="1"/>
  <c r="O1931" i="21" a="1"/>
  <c r="O1931" i="21" s="1"/>
  <c r="N1931" i="21"/>
  <c r="V1930" i="21"/>
  <c r="U1930" i="21"/>
  <c r="R1930" i="21"/>
  <c r="Q1930" i="21"/>
  <c r="T1930" i="21" s="1"/>
  <c r="P1930" i="21"/>
  <c r="S1930" i="21" s="1"/>
  <c r="O1930" i="21" a="1"/>
  <c r="O1930" i="21" s="1"/>
  <c r="N1930" i="21"/>
  <c r="V1929" i="21"/>
  <c r="U1929" i="21"/>
  <c r="R1929" i="21"/>
  <c r="P1929" i="21"/>
  <c r="S1929" i="21" s="1"/>
  <c r="O1929" i="21"/>
  <c r="O1929" i="21" a="1"/>
  <c r="N1929" i="21"/>
  <c r="V1928" i="21"/>
  <c r="U1928" i="21"/>
  <c r="R1928" i="21"/>
  <c r="Q1928" i="21"/>
  <c r="T1928" i="21" s="1"/>
  <c r="P1928" i="21"/>
  <c r="S1928" i="21" s="1"/>
  <c r="O1928" i="21" a="1"/>
  <c r="O1928" i="21" s="1"/>
  <c r="N1928" i="21"/>
  <c r="V1927" i="21"/>
  <c r="U1927" i="21"/>
  <c r="S1927" i="21"/>
  <c r="R1927" i="21"/>
  <c r="P1927" i="21"/>
  <c r="Q1927" i="21" s="1"/>
  <c r="T1927" i="21" s="1"/>
  <c r="O1927" i="21" a="1"/>
  <c r="O1927" i="21" s="1"/>
  <c r="N1927" i="21"/>
  <c r="V1926" i="21"/>
  <c r="U1926" i="21"/>
  <c r="R1926" i="21"/>
  <c r="P1926" i="21"/>
  <c r="S1926" i="21" s="1"/>
  <c r="O1926" i="21" a="1"/>
  <c r="O1926" i="21" s="1"/>
  <c r="N1926" i="21"/>
  <c r="V1925" i="21"/>
  <c r="U1925" i="21"/>
  <c r="R1925" i="21"/>
  <c r="P1925" i="21"/>
  <c r="Q1925" i="21" s="1"/>
  <c r="O1925" i="21" a="1"/>
  <c r="O1925" i="21" s="1"/>
  <c r="N1925" i="21"/>
  <c r="V1924" i="21"/>
  <c r="U1924" i="21"/>
  <c r="R1924" i="21"/>
  <c r="T1924" i="21" s="1"/>
  <c r="Q1924" i="21"/>
  <c r="P1924" i="21"/>
  <c r="S1924" i="21" s="1"/>
  <c r="O1924" i="21" a="1"/>
  <c r="O1924" i="21" s="1"/>
  <c r="N1924" i="21"/>
  <c r="V1923" i="21"/>
  <c r="U1923" i="21"/>
  <c r="R1923" i="21"/>
  <c r="P1923" i="21"/>
  <c r="Q1923" i="21" s="1"/>
  <c r="O1923" i="21" a="1"/>
  <c r="O1923" i="21" s="1"/>
  <c r="N1923" i="21"/>
  <c r="V1922" i="21"/>
  <c r="U1922" i="21"/>
  <c r="R1922" i="21"/>
  <c r="P1922" i="21"/>
  <c r="S1922" i="21" s="1"/>
  <c r="O1922" i="21" a="1"/>
  <c r="O1922" i="21" s="1"/>
  <c r="N1922" i="21"/>
  <c r="V1921" i="21"/>
  <c r="U1921" i="21"/>
  <c r="R1921" i="21"/>
  <c r="P1921" i="21"/>
  <c r="S1921" i="21" s="1"/>
  <c r="O1921" i="21" a="1"/>
  <c r="O1921" i="21" s="1"/>
  <c r="N1921" i="21"/>
  <c r="V1920" i="21"/>
  <c r="U1920" i="21"/>
  <c r="R1920" i="21"/>
  <c r="Q1920" i="21"/>
  <c r="T1920" i="21" s="1"/>
  <c r="P1920" i="21"/>
  <c r="S1920" i="21" s="1"/>
  <c r="O1920" i="21" a="1"/>
  <c r="O1920" i="21" s="1"/>
  <c r="N1920" i="21"/>
  <c r="V1919" i="21"/>
  <c r="U1919" i="21"/>
  <c r="R1919" i="21"/>
  <c r="P1919" i="21"/>
  <c r="Q1919" i="21" s="1"/>
  <c r="T1919" i="21" s="1"/>
  <c r="O1919" i="21"/>
  <c r="O1919" i="21" a="1"/>
  <c r="N1919" i="21"/>
  <c r="V1918" i="21"/>
  <c r="U1918" i="21"/>
  <c r="R1918" i="21"/>
  <c r="P1918" i="21"/>
  <c r="S1918" i="21" s="1"/>
  <c r="O1918" i="21" a="1"/>
  <c r="O1918" i="21" s="1"/>
  <c r="N1918" i="21"/>
  <c r="V1917" i="21"/>
  <c r="U1917" i="21"/>
  <c r="R1917" i="21"/>
  <c r="P1917" i="21"/>
  <c r="Q1917" i="21" s="1"/>
  <c r="T1917" i="21" s="1"/>
  <c r="O1917" i="21" a="1"/>
  <c r="O1917" i="21" s="1"/>
  <c r="N1917" i="21"/>
  <c r="V1916" i="21"/>
  <c r="U1916" i="21"/>
  <c r="R1916" i="21"/>
  <c r="P1916" i="21"/>
  <c r="S1916" i="21" s="1"/>
  <c r="O1916" i="21" a="1"/>
  <c r="O1916" i="21" s="1"/>
  <c r="N1916" i="21"/>
  <c r="V1915" i="21"/>
  <c r="U1915" i="21"/>
  <c r="R1915" i="21"/>
  <c r="P1915" i="21"/>
  <c r="Q1915" i="21" s="1"/>
  <c r="T1915" i="21" s="1"/>
  <c r="O1915" i="21" a="1"/>
  <c r="O1915" i="21" s="1"/>
  <c r="N1915" i="21"/>
  <c r="V1914" i="21"/>
  <c r="U1914" i="21"/>
  <c r="R1914" i="21"/>
  <c r="Q1914" i="21"/>
  <c r="P1914" i="21"/>
  <c r="S1914" i="21" s="1"/>
  <c r="O1914" i="21" a="1"/>
  <c r="O1914" i="21" s="1"/>
  <c r="N1914" i="21"/>
  <c r="V1913" i="21"/>
  <c r="U1913" i="21"/>
  <c r="R1913" i="21"/>
  <c r="Q1913" i="21"/>
  <c r="P1913" i="21"/>
  <c r="S1913" i="21" s="1"/>
  <c r="O1913" i="21" a="1"/>
  <c r="O1913" i="21" s="1"/>
  <c r="N1913" i="21"/>
  <c r="V1912" i="21"/>
  <c r="U1912" i="21"/>
  <c r="R1912" i="21"/>
  <c r="Q1912" i="21"/>
  <c r="T1912" i="21" s="1"/>
  <c r="P1912" i="21"/>
  <c r="S1912" i="21" s="1"/>
  <c r="O1912" i="21" a="1"/>
  <c r="O1912" i="21" s="1"/>
  <c r="N1912" i="21"/>
  <c r="V1911" i="21"/>
  <c r="U1911" i="21"/>
  <c r="S1911" i="21"/>
  <c r="R1911" i="21"/>
  <c r="P1911" i="21"/>
  <c r="Q1911" i="21" s="1"/>
  <c r="T1911" i="21" s="1"/>
  <c r="O1911" i="21"/>
  <c r="O1911" i="21" a="1"/>
  <c r="N1911" i="21"/>
  <c r="V1910" i="21"/>
  <c r="U1910" i="21"/>
  <c r="R1910" i="21"/>
  <c r="P1910" i="21"/>
  <c r="S1910" i="21" s="1"/>
  <c r="O1910" i="21" a="1"/>
  <c r="O1910" i="21" s="1"/>
  <c r="N1910" i="21"/>
  <c r="V1909" i="21"/>
  <c r="U1909" i="21"/>
  <c r="R1909" i="21"/>
  <c r="P1909" i="21"/>
  <c r="Q1909" i="21" s="1"/>
  <c r="O1909" i="21" a="1"/>
  <c r="O1909" i="21" s="1"/>
  <c r="N1909" i="21"/>
  <c r="V1908" i="21"/>
  <c r="U1908" i="21"/>
  <c r="R1908" i="21"/>
  <c r="Q1908" i="21"/>
  <c r="T1908" i="21" s="1"/>
  <c r="P1908" i="21"/>
  <c r="S1908" i="21" s="1"/>
  <c r="O1908" i="21" a="1"/>
  <c r="O1908" i="21" s="1"/>
  <c r="N1908" i="21"/>
  <c r="V1907" i="21"/>
  <c r="U1907" i="21"/>
  <c r="R1907" i="21"/>
  <c r="P1907" i="21"/>
  <c r="Q1907" i="21" s="1"/>
  <c r="O1907" i="21" a="1"/>
  <c r="O1907" i="21" s="1"/>
  <c r="N1907" i="21"/>
  <c r="V1906" i="21"/>
  <c r="U1906" i="21"/>
  <c r="R1906" i="21"/>
  <c r="P1906" i="21"/>
  <c r="S1906" i="21" s="1"/>
  <c r="O1906" i="21" a="1"/>
  <c r="O1906" i="21" s="1"/>
  <c r="N1906" i="21"/>
  <c r="V1905" i="21"/>
  <c r="U1905" i="21"/>
  <c r="R1905" i="21"/>
  <c r="P1905" i="21"/>
  <c r="S1905" i="21" s="1"/>
  <c r="O1905" i="21" a="1"/>
  <c r="O1905" i="21" s="1"/>
  <c r="N1905" i="21"/>
  <c r="V1904" i="21"/>
  <c r="U1904" i="21"/>
  <c r="R1904" i="21"/>
  <c r="P1904" i="21"/>
  <c r="S1904" i="21" s="1"/>
  <c r="O1904" i="21" a="1"/>
  <c r="O1904" i="21" s="1"/>
  <c r="N1904" i="21"/>
  <c r="V1903" i="21"/>
  <c r="U1903" i="21"/>
  <c r="S1903" i="21"/>
  <c r="R1903" i="21"/>
  <c r="P1903" i="21"/>
  <c r="Q1903" i="21" s="1"/>
  <c r="O1903" i="21" a="1"/>
  <c r="O1903" i="21" s="1"/>
  <c r="N1903" i="21"/>
  <c r="V1902" i="21"/>
  <c r="U1902" i="21"/>
  <c r="R1902" i="21"/>
  <c r="P1902" i="21"/>
  <c r="S1902" i="21" s="1"/>
  <c r="O1902" i="21" a="1"/>
  <c r="O1902" i="21" s="1"/>
  <c r="N1902" i="21"/>
  <c r="V1901" i="21"/>
  <c r="U1901" i="21"/>
  <c r="R1901" i="21"/>
  <c r="P1901" i="21"/>
  <c r="Q1901" i="21" s="1"/>
  <c r="T1901" i="21" s="1"/>
  <c r="O1901" i="21" a="1"/>
  <c r="O1901" i="21" s="1"/>
  <c r="N1901" i="21"/>
  <c r="V1900" i="21"/>
  <c r="U1900" i="21"/>
  <c r="T1900" i="21"/>
  <c r="R1900" i="21"/>
  <c r="Q1900" i="21"/>
  <c r="P1900" i="21"/>
  <c r="S1900" i="21" s="1"/>
  <c r="O1900" i="21" a="1"/>
  <c r="O1900" i="21" s="1"/>
  <c r="N1900" i="21"/>
  <c r="V1899" i="21"/>
  <c r="U1899" i="21"/>
  <c r="R1899" i="21"/>
  <c r="P1899" i="21"/>
  <c r="Q1899" i="21" s="1"/>
  <c r="T1899" i="21" s="1"/>
  <c r="O1899" i="21" a="1"/>
  <c r="O1899" i="21" s="1"/>
  <c r="N1899" i="21"/>
  <c r="V1898" i="21"/>
  <c r="U1898" i="21"/>
  <c r="R1898" i="21"/>
  <c r="Q1898" i="21"/>
  <c r="P1898" i="21"/>
  <c r="S1898" i="21" s="1"/>
  <c r="O1898" i="21" a="1"/>
  <c r="O1898" i="21" s="1"/>
  <c r="N1898" i="21"/>
  <c r="V1897" i="21"/>
  <c r="U1897" i="21"/>
  <c r="R1897" i="21"/>
  <c r="P1897" i="21"/>
  <c r="S1897" i="21" s="1"/>
  <c r="O1897" i="21"/>
  <c r="O1897" i="21" a="1"/>
  <c r="N1897" i="21"/>
  <c r="V1896" i="21"/>
  <c r="U1896" i="21"/>
  <c r="R1896" i="21"/>
  <c r="P1896" i="21"/>
  <c r="S1896" i="21" s="1"/>
  <c r="O1896" i="21" a="1"/>
  <c r="O1896" i="21" s="1"/>
  <c r="N1896" i="21"/>
  <c r="V1895" i="21"/>
  <c r="U1895" i="21"/>
  <c r="S1895" i="21"/>
  <c r="R1895" i="21"/>
  <c r="P1895" i="21"/>
  <c r="Q1895" i="21" s="1"/>
  <c r="O1895" i="21"/>
  <c r="O1895" i="21" a="1"/>
  <c r="N1895" i="21"/>
  <c r="V1894" i="21"/>
  <c r="U1894" i="21"/>
  <c r="R1894" i="21"/>
  <c r="P1894" i="21"/>
  <c r="S1894" i="21" s="1"/>
  <c r="O1894" i="21" a="1"/>
  <c r="O1894" i="21" s="1"/>
  <c r="N1894" i="21"/>
  <c r="V1893" i="21"/>
  <c r="U1893" i="21"/>
  <c r="R1893" i="21"/>
  <c r="P1893" i="21"/>
  <c r="Q1893" i="21" s="1"/>
  <c r="O1893" i="21"/>
  <c r="O1893" i="21" a="1"/>
  <c r="N1893" i="21"/>
  <c r="V1892" i="21"/>
  <c r="U1892" i="21"/>
  <c r="R1892" i="21"/>
  <c r="Q1892" i="21"/>
  <c r="T1892" i="21" s="1"/>
  <c r="P1892" i="21"/>
  <c r="S1892" i="21" s="1"/>
  <c r="O1892" i="21" a="1"/>
  <c r="O1892" i="21" s="1"/>
  <c r="N1892" i="21"/>
  <c r="V1891" i="21"/>
  <c r="U1891" i="21"/>
  <c r="R1891" i="21"/>
  <c r="P1891" i="21"/>
  <c r="Q1891" i="21" s="1"/>
  <c r="T1891" i="21" s="1"/>
  <c r="O1891" i="21" a="1"/>
  <c r="O1891" i="21" s="1"/>
  <c r="N1891" i="21"/>
  <c r="V1890" i="21"/>
  <c r="U1890" i="21"/>
  <c r="R1890" i="21"/>
  <c r="Q1890" i="21"/>
  <c r="T1890" i="21" s="1"/>
  <c r="P1890" i="21"/>
  <c r="S1890" i="21" s="1"/>
  <c r="O1890" i="21" a="1"/>
  <c r="O1890" i="21" s="1"/>
  <c r="N1890" i="21"/>
  <c r="V1889" i="21"/>
  <c r="U1889" i="21"/>
  <c r="R1889" i="21"/>
  <c r="P1889" i="21"/>
  <c r="S1889" i="21" s="1"/>
  <c r="O1889" i="21"/>
  <c r="O1889" i="21" a="1"/>
  <c r="N1889" i="21"/>
  <c r="V1888" i="21"/>
  <c r="U1888" i="21"/>
  <c r="R1888" i="21"/>
  <c r="Q1888" i="21"/>
  <c r="P1888" i="21"/>
  <c r="S1888" i="21" s="1"/>
  <c r="O1888" i="21" a="1"/>
  <c r="O1888" i="21" s="1"/>
  <c r="N1888" i="21"/>
  <c r="V1887" i="21"/>
  <c r="U1887" i="21"/>
  <c r="R1887" i="21"/>
  <c r="P1887" i="21"/>
  <c r="Q1887" i="21" s="1"/>
  <c r="O1887" i="21" a="1"/>
  <c r="O1887" i="21" s="1"/>
  <c r="N1887" i="21"/>
  <c r="V1886" i="21"/>
  <c r="U1886" i="21"/>
  <c r="R1886" i="21"/>
  <c r="P1886" i="21"/>
  <c r="O1886" i="21" a="1"/>
  <c r="O1886" i="21" s="1"/>
  <c r="N1886" i="21"/>
  <c r="V1885" i="21"/>
  <c r="U1885" i="21"/>
  <c r="S1885" i="21"/>
  <c r="R1885" i="21"/>
  <c r="P1885" i="21"/>
  <c r="Q1885" i="21" s="1"/>
  <c r="T1885" i="21" s="1"/>
  <c r="O1885" i="21"/>
  <c r="O1885" i="21" a="1"/>
  <c r="N1885" i="21"/>
  <c r="V1884" i="21"/>
  <c r="U1884" i="21"/>
  <c r="R1884" i="21"/>
  <c r="P1884" i="21"/>
  <c r="S1884" i="21" s="1"/>
  <c r="O1884" i="21" a="1"/>
  <c r="O1884" i="21" s="1"/>
  <c r="N1884" i="21"/>
  <c r="V1883" i="21"/>
  <c r="U1883" i="21"/>
  <c r="S1883" i="21"/>
  <c r="R1883" i="21"/>
  <c r="P1883" i="21"/>
  <c r="Q1883" i="21" s="1"/>
  <c r="T1883" i="21" s="1"/>
  <c r="O1883" i="21" a="1"/>
  <c r="O1883" i="21" s="1"/>
  <c r="N1883" i="21"/>
  <c r="V1882" i="21"/>
  <c r="U1882" i="21"/>
  <c r="R1882" i="21"/>
  <c r="Q1882" i="21"/>
  <c r="T1882" i="21" s="1"/>
  <c r="P1882" i="21"/>
  <c r="S1882" i="21" s="1"/>
  <c r="O1882" i="21" a="1"/>
  <c r="O1882" i="21" s="1"/>
  <c r="N1882" i="21"/>
  <c r="V1881" i="21"/>
  <c r="U1881" i="21"/>
  <c r="R1881" i="21"/>
  <c r="P1881" i="21"/>
  <c r="S1881" i="21" s="1"/>
  <c r="O1881" i="21"/>
  <c r="O1881" i="21" a="1"/>
  <c r="N1881" i="21"/>
  <c r="V1880" i="21"/>
  <c r="U1880" i="21"/>
  <c r="R1880" i="21"/>
  <c r="Q1880" i="21"/>
  <c r="P1880" i="21"/>
  <c r="S1880" i="21" s="1"/>
  <c r="O1880" i="21" a="1"/>
  <c r="O1880" i="21" s="1"/>
  <c r="N1880" i="21"/>
  <c r="V1879" i="21"/>
  <c r="U1879" i="21"/>
  <c r="R1879" i="21"/>
  <c r="P1879" i="21"/>
  <c r="Q1879" i="21" s="1"/>
  <c r="T1879" i="21" s="1"/>
  <c r="O1879" i="21" a="1"/>
  <c r="O1879" i="21" s="1"/>
  <c r="N1879" i="21"/>
  <c r="V1878" i="21"/>
  <c r="U1878" i="21"/>
  <c r="R1878" i="21"/>
  <c r="P1878" i="21"/>
  <c r="O1878" i="21" a="1"/>
  <c r="O1878" i="21" s="1"/>
  <c r="N1878" i="21"/>
  <c r="V1877" i="21"/>
  <c r="U1877" i="21"/>
  <c r="R1877" i="21"/>
  <c r="P1877" i="21"/>
  <c r="O1877" i="21"/>
  <c r="O1877" i="21" a="1"/>
  <c r="N1877" i="21"/>
  <c r="V1876" i="21"/>
  <c r="U1876" i="21"/>
  <c r="R1876" i="21"/>
  <c r="Q1876" i="21"/>
  <c r="T1876" i="21" s="1"/>
  <c r="P1876" i="21"/>
  <c r="S1876" i="21" s="1"/>
  <c r="O1876" i="21" a="1"/>
  <c r="O1876" i="21" s="1"/>
  <c r="N1876" i="21"/>
  <c r="V1875" i="21"/>
  <c r="U1875" i="21"/>
  <c r="R1875" i="21"/>
  <c r="P1875" i="21"/>
  <c r="Q1875" i="21" s="1"/>
  <c r="T1875" i="21" s="1"/>
  <c r="O1875" i="21" a="1"/>
  <c r="O1875" i="21" s="1"/>
  <c r="N1875" i="21"/>
  <c r="V1874" i="21"/>
  <c r="U1874" i="21"/>
  <c r="R1874" i="21"/>
  <c r="P1874" i="21"/>
  <c r="S1874" i="21" s="1"/>
  <c r="O1874" i="21" a="1"/>
  <c r="O1874" i="21" s="1"/>
  <c r="N1874" i="21"/>
  <c r="V1873" i="21"/>
  <c r="U1873" i="21"/>
  <c r="R1873" i="21"/>
  <c r="P1873" i="21"/>
  <c r="S1873" i="21" s="1"/>
  <c r="O1873" i="21"/>
  <c r="O1873" i="21" a="1"/>
  <c r="N1873" i="21"/>
  <c r="V1872" i="21"/>
  <c r="U1872" i="21"/>
  <c r="R1872" i="21"/>
  <c r="Q1872" i="21"/>
  <c r="P1872" i="21"/>
  <c r="S1872" i="21" s="1"/>
  <c r="O1872" i="21" a="1"/>
  <c r="O1872" i="21" s="1"/>
  <c r="N1872" i="21"/>
  <c r="V1871" i="21"/>
  <c r="U1871" i="21"/>
  <c r="S1871" i="21"/>
  <c r="R1871" i="21"/>
  <c r="Q1871" i="21"/>
  <c r="T1871" i="21" s="1"/>
  <c r="P1871" i="21"/>
  <c r="O1871" i="21" a="1"/>
  <c r="O1871" i="21" s="1"/>
  <c r="N1871" i="21"/>
  <c r="V1870" i="21"/>
  <c r="U1870" i="21"/>
  <c r="R1870" i="21"/>
  <c r="P1870" i="21"/>
  <c r="O1870" i="21" a="1"/>
  <c r="O1870" i="21" s="1"/>
  <c r="N1870" i="21"/>
  <c r="V1869" i="21"/>
  <c r="U1869" i="21"/>
  <c r="R1869" i="21"/>
  <c r="P1869" i="21"/>
  <c r="O1869" i="21" a="1"/>
  <c r="O1869" i="21" s="1"/>
  <c r="N1869" i="21"/>
  <c r="V1868" i="21"/>
  <c r="U1868" i="21"/>
  <c r="R1868" i="21"/>
  <c r="Q1868" i="21"/>
  <c r="T1868" i="21" s="1"/>
  <c r="P1868" i="21"/>
  <c r="S1868" i="21" s="1"/>
  <c r="O1868" i="21" a="1"/>
  <c r="O1868" i="21" s="1"/>
  <c r="N1868" i="21"/>
  <c r="V1867" i="21"/>
  <c r="U1867" i="21"/>
  <c r="S1867" i="21"/>
  <c r="R1867" i="21"/>
  <c r="P1867" i="21"/>
  <c r="Q1867" i="21" s="1"/>
  <c r="T1867" i="21" s="1"/>
  <c r="O1867" i="21" a="1"/>
  <c r="O1867" i="21" s="1"/>
  <c r="N1867" i="21"/>
  <c r="V1866" i="21"/>
  <c r="U1866" i="21"/>
  <c r="R1866" i="21"/>
  <c r="Q1866" i="21"/>
  <c r="P1866" i="21"/>
  <c r="S1866" i="21" s="1"/>
  <c r="O1866" i="21" a="1"/>
  <c r="O1866" i="21" s="1"/>
  <c r="N1866" i="21"/>
  <c r="V1865" i="21"/>
  <c r="U1865" i="21"/>
  <c r="R1865" i="21"/>
  <c r="P1865" i="21"/>
  <c r="S1865" i="21" s="1"/>
  <c r="O1865" i="21"/>
  <c r="O1865" i="21" a="1"/>
  <c r="N1865" i="21"/>
  <c r="V1864" i="21"/>
  <c r="U1864" i="21"/>
  <c r="R1864" i="21"/>
  <c r="P1864" i="21"/>
  <c r="S1864" i="21" s="1"/>
  <c r="O1864" i="21" a="1"/>
  <c r="O1864" i="21" s="1"/>
  <c r="N1864" i="21"/>
  <c r="V1863" i="21"/>
  <c r="U1863" i="21"/>
  <c r="S1863" i="21"/>
  <c r="R1863" i="21"/>
  <c r="P1863" i="21"/>
  <c r="Q1863" i="21" s="1"/>
  <c r="T1863" i="21" s="1"/>
  <c r="O1863" i="21"/>
  <c r="O1863" i="21" a="1"/>
  <c r="N1863" i="21"/>
  <c r="V1862" i="21"/>
  <c r="U1862" i="21"/>
  <c r="R1862" i="21"/>
  <c r="P1862" i="21"/>
  <c r="O1862" i="21" a="1"/>
  <c r="O1862" i="21" s="1"/>
  <c r="N1862" i="21"/>
  <c r="V1861" i="21"/>
  <c r="U1861" i="21"/>
  <c r="S1861" i="21"/>
  <c r="R1861" i="21"/>
  <c r="P1861" i="21"/>
  <c r="Q1861" i="21" s="1"/>
  <c r="T1861" i="21" s="1"/>
  <c r="O1861" i="21" a="1"/>
  <c r="O1861" i="21" s="1"/>
  <c r="N1861" i="21"/>
  <c r="V1860" i="21"/>
  <c r="U1860" i="21"/>
  <c r="R1860" i="21"/>
  <c r="Q1860" i="21"/>
  <c r="T1860" i="21" s="1"/>
  <c r="P1860" i="21"/>
  <c r="S1860" i="21" s="1"/>
  <c r="O1860" i="21" a="1"/>
  <c r="O1860" i="21" s="1"/>
  <c r="N1860" i="21"/>
  <c r="V1859" i="21"/>
  <c r="U1859" i="21"/>
  <c r="T1859" i="21"/>
  <c r="S1859" i="21"/>
  <c r="R1859" i="21"/>
  <c r="P1859" i="21"/>
  <c r="Q1859" i="21" s="1"/>
  <c r="O1859" i="21" a="1"/>
  <c r="O1859" i="21" s="1"/>
  <c r="N1859" i="21"/>
  <c r="V1858" i="21"/>
  <c r="U1858" i="21"/>
  <c r="R1858" i="21"/>
  <c r="P1858" i="21"/>
  <c r="S1858" i="21" s="1"/>
  <c r="O1858" i="21" a="1"/>
  <c r="O1858" i="21" s="1"/>
  <c r="N1858" i="21"/>
  <c r="V1857" i="21"/>
  <c r="U1857" i="21"/>
  <c r="R1857" i="21"/>
  <c r="P1857" i="21"/>
  <c r="S1857" i="21" s="1"/>
  <c r="O1857" i="21" a="1"/>
  <c r="O1857" i="21" s="1"/>
  <c r="N1857" i="21"/>
  <c r="V1856" i="21"/>
  <c r="U1856" i="21"/>
  <c r="R1856" i="21"/>
  <c r="T1856" i="21" s="1"/>
  <c r="Q1856" i="21"/>
  <c r="P1856" i="21"/>
  <c r="S1856" i="21" s="1"/>
  <c r="O1856" i="21" a="1"/>
  <c r="O1856" i="21" s="1"/>
  <c r="N1856" i="21"/>
  <c r="V1855" i="21"/>
  <c r="U1855" i="21"/>
  <c r="S1855" i="21"/>
  <c r="R1855" i="21"/>
  <c r="P1855" i="21"/>
  <c r="Q1855" i="21" s="1"/>
  <c r="O1855" i="21" a="1"/>
  <c r="O1855" i="21" s="1"/>
  <c r="N1855" i="21"/>
  <c r="V1854" i="21"/>
  <c r="U1854" i="21"/>
  <c r="R1854" i="21"/>
  <c r="P1854" i="21"/>
  <c r="O1854" i="21" a="1"/>
  <c r="O1854" i="21" s="1"/>
  <c r="N1854" i="21"/>
  <c r="V1853" i="21"/>
  <c r="U1853" i="21"/>
  <c r="R1853" i="21"/>
  <c r="P1853" i="21"/>
  <c r="Q1853" i="21" s="1"/>
  <c r="O1853" i="21" a="1"/>
  <c r="O1853" i="21" s="1"/>
  <c r="N1853" i="21"/>
  <c r="V1852" i="21"/>
  <c r="U1852" i="21"/>
  <c r="R1852" i="21"/>
  <c r="Q1852" i="21"/>
  <c r="T1852" i="21" s="1"/>
  <c r="P1852" i="21"/>
  <c r="S1852" i="21" s="1"/>
  <c r="O1852" i="21" a="1"/>
  <c r="O1852" i="21" s="1"/>
  <c r="N1852" i="21"/>
  <c r="V1851" i="21"/>
  <c r="U1851" i="21"/>
  <c r="R1851" i="21"/>
  <c r="T1851" i="21" s="1"/>
  <c r="P1851" i="21"/>
  <c r="Q1851" i="21" s="1"/>
  <c r="O1851" i="21" a="1"/>
  <c r="O1851" i="21" s="1"/>
  <c r="N1851" i="21"/>
  <c r="V1850" i="21"/>
  <c r="U1850" i="21"/>
  <c r="R1850" i="21"/>
  <c r="P1850" i="21"/>
  <c r="S1850" i="21" s="1"/>
  <c r="O1850" i="21" a="1"/>
  <c r="O1850" i="21" s="1"/>
  <c r="N1850" i="21"/>
  <c r="V1849" i="21"/>
  <c r="U1849" i="21"/>
  <c r="R1849" i="21"/>
  <c r="P1849" i="21"/>
  <c r="O1849" i="21"/>
  <c r="O1849" i="21" a="1"/>
  <c r="N1849" i="21"/>
  <c r="V1848" i="21"/>
  <c r="U1848" i="21"/>
  <c r="R1848" i="21"/>
  <c r="Q1848" i="21"/>
  <c r="P1848" i="21"/>
  <c r="S1848" i="21" s="1"/>
  <c r="O1848" i="21" a="1"/>
  <c r="O1848" i="21" s="1"/>
  <c r="N1848" i="21"/>
  <c r="V1847" i="21"/>
  <c r="U1847" i="21"/>
  <c r="S1847" i="21"/>
  <c r="R1847" i="21"/>
  <c r="P1847" i="21"/>
  <c r="Q1847" i="21" s="1"/>
  <c r="T1847" i="21" s="1"/>
  <c r="O1847" i="21" a="1"/>
  <c r="O1847" i="21" s="1"/>
  <c r="N1847" i="21"/>
  <c r="V1846" i="21"/>
  <c r="U1846" i="21"/>
  <c r="R1846" i="21"/>
  <c r="P1846" i="21"/>
  <c r="O1846" i="21" a="1"/>
  <c r="O1846" i="21" s="1"/>
  <c r="N1846" i="21"/>
  <c r="V1845" i="21"/>
  <c r="U1845" i="21"/>
  <c r="R1845" i="21"/>
  <c r="P1845" i="21"/>
  <c r="Q1845" i="21" s="1"/>
  <c r="O1845" i="21"/>
  <c r="O1845" i="21" a="1"/>
  <c r="N1845" i="21"/>
  <c r="V1844" i="21"/>
  <c r="U1844" i="21"/>
  <c r="R1844" i="21"/>
  <c r="Q1844" i="21"/>
  <c r="P1844" i="21"/>
  <c r="S1844" i="21" s="1"/>
  <c r="O1844" i="21" a="1"/>
  <c r="O1844" i="21" s="1"/>
  <c r="N1844" i="21"/>
  <c r="V1843" i="21"/>
  <c r="U1843" i="21"/>
  <c r="S1843" i="21"/>
  <c r="R1843" i="21"/>
  <c r="P1843" i="21"/>
  <c r="Q1843" i="21" s="1"/>
  <c r="T1843" i="21" s="1"/>
  <c r="O1843" i="21" a="1"/>
  <c r="O1843" i="21" s="1"/>
  <c r="N1843" i="21"/>
  <c r="V1842" i="21"/>
  <c r="U1842" i="21"/>
  <c r="R1842" i="21"/>
  <c r="Q1842" i="21"/>
  <c r="T1842" i="21" s="1"/>
  <c r="P1842" i="21"/>
  <c r="S1842" i="21" s="1"/>
  <c r="O1842" i="21" a="1"/>
  <c r="O1842" i="21" s="1"/>
  <c r="N1842" i="21"/>
  <c r="V1841" i="21"/>
  <c r="U1841" i="21"/>
  <c r="R1841" i="21"/>
  <c r="P1841" i="21"/>
  <c r="O1841" i="21" a="1"/>
  <c r="O1841" i="21" s="1"/>
  <c r="N1841" i="21"/>
  <c r="V1840" i="21"/>
  <c r="U1840" i="21"/>
  <c r="R1840" i="21"/>
  <c r="P1840" i="21"/>
  <c r="S1840" i="21" s="1"/>
  <c r="O1840" i="21" a="1"/>
  <c r="O1840" i="21" s="1"/>
  <c r="N1840" i="21"/>
  <c r="V1839" i="21"/>
  <c r="U1839" i="21"/>
  <c r="S1839" i="21"/>
  <c r="R1839" i="21"/>
  <c r="T1839" i="21" s="1"/>
  <c r="P1839" i="21"/>
  <c r="Q1839" i="21" s="1"/>
  <c r="O1839" i="21" a="1"/>
  <c r="O1839" i="21" s="1"/>
  <c r="N1839" i="21"/>
  <c r="V1838" i="21"/>
  <c r="U1838" i="21"/>
  <c r="R1838" i="21"/>
  <c r="P1838" i="21"/>
  <c r="O1838" i="21" a="1"/>
  <c r="O1838" i="21" s="1"/>
  <c r="N1838" i="21"/>
  <c r="V1837" i="21"/>
  <c r="U1837" i="21"/>
  <c r="R1837" i="21"/>
  <c r="T1837" i="21" s="1"/>
  <c r="Q1837" i="21"/>
  <c r="P1837" i="21"/>
  <c r="S1837" i="21" s="1"/>
  <c r="O1837" i="21"/>
  <c r="O1837" i="21" a="1"/>
  <c r="N1837" i="21"/>
  <c r="V1836" i="21"/>
  <c r="U1836" i="21"/>
  <c r="R1836" i="21"/>
  <c r="P1836" i="21"/>
  <c r="S1836" i="21" s="1"/>
  <c r="O1836" i="21" a="1"/>
  <c r="O1836" i="21" s="1"/>
  <c r="N1836" i="21"/>
  <c r="V1835" i="21"/>
  <c r="U1835" i="21"/>
  <c r="S1835" i="21"/>
  <c r="R1835" i="21"/>
  <c r="P1835" i="21"/>
  <c r="Q1835" i="21" s="1"/>
  <c r="T1835" i="21" s="1"/>
  <c r="O1835" i="21" a="1"/>
  <c r="O1835" i="21" s="1"/>
  <c r="N1835" i="21"/>
  <c r="V1834" i="21"/>
  <c r="U1834" i="21"/>
  <c r="R1834" i="21"/>
  <c r="Q1834" i="21"/>
  <c r="T1834" i="21" s="1"/>
  <c r="P1834" i="21"/>
  <c r="S1834" i="21" s="1"/>
  <c r="O1834" i="21" a="1"/>
  <c r="O1834" i="21" s="1"/>
  <c r="N1834" i="21"/>
  <c r="V1833" i="21"/>
  <c r="U1833" i="21"/>
  <c r="R1833" i="21"/>
  <c r="P1833" i="21"/>
  <c r="O1833" i="21" a="1"/>
  <c r="O1833" i="21" s="1"/>
  <c r="N1833" i="21"/>
  <c r="V1832" i="21"/>
  <c r="U1832" i="21"/>
  <c r="R1832" i="21"/>
  <c r="P1832" i="21"/>
  <c r="S1832" i="21" s="1"/>
  <c r="O1832" i="21" a="1"/>
  <c r="O1832" i="21" s="1"/>
  <c r="N1832" i="21"/>
  <c r="V1831" i="21"/>
  <c r="U1831" i="21"/>
  <c r="S1831" i="21"/>
  <c r="R1831" i="21"/>
  <c r="T1831" i="21" s="1"/>
  <c r="P1831" i="21"/>
  <c r="Q1831" i="21" s="1"/>
  <c r="O1831" i="21" a="1"/>
  <c r="O1831" i="21" s="1"/>
  <c r="N1831" i="21"/>
  <c r="V1830" i="21"/>
  <c r="U1830" i="21"/>
  <c r="R1830" i="21"/>
  <c r="P1830" i="21"/>
  <c r="O1830" i="21" a="1"/>
  <c r="O1830" i="21" s="1"/>
  <c r="N1830" i="21"/>
  <c r="V1829" i="21"/>
  <c r="U1829" i="21"/>
  <c r="R1829" i="21"/>
  <c r="P1829" i="21"/>
  <c r="Q1829" i="21" s="1"/>
  <c r="O1829" i="21" a="1"/>
  <c r="O1829" i="21" s="1"/>
  <c r="N1829" i="21"/>
  <c r="V1828" i="21"/>
  <c r="U1828" i="21"/>
  <c r="R1828" i="21"/>
  <c r="P1828" i="21"/>
  <c r="S1828" i="21" s="1"/>
  <c r="O1828" i="21" a="1"/>
  <c r="O1828" i="21" s="1"/>
  <c r="N1828" i="21"/>
  <c r="V1827" i="21"/>
  <c r="U1827" i="21"/>
  <c r="R1827" i="21"/>
  <c r="T1827" i="21" s="1"/>
  <c r="P1827" i="21"/>
  <c r="Q1827" i="21" s="1"/>
  <c r="O1827" i="21" a="1"/>
  <c r="O1827" i="21" s="1"/>
  <c r="N1827" i="21"/>
  <c r="V1826" i="21"/>
  <c r="U1826" i="21"/>
  <c r="R1826" i="21"/>
  <c r="P1826" i="21"/>
  <c r="S1826" i="21" s="1"/>
  <c r="O1826" i="21" a="1"/>
  <c r="O1826" i="21" s="1"/>
  <c r="N1826" i="21"/>
  <c r="V1825" i="21"/>
  <c r="U1825" i="21"/>
  <c r="R1825" i="21"/>
  <c r="P1825" i="21"/>
  <c r="O1825" i="21" a="1"/>
  <c r="O1825" i="21" s="1"/>
  <c r="N1825" i="21"/>
  <c r="V1824" i="21"/>
  <c r="U1824" i="21"/>
  <c r="R1824" i="21"/>
  <c r="P1824" i="21"/>
  <c r="S1824" i="21" s="1"/>
  <c r="O1824" i="21" a="1"/>
  <c r="O1824" i="21" s="1"/>
  <c r="N1824" i="21"/>
  <c r="V1823" i="21"/>
  <c r="U1823" i="21"/>
  <c r="S1823" i="21"/>
  <c r="R1823" i="21"/>
  <c r="T1823" i="21" s="1"/>
  <c r="P1823" i="21"/>
  <c r="Q1823" i="21" s="1"/>
  <c r="O1823" i="21" a="1"/>
  <c r="O1823" i="21" s="1"/>
  <c r="N1823" i="21"/>
  <c r="V1822" i="21"/>
  <c r="U1822" i="21"/>
  <c r="R1822" i="21"/>
  <c r="P1822" i="21"/>
  <c r="O1822" i="21" a="1"/>
  <c r="O1822" i="21" s="1"/>
  <c r="N1822" i="21"/>
  <c r="V1821" i="21"/>
  <c r="U1821" i="21"/>
  <c r="S1821" i="21"/>
  <c r="R1821" i="21"/>
  <c r="T1821" i="21" s="1"/>
  <c r="P1821" i="21"/>
  <c r="Q1821" i="21" s="1"/>
  <c r="O1821" i="21" a="1"/>
  <c r="O1821" i="21" s="1"/>
  <c r="N1821" i="21"/>
  <c r="V1820" i="21"/>
  <c r="U1820" i="21"/>
  <c r="R1820" i="21"/>
  <c r="P1820" i="21"/>
  <c r="S1820" i="21" s="1"/>
  <c r="O1820" i="21" a="1"/>
  <c r="O1820" i="21" s="1"/>
  <c r="N1820" i="21"/>
  <c r="V1819" i="21"/>
  <c r="U1819" i="21"/>
  <c r="T1819" i="21"/>
  <c r="S1819" i="21"/>
  <c r="R1819" i="21"/>
  <c r="P1819" i="21"/>
  <c r="Q1819" i="21" s="1"/>
  <c r="O1819" i="21" a="1"/>
  <c r="O1819" i="21" s="1"/>
  <c r="N1819" i="21"/>
  <c r="V1818" i="21"/>
  <c r="U1818" i="21"/>
  <c r="R1818" i="21"/>
  <c r="Q1818" i="21"/>
  <c r="P1818" i="21"/>
  <c r="S1818" i="21" s="1"/>
  <c r="O1818" i="21" a="1"/>
  <c r="O1818" i="21" s="1"/>
  <c r="N1818" i="21"/>
  <c r="V1817" i="21"/>
  <c r="U1817" i="21"/>
  <c r="R1817" i="21"/>
  <c r="P1817" i="21"/>
  <c r="O1817" i="21" a="1"/>
  <c r="O1817" i="21" s="1"/>
  <c r="N1817" i="21"/>
  <c r="V1816" i="21"/>
  <c r="U1816" i="21"/>
  <c r="R1816" i="21"/>
  <c r="Q1816" i="21"/>
  <c r="P1816" i="21"/>
  <c r="S1816" i="21" s="1"/>
  <c r="O1816" i="21" a="1"/>
  <c r="O1816" i="21" s="1"/>
  <c r="N1816" i="21"/>
  <c r="V1815" i="21"/>
  <c r="U1815" i="21"/>
  <c r="S1815" i="21"/>
  <c r="R1815" i="21"/>
  <c r="P1815" i="21"/>
  <c r="Q1815" i="21" s="1"/>
  <c r="T1815" i="21" s="1"/>
  <c r="O1815" i="21"/>
  <c r="O1815" i="21" a="1"/>
  <c r="N1815" i="21"/>
  <c r="V1814" i="21"/>
  <c r="U1814" i="21"/>
  <c r="R1814" i="21"/>
  <c r="P1814" i="21"/>
  <c r="O1814" i="21" a="1"/>
  <c r="O1814" i="21" s="1"/>
  <c r="N1814" i="21"/>
  <c r="V1813" i="21"/>
  <c r="U1813" i="21"/>
  <c r="T1813" i="21"/>
  <c r="R1813" i="21"/>
  <c r="P1813" i="21"/>
  <c r="Q1813" i="21" s="1"/>
  <c r="O1813" i="21" a="1"/>
  <c r="O1813" i="21" s="1"/>
  <c r="N1813" i="21"/>
  <c r="V1812" i="21"/>
  <c r="U1812" i="21"/>
  <c r="R1812" i="21"/>
  <c r="P1812" i="21"/>
  <c r="S1812" i="21" s="1"/>
  <c r="O1812" i="21" a="1"/>
  <c r="O1812" i="21" s="1"/>
  <c r="N1812" i="21"/>
  <c r="V1811" i="21"/>
  <c r="U1811" i="21"/>
  <c r="R1811" i="21"/>
  <c r="P1811" i="21"/>
  <c r="Q1811" i="21" s="1"/>
  <c r="T1811" i="21" s="1"/>
  <c r="O1811" i="21" a="1"/>
  <c r="O1811" i="21" s="1"/>
  <c r="N1811" i="21"/>
  <c r="V1810" i="21"/>
  <c r="U1810" i="21"/>
  <c r="R1810" i="21"/>
  <c r="P1810" i="21"/>
  <c r="S1810" i="21" s="1"/>
  <c r="O1810" i="21" a="1"/>
  <c r="O1810" i="21" s="1"/>
  <c r="N1810" i="21"/>
  <c r="V1809" i="21"/>
  <c r="U1809" i="21"/>
  <c r="R1809" i="21"/>
  <c r="P1809" i="21"/>
  <c r="O1809" i="21"/>
  <c r="O1809" i="21" a="1"/>
  <c r="N1809" i="21"/>
  <c r="V1808" i="21"/>
  <c r="U1808" i="21"/>
  <c r="R1808" i="21"/>
  <c r="P1808" i="21"/>
  <c r="S1808" i="21" s="1"/>
  <c r="O1808" i="21" a="1"/>
  <c r="O1808" i="21" s="1"/>
  <c r="N1808" i="21"/>
  <c r="V1807" i="21"/>
  <c r="U1807" i="21"/>
  <c r="R1807" i="21"/>
  <c r="P1807" i="21"/>
  <c r="Q1807" i="21" s="1"/>
  <c r="O1807" i="21" a="1"/>
  <c r="O1807" i="21" s="1"/>
  <c r="N1807" i="21"/>
  <c r="V1806" i="21"/>
  <c r="U1806" i="21"/>
  <c r="R1806" i="21"/>
  <c r="P1806" i="21"/>
  <c r="O1806" i="21" a="1"/>
  <c r="O1806" i="21" s="1"/>
  <c r="N1806" i="21"/>
  <c r="V1805" i="21"/>
  <c r="U1805" i="21"/>
  <c r="R1805" i="21"/>
  <c r="P1805" i="21"/>
  <c r="Q1805" i="21" s="1"/>
  <c r="T1805" i="21" s="1"/>
  <c r="O1805" i="21" a="1"/>
  <c r="O1805" i="21" s="1"/>
  <c r="N1805" i="21"/>
  <c r="V1804" i="21"/>
  <c r="U1804" i="21"/>
  <c r="R1804" i="21"/>
  <c r="P1804" i="21"/>
  <c r="O1804" i="21" a="1"/>
  <c r="O1804" i="21" s="1"/>
  <c r="N1804" i="21"/>
  <c r="V1803" i="21"/>
  <c r="U1803" i="21"/>
  <c r="S1803" i="21"/>
  <c r="R1803" i="21"/>
  <c r="P1803" i="21"/>
  <c r="Q1803" i="21" s="1"/>
  <c r="T1803" i="21" s="1"/>
  <c r="O1803" i="21" a="1"/>
  <c r="O1803" i="21" s="1"/>
  <c r="N1803" i="21"/>
  <c r="V1802" i="21"/>
  <c r="U1802" i="21"/>
  <c r="R1802" i="21"/>
  <c r="P1802" i="21"/>
  <c r="O1802" i="21" a="1"/>
  <c r="O1802" i="21" s="1"/>
  <c r="N1802" i="21"/>
  <c r="V1801" i="21"/>
  <c r="U1801" i="21"/>
  <c r="R1801" i="21"/>
  <c r="P1801" i="21"/>
  <c r="O1801" i="21" a="1"/>
  <c r="O1801" i="21" s="1"/>
  <c r="N1801" i="21"/>
  <c r="V1800" i="21"/>
  <c r="U1800" i="21"/>
  <c r="R1800" i="21"/>
  <c r="P1800" i="21"/>
  <c r="O1800" i="21" a="1"/>
  <c r="O1800" i="21" s="1"/>
  <c r="N1800" i="21"/>
  <c r="V1799" i="21"/>
  <c r="U1799" i="21"/>
  <c r="R1799" i="21"/>
  <c r="P1799" i="21"/>
  <c r="Q1799" i="21" s="1"/>
  <c r="O1799" i="21" a="1"/>
  <c r="O1799" i="21" s="1"/>
  <c r="N1799" i="21"/>
  <c r="V1798" i="21"/>
  <c r="U1798" i="21"/>
  <c r="R1798" i="21"/>
  <c r="P1798" i="21"/>
  <c r="O1798" i="21" a="1"/>
  <c r="O1798" i="21" s="1"/>
  <c r="N1798" i="21"/>
  <c r="V1797" i="21"/>
  <c r="U1797" i="21"/>
  <c r="R1797" i="21"/>
  <c r="P1797" i="21"/>
  <c r="Q1797" i="21" s="1"/>
  <c r="O1797" i="21"/>
  <c r="O1797" i="21" a="1"/>
  <c r="N1797" i="21"/>
  <c r="V1796" i="21"/>
  <c r="U1796" i="21"/>
  <c r="R1796" i="21"/>
  <c r="Q1796" i="21"/>
  <c r="T1796" i="21" s="1"/>
  <c r="P1796" i="21"/>
  <c r="S1796" i="21" s="1"/>
  <c r="O1796" i="21" a="1"/>
  <c r="O1796" i="21" s="1"/>
  <c r="N1796" i="21"/>
  <c r="V1795" i="21"/>
  <c r="U1795" i="21"/>
  <c r="R1795" i="21"/>
  <c r="P1795" i="21"/>
  <c r="Q1795" i="21" s="1"/>
  <c r="O1795" i="21" a="1"/>
  <c r="O1795" i="21" s="1"/>
  <c r="N1795" i="21"/>
  <c r="V1794" i="21"/>
  <c r="U1794" i="21"/>
  <c r="R1794" i="21"/>
  <c r="Q1794" i="21"/>
  <c r="T1794" i="21" s="1"/>
  <c r="P1794" i="21"/>
  <c r="S1794" i="21" s="1"/>
  <c r="O1794" i="21" a="1"/>
  <c r="O1794" i="21" s="1"/>
  <c r="N1794" i="21"/>
  <c r="V1793" i="21"/>
  <c r="U1793" i="21"/>
  <c r="R1793" i="21"/>
  <c r="P1793" i="21"/>
  <c r="O1793" i="21"/>
  <c r="O1793" i="21" a="1"/>
  <c r="N1793" i="21"/>
  <c r="V1792" i="21"/>
  <c r="U1792" i="21"/>
  <c r="R1792" i="21"/>
  <c r="Q1792" i="21"/>
  <c r="P1792" i="21"/>
  <c r="S1792" i="21" s="1"/>
  <c r="O1792" i="21" a="1"/>
  <c r="O1792" i="21" s="1"/>
  <c r="N1792" i="21"/>
  <c r="V1791" i="21"/>
  <c r="U1791" i="21"/>
  <c r="R1791" i="21"/>
  <c r="P1791" i="21"/>
  <c r="Q1791" i="21" s="1"/>
  <c r="T1791" i="21" s="1"/>
  <c r="O1791" i="21" a="1"/>
  <c r="O1791" i="21" s="1"/>
  <c r="N1791" i="21"/>
  <c r="V1790" i="21"/>
  <c r="U1790" i="21"/>
  <c r="R1790" i="21"/>
  <c r="P1790" i="21"/>
  <c r="O1790" i="21" a="1"/>
  <c r="O1790" i="21" s="1"/>
  <c r="N1790" i="21"/>
  <c r="V1789" i="21"/>
  <c r="U1789" i="21"/>
  <c r="R1789" i="21"/>
  <c r="P1789" i="21"/>
  <c r="Q1789" i="21" s="1"/>
  <c r="O1789" i="21" a="1"/>
  <c r="O1789" i="21" s="1"/>
  <c r="N1789" i="21"/>
  <c r="V1788" i="21"/>
  <c r="U1788" i="21"/>
  <c r="R1788" i="21"/>
  <c r="P1788" i="21"/>
  <c r="S1788" i="21" s="1"/>
  <c r="O1788" i="21" a="1"/>
  <c r="O1788" i="21" s="1"/>
  <c r="N1788" i="21"/>
  <c r="V1787" i="21"/>
  <c r="U1787" i="21"/>
  <c r="R1787" i="21"/>
  <c r="T1787" i="21" s="1"/>
  <c r="P1787" i="21"/>
  <c r="Q1787" i="21" s="1"/>
  <c r="O1787" i="21" a="1"/>
  <c r="O1787" i="21" s="1"/>
  <c r="N1787" i="21"/>
  <c r="V1786" i="21"/>
  <c r="U1786" i="21"/>
  <c r="R1786" i="21"/>
  <c r="P1786" i="21"/>
  <c r="S1786" i="21" s="1"/>
  <c r="O1786" i="21" a="1"/>
  <c r="O1786" i="21" s="1"/>
  <c r="N1786" i="21"/>
  <c r="V1785" i="21"/>
  <c r="U1785" i="21"/>
  <c r="R1785" i="21"/>
  <c r="P1785" i="21"/>
  <c r="O1785" i="21" a="1"/>
  <c r="O1785" i="21" s="1"/>
  <c r="N1785" i="21"/>
  <c r="V1784" i="21"/>
  <c r="U1784" i="21"/>
  <c r="R1784" i="21"/>
  <c r="T1784" i="21" s="1"/>
  <c r="Q1784" i="21"/>
  <c r="P1784" i="21"/>
  <c r="S1784" i="21" s="1"/>
  <c r="O1784" i="21" a="1"/>
  <c r="O1784" i="21" s="1"/>
  <c r="N1784" i="21"/>
  <c r="V1783" i="21"/>
  <c r="U1783" i="21"/>
  <c r="R1783" i="21"/>
  <c r="P1783" i="21"/>
  <c r="Q1783" i="21" s="1"/>
  <c r="O1783" i="21" a="1"/>
  <c r="O1783" i="21" s="1"/>
  <c r="N1783" i="21"/>
  <c r="V1782" i="21"/>
  <c r="U1782" i="21"/>
  <c r="R1782" i="21"/>
  <c r="P1782" i="21"/>
  <c r="O1782" i="21" a="1"/>
  <c r="O1782" i="21" s="1"/>
  <c r="N1782" i="21"/>
  <c r="V1781" i="21"/>
  <c r="U1781" i="21"/>
  <c r="R1781" i="21"/>
  <c r="T1781" i="21" s="1"/>
  <c r="P1781" i="21"/>
  <c r="Q1781" i="21" s="1"/>
  <c r="O1781" i="21" a="1"/>
  <c r="O1781" i="21" s="1"/>
  <c r="N1781" i="21"/>
  <c r="V1780" i="21"/>
  <c r="U1780" i="21"/>
  <c r="R1780" i="21"/>
  <c r="P1780" i="21"/>
  <c r="O1780" i="21" a="1"/>
  <c r="O1780" i="21" s="1"/>
  <c r="N1780" i="21"/>
  <c r="V1779" i="21"/>
  <c r="U1779" i="21"/>
  <c r="T1779" i="21"/>
  <c r="R1779" i="21"/>
  <c r="P1779" i="21"/>
  <c r="Q1779" i="21" s="1"/>
  <c r="O1779" i="21" a="1"/>
  <c r="O1779" i="21" s="1"/>
  <c r="N1779" i="21"/>
  <c r="V1778" i="21"/>
  <c r="U1778" i="21"/>
  <c r="S1778" i="21"/>
  <c r="R1778" i="21"/>
  <c r="Q1778" i="21"/>
  <c r="P1778" i="21"/>
  <c r="O1778" i="21" a="1"/>
  <c r="O1778" i="21" s="1"/>
  <c r="N1778" i="21"/>
  <c r="V1777" i="21"/>
  <c r="U1777" i="21"/>
  <c r="R1777" i="21"/>
  <c r="P1777" i="21"/>
  <c r="O1777" i="21" a="1"/>
  <c r="O1777" i="21" s="1"/>
  <c r="N1777" i="21"/>
  <c r="V1776" i="21"/>
  <c r="U1776" i="21"/>
  <c r="R1776" i="21"/>
  <c r="P1776" i="21"/>
  <c r="S1776" i="21" s="1"/>
  <c r="O1776" i="21" a="1"/>
  <c r="O1776" i="21" s="1"/>
  <c r="N1776" i="21"/>
  <c r="V1775" i="21"/>
  <c r="U1775" i="21"/>
  <c r="R1775" i="21"/>
  <c r="P1775" i="21"/>
  <c r="O1775" i="21"/>
  <c r="O1775" i="21" a="1"/>
  <c r="N1775" i="21"/>
  <c r="V1774" i="21"/>
  <c r="U1774" i="21"/>
  <c r="R1774" i="21"/>
  <c r="P1774" i="21"/>
  <c r="O1774" i="21" a="1"/>
  <c r="O1774" i="21" s="1"/>
  <c r="N1774" i="21"/>
  <c r="V1773" i="21"/>
  <c r="U1773" i="21"/>
  <c r="R1773" i="21"/>
  <c r="Q1773" i="21"/>
  <c r="P1773" i="21"/>
  <c r="S1773" i="21" s="1"/>
  <c r="O1773" i="21" a="1"/>
  <c r="O1773" i="21" s="1"/>
  <c r="N1773" i="21"/>
  <c r="V1772" i="21"/>
  <c r="U1772" i="21"/>
  <c r="R1772" i="21"/>
  <c r="Q1772" i="21"/>
  <c r="T1772" i="21" s="1"/>
  <c r="P1772" i="21"/>
  <c r="S1772" i="21" s="1"/>
  <c r="O1772" i="21" a="1"/>
  <c r="O1772" i="21" s="1"/>
  <c r="N1772" i="21"/>
  <c r="V1771" i="21"/>
  <c r="U1771" i="21"/>
  <c r="R1771" i="21"/>
  <c r="P1771" i="21"/>
  <c r="S1771" i="21" s="1"/>
  <c r="O1771" i="21" a="1"/>
  <c r="O1771" i="21" s="1"/>
  <c r="N1771" i="21"/>
  <c r="V1770" i="21"/>
  <c r="U1770" i="21"/>
  <c r="R1770" i="21"/>
  <c r="P1770" i="21"/>
  <c r="S1770" i="21" s="1"/>
  <c r="O1770" i="21" a="1"/>
  <c r="O1770" i="21" s="1"/>
  <c r="N1770" i="21"/>
  <c r="V1769" i="21"/>
  <c r="U1769" i="21"/>
  <c r="R1769" i="21"/>
  <c r="Q1769" i="21"/>
  <c r="P1769" i="21"/>
  <c r="S1769" i="21" s="1"/>
  <c r="O1769" i="21"/>
  <c r="O1769" i="21" a="1"/>
  <c r="N1769" i="21"/>
  <c r="V1768" i="21"/>
  <c r="U1768" i="21"/>
  <c r="R1768" i="21"/>
  <c r="P1768" i="21"/>
  <c r="S1768" i="21" s="1"/>
  <c r="O1768" i="21"/>
  <c r="O1768" i="21" a="1"/>
  <c r="N1768" i="21"/>
  <c r="V1767" i="21"/>
  <c r="U1767" i="21"/>
  <c r="R1767" i="21"/>
  <c r="P1767" i="21"/>
  <c r="Q1767" i="21" s="1"/>
  <c r="T1767" i="21" s="1"/>
  <c r="O1767" i="21"/>
  <c r="O1767" i="21" a="1"/>
  <c r="N1767" i="21"/>
  <c r="V1766" i="21"/>
  <c r="U1766" i="21"/>
  <c r="R1766" i="21"/>
  <c r="P1766" i="21"/>
  <c r="Q1766" i="21" s="1"/>
  <c r="T1766" i="21" s="1"/>
  <c r="O1766" i="21"/>
  <c r="O1766" i="21" a="1"/>
  <c r="N1766" i="21"/>
  <c r="V1765" i="21"/>
  <c r="U1765" i="21"/>
  <c r="R1765" i="21"/>
  <c r="P1765" i="21"/>
  <c r="O1765" i="21"/>
  <c r="O1765" i="21" a="1"/>
  <c r="N1765" i="21"/>
  <c r="V1764" i="21"/>
  <c r="U1764" i="21"/>
  <c r="R1764" i="21"/>
  <c r="P1764" i="21"/>
  <c r="S1764" i="21" s="1"/>
  <c r="O1764" i="21" a="1"/>
  <c r="O1764" i="21" s="1"/>
  <c r="N1764" i="21"/>
  <c r="V1763" i="21"/>
  <c r="U1763" i="21"/>
  <c r="R1763" i="21"/>
  <c r="Q1763" i="21"/>
  <c r="P1763" i="21"/>
  <c r="S1763" i="21" s="1"/>
  <c r="O1763" i="21" a="1"/>
  <c r="O1763" i="21" s="1"/>
  <c r="N1763" i="21"/>
  <c r="V1762" i="21"/>
  <c r="U1762" i="21"/>
  <c r="S1762" i="21"/>
  <c r="R1762" i="21"/>
  <c r="Q1762" i="21"/>
  <c r="P1762" i="21"/>
  <c r="O1762" i="21" a="1"/>
  <c r="O1762" i="21" s="1"/>
  <c r="N1762" i="21"/>
  <c r="V1761" i="21"/>
  <c r="U1761" i="21"/>
  <c r="R1761" i="21"/>
  <c r="Q1761" i="21"/>
  <c r="T1761" i="21" s="1"/>
  <c r="P1761" i="21"/>
  <c r="S1761" i="21" s="1"/>
  <c r="O1761" i="21" a="1"/>
  <c r="O1761" i="21" s="1"/>
  <c r="N1761" i="21"/>
  <c r="V1760" i="21"/>
  <c r="U1760" i="21"/>
  <c r="S1760" i="21"/>
  <c r="R1760" i="21"/>
  <c r="Q1760" i="21"/>
  <c r="P1760" i="21"/>
  <c r="O1760" i="21"/>
  <c r="O1760" i="21" a="1"/>
  <c r="N1760" i="21"/>
  <c r="V1759" i="21"/>
  <c r="U1759" i="21"/>
  <c r="S1759" i="21"/>
  <c r="R1759" i="21"/>
  <c r="P1759" i="21"/>
  <c r="Q1759" i="21" s="1"/>
  <c r="O1759" i="21"/>
  <c r="O1759" i="21" a="1"/>
  <c r="N1759" i="21"/>
  <c r="V1758" i="21"/>
  <c r="U1758" i="21"/>
  <c r="S1758" i="21"/>
  <c r="R1758" i="21"/>
  <c r="P1758" i="21"/>
  <c r="Q1758" i="21" s="1"/>
  <c r="O1758" i="21"/>
  <c r="O1758" i="21" a="1"/>
  <c r="N1758" i="21"/>
  <c r="V1757" i="21"/>
  <c r="U1757" i="21"/>
  <c r="R1757" i="21"/>
  <c r="P1757" i="21"/>
  <c r="O1757" i="21" a="1"/>
  <c r="O1757" i="21" s="1"/>
  <c r="N1757" i="21"/>
  <c r="V1756" i="21"/>
  <c r="U1756" i="21"/>
  <c r="S1756" i="21"/>
  <c r="R1756" i="21"/>
  <c r="Q1756" i="21"/>
  <c r="P1756" i="21"/>
  <c r="O1756" i="21" a="1"/>
  <c r="O1756" i="21" s="1"/>
  <c r="N1756" i="21"/>
  <c r="V1755" i="21"/>
  <c r="U1755" i="21"/>
  <c r="R1755" i="21"/>
  <c r="Q1755" i="21"/>
  <c r="T1755" i="21" s="1"/>
  <c r="P1755" i="21"/>
  <c r="S1755" i="21" s="1"/>
  <c r="O1755" i="21" a="1"/>
  <c r="O1755" i="21" s="1"/>
  <c r="N1755" i="21"/>
  <c r="V1754" i="21"/>
  <c r="U1754" i="21"/>
  <c r="S1754" i="21"/>
  <c r="R1754" i="21"/>
  <c r="Q1754" i="21"/>
  <c r="T1754" i="21" s="1"/>
  <c r="P1754" i="21"/>
  <c r="O1754" i="21" a="1"/>
  <c r="O1754" i="21" s="1"/>
  <c r="N1754" i="21"/>
  <c r="V1753" i="21"/>
  <c r="U1753" i="21"/>
  <c r="R1753" i="21"/>
  <c r="P1753" i="21"/>
  <c r="S1753" i="21" s="1"/>
  <c r="O1753" i="21"/>
  <c r="O1753" i="21" a="1"/>
  <c r="N1753" i="21"/>
  <c r="V1752" i="21"/>
  <c r="U1752" i="21"/>
  <c r="S1752" i="21"/>
  <c r="R1752" i="21"/>
  <c r="Q1752" i="21"/>
  <c r="P1752" i="21"/>
  <c r="O1752" i="21" a="1"/>
  <c r="O1752" i="21" s="1"/>
  <c r="N1752" i="21"/>
  <c r="V1751" i="21"/>
  <c r="U1751" i="21"/>
  <c r="S1751" i="21"/>
  <c r="R1751" i="21"/>
  <c r="P1751" i="21"/>
  <c r="Q1751" i="21" s="1"/>
  <c r="O1751" i="21" a="1"/>
  <c r="O1751" i="21" s="1"/>
  <c r="N1751" i="21"/>
  <c r="V1750" i="21"/>
  <c r="U1750" i="21"/>
  <c r="S1750" i="21"/>
  <c r="R1750" i="21"/>
  <c r="P1750" i="21"/>
  <c r="Q1750" i="21" s="1"/>
  <c r="O1750" i="21" a="1"/>
  <c r="O1750" i="21" s="1"/>
  <c r="N1750" i="21"/>
  <c r="V1749" i="21"/>
  <c r="U1749" i="21"/>
  <c r="R1749" i="21"/>
  <c r="P1749" i="21"/>
  <c r="O1749" i="21"/>
  <c r="O1749" i="21" a="1"/>
  <c r="N1749" i="21"/>
  <c r="V1748" i="21"/>
  <c r="U1748" i="21"/>
  <c r="S1748" i="21"/>
  <c r="R1748" i="21"/>
  <c r="Q1748" i="21"/>
  <c r="T1748" i="21" s="1"/>
  <c r="P1748" i="21"/>
  <c r="O1748" i="21" a="1"/>
  <c r="O1748" i="21" s="1"/>
  <c r="N1748" i="21"/>
  <c r="V1747" i="21"/>
  <c r="U1747" i="21"/>
  <c r="R1747" i="21"/>
  <c r="P1747" i="21"/>
  <c r="S1747" i="21" s="1"/>
  <c r="O1747" i="21" a="1"/>
  <c r="O1747" i="21" s="1"/>
  <c r="N1747" i="21"/>
  <c r="V1746" i="21"/>
  <c r="U1746" i="21"/>
  <c r="R1746" i="21"/>
  <c r="Q1746" i="21"/>
  <c r="T1746" i="21" s="1"/>
  <c r="P1746" i="21"/>
  <c r="S1746" i="21" s="1"/>
  <c r="O1746" i="21" a="1"/>
  <c r="O1746" i="21" s="1"/>
  <c r="N1746" i="21"/>
  <c r="V1745" i="21"/>
  <c r="U1745" i="21"/>
  <c r="R1745" i="21"/>
  <c r="P1745" i="21"/>
  <c r="S1745" i="21" s="1"/>
  <c r="O1745" i="21" a="1"/>
  <c r="O1745" i="21" s="1"/>
  <c r="N1745" i="21"/>
  <c r="V1744" i="21"/>
  <c r="U1744" i="21"/>
  <c r="S1744" i="21"/>
  <c r="R1744" i="21"/>
  <c r="P1744" i="21"/>
  <c r="Q1744" i="21" s="1"/>
  <c r="T1744" i="21" s="1"/>
  <c r="O1744" i="21" a="1"/>
  <c r="O1744" i="21" s="1"/>
  <c r="N1744" i="21"/>
  <c r="V1743" i="21"/>
  <c r="U1743" i="21"/>
  <c r="R1743" i="21"/>
  <c r="P1743" i="21"/>
  <c r="Q1743" i="21" s="1"/>
  <c r="T1743" i="21" s="1"/>
  <c r="O1743" i="21" a="1"/>
  <c r="O1743" i="21" s="1"/>
  <c r="N1743" i="21"/>
  <c r="V1742" i="21"/>
  <c r="U1742" i="21"/>
  <c r="S1742" i="21"/>
  <c r="R1742" i="21"/>
  <c r="P1742" i="21"/>
  <c r="Q1742" i="21" s="1"/>
  <c r="T1742" i="21" s="1"/>
  <c r="O1742" i="21" a="1"/>
  <c r="O1742" i="21" s="1"/>
  <c r="N1742" i="21"/>
  <c r="V1741" i="21"/>
  <c r="U1741" i="21"/>
  <c r="R1741" i="21"/>
  <c r="P1741" i="21"/>
  <c r="O1741" i="21" a="1"/>
  <c r="O1741" i="21" s="1"/>
  <c r="N1741" i="21"/>
  <c r="V1740" i="21"/>
  <c r="U1740" i="21"/>
  <c r="R1740" i="21"/>
  <c r="Q1740" i="21"/>
  <c r="P1740" i="21"/>
  <c r="S1740" i="21" s="1"/>
  <c r="O1740" i="21" a="1"/>
  <c r="O1740" i="21" s="1"/>
  <c r="N1740" i="21"/>
  <c r="V1739" i="21"/>
  <c r="U1739" i="21"/>
  <c r="R1739" i="21"/>
  <c r="Q1739" i="21"/>
  <c r="T1739" i="21" s="1"/>
  <c r="P1739" i="21"/>
  <c r="S1739" i="21" s="1"/>
  <c r="O1739" i="21" a="1"/>
  <c r="O1739" i="21" s="1"/>
  <c r="N1739" i="21"/>
  <c r="V1738" i="21"/>
  <c r="U1738" i="21"/>
  <c r="R1738" i="21"/>
  <c r="P1738" i="21"/>
  <c r="S1738" i="21" s="1"/>
  <c r="O1738" i="21" a="1"/>
  <c r="O1738" i="21" s="1"/>
  <c r="N1738" i="21"/>
  <c r="V1737" i="21"/>
  <c r="U1737" i="21"/>
  <c r="R1737" i="21"/>
  <c r="Q1737" i="21"/>
  <c r="P1737" i="21"/>
  <c r="S1737" i="21" s="1"/>
  <c r="O1737" i="21"/>
  <c r="O1737" i="21" a="1"/>
  <c r="N1737" i="21"/>
  <c r="V1736" i="21"/>
  <c r="U1736" i="21"/>
  <c r="S1736" i="21"/>
  <c r="R1736" i="21"/>
  <c r="P1736" i="21"/>
  <c r="Q1736" i="21" s="1"/>
  <c r="T1736" i="21" s="1"/>
  <c r="O1736" i="21"/>
  <c r="O1736" i="21" a="1"/>
  <c r="N1736" i="21"/>
  <c r="V1735" i="21"/>
  <c r="U1735" i="21"/>
  <c r="S1735" i="21"/>
  <c r="R1735" i="21"/>
  <c r="P1735" i="21"/>
  <c r="Q1735" i="21" s="1"/>
  <c r="O1735" i="21"/>
  <c r="O1735" i="21" a="1"/>
  <c r="N1735" i="21"/>
  <c r="V1734" i="21"/>
  <c r="U1734" i="21"/>
  <c r="S1734" i="21"/>
  <c r="R1734" i="21"/>
  <c r="P1734" i="21"/>
  <c r="Q1734" i="21" s="1"/>
  <c r="T1734" i="21" s="1"/>
  <c r="O1734" i="21"/>
  <c r="O1734" i="21" a="1"/>
  <c r="N1734" i="21"/>
  <c r="V1733" i="21"/>
  <c r="U1733" i="21"/>
  <c r="R1733" i="21"/>
  <c r="P1733" i="21"/>
  <c r="O1733" i="21" a="1"/>
  <c r="O1733" i="21" s="1"/>
  <c r="N1733" i="21"/>
  <c r="V1732" i="21"/>
  <c r="U1732" i="21"/>
  <c r="S1732" i="21"/>
  <c r="R1732" i="21"/>
  <c r="Q1732" i="21"/>
  <c r="T1732" i="21" s="1"/>
  <c r="P1732" i="21"/>
  <c r="O1732" i="21" a="1"/>
  <c r="O1732" i="21" s="1"/>
  <c r="N1732" i="21"/>
  <c r="V1731" i="21"/>
  <c r="U1731" i="21"/>
  <c r="R1731" i="21"/>
  <c r="P1731" i="21"/>
  <c r="S1731" i="21" s="1"/>
  <c r="O1731" i="21" a="1"/>
  <c r="O1731" i="21" s="1"/>
  <c r="N1731" i="21"/>
  <c r="V1730" i="21"/>
  <c r="U1730" i="21"/>
  <c r="R1730" i="21"/>
  <c r="P1730" i="21"/>
  <c r="S1730" i="21" s="1"/>
  <c r="O1730" i="21" a="1"/>
  <c r="O1730" i="21" s="1"/>
  <c r="N1730" i="21"/>
  <c r="V1729" i="21"/>
  <c r="U1729" i="21"/>
  <c r="R1729" i="21"/>
  <c r="Q1729" i="21"/>
  <c r="P1729" i="21"/>
  <c r="S1729" i="21" s="1"/>
  <c r="O1729" i="21"/>
  <c r="O1729" i="21" a="1"/>
  <c r="N1729" i="21"/>
  <c r="V1728" i="21"/>
  <c r="U1728" i="21"/>
  <c r="S1728" i="21"/>
  <c r="R1728" i="21"/>
  <c r="P1728" i="21"/>
  <c r="Q1728" i="21" s="1"/>
  <c r="O1728" i="21"/>
  <c r="O1728" i="21" a="1"/>
  <c r="N1728" i="21"/>
  <c r="V1727" i="21"/>
  <c r="U1727" i="21"/>
  <c r="S1727" i="21"/>
  <c r="R1727" i="21"/>
  <c r="P1727" i="21"/>
  <c r="Q1727" i="21" s="1"/>
  <c r="O1727" i="21"/>
  <c r="O1727" i="21" a="1"/>
  <c r="N1727" i="21"/>
  <c r="V1726" i="21"/>
  <c r="U1726" i="21"/>
  <c r="S1726" i="21"/>
  <c r="R1726" i="21"/>
  <c r="P1726" i="21"/>
  <c r="Q1726" i="21" s="1"/>
  <c r="O1726" i="21"/>
  <c r="O1726" i="21" a="1"/>
  <c r="N1726" i="21"/>
  <c r="V1725" i="21"/>
  <c r="U1725" i="21"/>
  <c r="R1725" i="21"/>
  <c r="P1725" i="21"/>
  <c r="O1725" i="21" a="1"/>
  <c r="O1725" i="21" s="1"/>
  <c r="N1725" i="21"/>
  <c r="V1724" i="21"/>
  <c r="U1724" i="21"/>
  <c r="R1724" i="21"/>
  <c r="Q1724" i="21"/>
  <c r="T1724" i="21" s="1"/>
  <c r="P1724" i="21"/>
  <c r="S1724" i="21" s="1"/>
  <c r="O1724" i="21" a="1"/>
  <c r="O1724" i="21" s="1"/>
  <c r="N1724" i="21"/>
  <c r="V1723" i="21"/>
  <c r="U1723" i="21"/>
  <c r="R1723" i="21"/>
  <c r="Q1723" i="21"/>
  <c r="T1723" i="21" s="1"/>
  <c r="P1723" i="21"/>
  <c r="S1723" i="21" s="1"/>
  <c r="O1723" i="21" a="1"/>
  <c r="O1723" i="21" s="1"/>
  <c r="N1723" i="21"/>
  <c r="V1722" i="21"/>
  <c r="U1722" i="21"/>
  <c r="R1722" i="21"/>
  <c r="P1722" i="21"/>
  <c r="S1722" i="21" s="1"/>
  <c r="O1722" i="21" a="1"/>
  <c r="O1722" i="21" s="1"/>
  <c r="N1722" i="21"/>
  <c r="V1721" i="21"/>
  <c r="U1721" i="21"/>
  <c r="R1721" i="21"/>
  <c r="Q1721" i="21"/>
  <c r="T1721" i="21" s="1"/>
  <c r="P1721" i="21"/>
  <c r="S1721" i="21" s="1"/>
  <c r="O1721" i="21" a="1"/>
  <c r="O1721" i="21" s="1"/>
  <c r="N1721" i="21"/>
  <c r="V1720" i="21"/>
  <c r="U1720" i="21"/>
  <c r="S1720" i="21"/>
  <c r="R1720" i="21"/>
  <c r="P1720" i="21"/>
  <c r="Q1720" i="21" s="1"/>
  <c r="O1720" i="21" a="1"/>
  <c r="O1720" i="21" s="1"/>
  <c r="N1720" i="21"/>
  <c r="V1719" i="21"/>
  <c r="U1719" i="21"/>
  <c r="S1719" i="21"/>
  <c r="R1719" i="21"/>
  <c r="P1719" i="21"/>
  <c r="Q1719" i="21" s="1"/>
  <c r="O1719" i="21" a="1"/>
  <c r="O1719" i="21" s="1"/>
  <c r="N1719" i="21"/>
  <c r="V1718" i="21"/>
  <c r="U1718" i="21"/>
  <c r="S1718" i="21"/>
  <c r="R1718" i="21"/>
  <c r="P1718" i="21"/>
  <c r="Q1718" i="21" s="1"/>
  <c r="O1718" i="21" a="1"/>
  <c r="O1718" i="21" s="1"/>
  <c r="N1718" i="21"/>
  <c r="V1717" i="21"/>
  <c r="U1717" i="21"/>
  <c r="R1717" i="21"/>
  <c r="P1717" i="21"/>
  <c r="O1717" i="21" a="1"/>
  <c r="O1717" i="21" s="1"/>
  <c r="N1717" i="21"/>
  <c r="V1716" i="21"/>
  <c r="U1716" i="21"/>
  <c r="R1716" i="21"/>
  <c r="P1716" i="21"/>
  <c r="S1716" i="21" s="1"/>
  <c r="O1716" i="21" a="1"/>
  <c r="O1716" i="21" s="1"/>
  <c r="N1716" i="21"/>
  <c r="V1715" i="21"/>
  <c r="U1715" i="21"/>
  <c r="R1715" i="21"/>
  <c r="P1715" i="21"/>
  <c r="S1715" i="21" s="1"/>
  <c r="O1715" i="21" a="1"/>
  <c r="O1715" i="21" s="1"/>
  <c r="N1715" i="21"/>
  <c r="V1714" i="21"/>
  <c r="U1714" i="21"/>
  <c r="R1714" i="21"/>
  <c r="Q1714" i="21"/>
  <c r="T1714" i="21" s="1"/>
  <c r="P1714" i="21"/>
  <c r="S1714" i="21" s="1"/>
  <c r="O1714" i="21" a="1"/>
  <c r="O1714" i="21" s="1"/>
  <c r="N1714" i="21"/>
  <c r="V1713" i="21"/>
  <c r="U1713" i="21"/>
  <c r="R1713" i="21"/>
  <c r="P1713" i="21"/>
  <c r="S1713" i="21" s="1"/>
  <c r="O1713" i="21" a="1"/>
  <c r="O1713" i="21" s="1"/>
  <c r="N1713" i="21"/>
  <c r="V1712" i="21"/>
  <c r="U1712" i="21"/>
  <c r="S1712" i="21"/>
  <c r="R1712" i="21"/>
  <c r="P1712" i="21"/>
  <c r="Q1712" i="21" s="1"/>
  <c r="O1712" i="21" a="1"/>
  <c r="O1712" i="21" s="1"/>
  <c r="N1712" i="21"/>
  <c r="V1711" i="21"/>
  <c r="U1711" i="21"/>
  <c r="R1711" i="21"/>
  <c r="P1711" i="21"/>
  <c r="Q1711" i="21" s="1"/>
  <c r="T1711" i="21" s="1"/>
  <c r="O1711" i="21" a="1"/>
  <c r="O1711" i="21" s="1"/>
  <c r="N1711" i="21"/>
  <c r="V1710" i="21"/>
  <c r="U1710" i="21"/>
  <c r="S1710" i="21"/>
  <c r="R1710" i="21"/>
  <c r="P1710" i="21"/>
  <c r="Q1710" i="21" s="1"/>
  <c r="T1710" i="21" s="1"/>
  <c r="O1710" i="21" a="1"/>
  <c r="O1710" i="21" s="1"/>
  <c r="N1710" i="21"/>
  <c r="V1709" i="21"/>
  <c r="U1709" i="21"/>
  <c r="R1709" i="21"/>
  <c r="P1709" i="21"/>
  <c r="O1709" i="21" a="1"/>
  <c r="O1709" i="21" s="1"/>
  <c r="N1709" i="21"/>
  <c r="V1708" i="21"/>
  <c r="U1708" i="21"/>
  <c r="R1708" i="21"/>
  <c r="Q1708" i="21"/>
  <c r="P1708" i="21"/>
  <c r="S1708" i="21" s="1"/>
  <c r="O1708" i="21" a="1"/>
  <c r="O1708" i="21" s="1"/>
  <c r="N1708" i="21"/>
  <c r="V1707" i="21"/>
  <c r="U1707" i="21"/>
  <c r="R1707" i="21"/>
  <c r="Q1707" i="21"/>
  <c r="T1707" i="21" s="1"/>
  <c r="P1707" i="21"/>
  <c r="S1707" i="21" s="1"/>
  <c r="O1707" i="21" a="1"/>
  <c r="O1707" i="21" s="1"/>
  <c r="N1707" i="21"/>
  <c r="V1706" i="21"/>
  <c r="U1706" i="21"/>
  <c r="R1706" i="21"/>
  <c r="P1706" i="21"/>
  <c r="S1706" i="21" s="1"/>
  <c r="O1706" i="21" a="1"/>
  <c r="O1706" i="21" s="1"/>
  <c r="N1706" i="21"/>
  <c r="V1705" i="21"/>
  <c r="U1705" i="21"/>
  <c r="R1705" i="21"/>
  <c r="Q1705" i="21"/>
  <c r="P1705" i="21"/>
  <c r="S1705" i="21" s="1"/>
  <c r="O1705" i="21"/>
  <c r="O1705" i="21" a="1"/>
  <c r="N1705" i="21"/>
  <c r="V1704" i="21"/>
  <c r="U1704" i="21"/>
  <c r="S1704" i="21"/>
  <c r="R1704" i="21"/>
  <c r="P1704" i="21"/>
  <c r="Q1704" i="21" s="1"/>
  <c r="O1704" i="21"/>
  <c r="O1704" i="21" a="1"/>
  <c r="N1704" i="21"/>
  <c r="V1703" i="21"/>
  <c r="U1703" i="21"/>
  <c r="S1703" i="21"/>
  <c r="R1703" i="21"/>
  <c r="P1703" i="21"/>
  <c r="Q1703" i="21" s="1"/>
  <c r="O1703" i="21" a="1"/>
  <c r="O1703" i="21" s="1"/>
  <c r="N1703" i="21"/>
  <c r="V1702" i="21"/>
  <c r="U1702" i="21"/>
  <c r="R1702" i="21"/>
  <c r="P1702" i="21"/>
  <c r="Q1702" i="21" s="1"/>
  <c r="O1702" i="21" a="1"/>
  <c r="O1702" i="21" s="1"/>
  <c r="N1702" i="21"/>
  <c r="V1701" i="21"/>
  <c r="U1701" i="21"/>
  <c r="R1701" i="21"/>
  <c r="P1701" i="21"/>
  <c r="O1701" i="21" a="1"/>
  <c r="O1701" i="21" s="1"/>
  <c r="N1701" i="21"/>
  <c r="V1700" i="21"/>
  <c r="U1700" i="21"/>
  <c r="S1700" i="21"/>
  <c r="R1700" i="21"/>
  <c r="P1700" i="21"/>
  <c r="Q1700" i="21" s="1"/>
  <c r="T1700" i="21" s="1"/>
  <c r="O1700" i="21" a="1"/>
  <c r="O1700" i="21" s="1"/>
  <c r="N1700" i="21"/>
  <c r="V1699" i="21"/>
  <c r="U1699" i="21"/>
  <c r="R1699" i="21"/>
  <c r="Q1699" i="21"/>
  <c r="T1699" i="21" s="1"/>
  <c r="P1699" i="21"/>
  <c r="S1699" i="21" s="1"/>
  <c r="O1699" i="21" a="1"/>
  <c r="O1699" i="21" s="1"/>
  <c r="N1699" i="21"/>
  <c r="V1698" i="21"/>
  <c r="U1698" i="21"/>
  <c r="R1698" i="21"/>
  <c r="P1698" i="21"/>
  <c r="S1698" i="21" s="1"/>
  <c r="O1698" i="21" a="1"/>
  <c r="O1698" i="21" s="1"/>
  <c r="N1698" i="21"/>
  <c r="V1697" i="21"/>
  <c r="U1697" i="21"/>
  <c r="R1697" i="21"/>
  <c r="Q1697" i="21"/>
  <c r="T1697" i="21" s="1"/>
  <c r="P1697" i="21"/>
  <c r="S1697" i="21" s="1"/>
  <c r="O1697" i="21" a="1"/>
  <c r="O1697" i="21" s="1"/>
  <c r="N1697" i="21"/>
  <c r="V1696" i="21"/>
  <c r="U1696" i="21"/>
  <c r="R1696" i="21"/>
  <c r="P1696" i="21"/>
  <c r="Q1696" i="21" s="1"/>
  <c r="O1696" i="21" a="1"/>
  <c r="O1696" i="21" s="1"/>
  <c r="N1696" i="21"/>
  <c r="V1695" i="21"/>
  <c r="U1695" i="21"/>
  <c r="R1695" i="21"/>
  <c r="P1695" i="21"/>
  <c r="Q1695" i="21" s="1"/>
  <c r="O1695" i="21" a="1"/>
  <c r="O1695" i="21" s="1"/>
  <c r="N1695" i="21"/>
  <c r="V1694" i="21"/>
  <c r="U1694" i="21"/>
  <c r="R1694" i="21"/>
  <c r="P1694" i="21"/>
  <c r="Q1694" i="21" s="1"/>
  <c r="T1694" i="21" s="1"/>
  <c r="O1694" i="21"/>
  <c r="O1694" i="21" a="1"/>
  <c r="N1694" i="21"/>
  <c r="V1693" i="21"/>
  <c r="U1693" i="21"/>
  <c r="R1693" i="21"/>
  <c r="P1693" i="21"/>
  <c r="O1693" i="21" a="1"/>
  <c r="O1693" i="21" s="1"/>
  <c r="N1693" i="21"/>
  <c r="V1692" i="21"/>
  <c r="U1692" i="21"/>
  <c r="S1692" i="21"/>
  <c r="R1692" i="21"/>
  <c r="Q1692" i="21"/>
  <c r="P1692" i="21"/>
  <c r="O1692" i="21" a="1"/>
  <c r="O1692" i="21" s="1"/>
  <c r="N1692" i="21"/>
  <c r="V1691" i="21"/>
  <c r="U1691" i="21"/>
  <c r="R1691" i="21"/>
  <c r="P1691" i="21"/>
  <c r="S1691" i="21" s="1"/>
  <c r="O1691" i="21" a="1"/>
  <c r="O1691" i="21" s="1"/>
  <c r="N1691" i="21"/>
  <c r="V1690" i="21"/>
  <c r="U1690" i="21"/>
  <c r="R1690" i="21"/>
  <c r="P1690" i="21"/>
  <c r="S1690" i="21" s="1"/>
  <c r="O1690" i="21" a="1"/>
  <c r="O1690" i="21" s="1"/>
  <c r="N1690" i="21"/>
  <c r="V1689" i="21"/>
  <c r="U1689" i="21"/>
  <c r="R1689" i="21"/>
  <c r="P1689" i="21"/>
  <c r="S1689" i="21" s="1"/>
  <c r="O1689" i="21" a="1"/>
  <c r="O1689" i="21" s="1"/>
  <c r="N1689" i="21"/>
  <c r="V1688" i="21"/>
  <c r="U1688" i="21"/>
  <c r="S1688" i="21"/>
  <c r="R1688" i="21"/>
  <c r="P1688" i="21"/>
  <c r="Q1688" i="21" s="1"/>
  <c r="O1688" i="21" a="1"/>
  <c r="O1688" i="21" s="1"/>
  <c r="N1688" i="21"/>
  <c r="V1687" i="21"/>
  <c r="U1687" i="21"/>
  <c r="R1687" i="21"/>
  <c r="P1687" i="21"/>
  <c r="Q1687" i="21" s="1"/>
  <c r="T1687" i="21" s="1"/>
  <c r="O1687" i="21" a="1"/>
  <c r="O1687" i="21" s="1"/>
  <c r="N1687" i="21"/>
  <c r="V1686" i="21"/>
  <c r="U1686" i="21"/>
  <c r="S1686" i="21"/>
  <c r="R1686" i="21"/>
  <c r="P1686" i="21"/>
  <c r="Q1686" i="21" s="1"/>
  <c r="O1686" i="21"/>
  <c r="O1686" i="21" a="1"/>
  <c r="N1686" i="21"/>
  <c r="V1685" i="21"/>
  <c r="U1685" i="21"/>
  <c r="R1685" i="21"/>
  <c r="P1685" i="21"/>
  <c r="O1685" i="21" a="1"/>
  <c r="O1685" i="21" s="1"/>
  <c r="N1685" i="21"/>
  <c r="V1684" i="21"/>
  <c r="U1684" i="21"/>
  <c r="R1684" i="21"/>
  <c r="Q1684" i="21"/>
  <c r="T1684" i="21" s="1"/>
  <c r="P1684" i="21"/>
  <c r="S1684" i="21" s="1"/>
  <c r="O1684" i="21" a="1"/>
  <c r="O1684" i="21" s="1"/>
  <c r="N1684" i="21"/>
  <c r="V1683" i="21"/>
  <c r="U1683" i="21"/>
  <c r="R1683" i="21"/>
  <c r="P1683" i="21"/>
  <c r="S1683" i="21" s="1"/>
  <c r="O1683" i="21" a="1"/>
  <c r="O1683" i="21" s="1"/>
  <c r="N1683" i="21"/>
  <c r="V1682" i="21"/>
  <c r="U1682" i="21"/>
  <c r="R1682" i="21"/>
  <c r="P1682" i="21"/>
  <c r="S1682" i="21" s="1"/>
  <c r="O1682" i="21" a="1"/>
  <c r="O1682" i="21" s="1"/>
  <c r="N1682" i="21"/>
  <c r="V1681" i="21"/>
  <c r="U1681" i="21"/>
  <c r="R1681" i="21"/>
  <c r="P1681" i="21"/>
  <c r="S1681" i="21" s="1"/>
  <c r="O1681" i="21"/>
  <c r="O1681" i="21" a="1"/>
  <c r="N1681" i="21"/>
  <c r="V1680" i="21"/>
  <c r="U1680" i="21"/>
  <c r="S1680" i="21"/>
  <c r="R1680" i="21"/>
  <c r="P1680" i="21"/>
  <c r="Q1680" i="21" s="1"/>
  <c r="O1680" i="21" a="1"/>
  <c r="O1680" i="21" s="1"/>
  <c r="N1680" i="21"/>
  <c r="V1679" i="21"/>
  <c r="U1679" i="21"/>
  <c r="S1679" i="21"/>
  <c r="R1679" i="21"/>
  <c r="P1679" i="21"/>
  <c r="Q1679" i="21" s="1"/>
  <c r="T1679" i="21" s="1"/>
  <c r="O1679" i="21" a="1"/>
  <c r="O1679" i="21" s="1"/>
  <c r="N1679" i="21"/>
  <c r="V1678" i="21"/>
  <c r="U1678" i="21"/>
  <c r="S1678" i="21"/>
  <c r="R1678" i="21"/>
  <c r="P1678" i="21"/>
  <c r="Q1678" i="21" s="1"/>
  <c r="O1678" i="21" a="1"/>
  <c r="O1678" i="21" s="1"/>
  <c r="N1678" i="21"/>
  <c r="V1677" i="21"/>
  <c r="U1677" i="21"/>
  <c r="R1677" i="21"/>
  <c r="P1677" i="21"/>
  <c r="O1677" i="21" a="1"/>
  <c r="O1677" i="21" s="1"/>
  <c r="N1677" i="21"/>
  <c r="V1676" i="21"/>
  <c r="U1676" i="21"/>
  <c r="R1676" i="21"/>
  <c r="P1676" i="21"/>
  <c r="S1676" i="21" s="1"/>
  <c r="O1676" i="21" a="1"/>
  <c r="O1676" i="21" s="1"/>
  <c r="N1676" i="21"/>
  <c r="V1675" i="21"/>
  <c r="U1675" i="21"/>
  <c r="R1675" i="21"/>
  <c r="Q1675" i="21"/>
  <c r="P1675" i="21"/>
  <c r="S1675" i="21" s="1"/>
  <c r="O1675" i="21" a="1"/>
  <c r="O1675" i="21" s="1"/>
  <c r="N1675" i="21"/>
  <c r="V1674" i="21"/>
  <c r="U1674" i="21"/>
  <c r="R1674" i="21"/>
  <c r="P1674" i="21"/>
  <c r="S1674" i="21" s="1"/>
  <c r="O1674" i="21" a="1"/>
  <c r="O1674" i="21" s="1"/>
  <c r="N1674" i="21"/>
  <c r="V1673" i="21"/>
  <c r="U1673" i="21"/>
  <c r="R1673" i="21"/>
  <c r="Q1673" i="21"/>
  <c r="T1673" i="21" s="1"/>
  <c r="P1673" i="21"/>
  <c r="S1673" i="21" s="1"/>
  <c r="O1673" i="21"/>
  <c r="O1673" i="21" a="1"/>
  <c r="N1673" i="21"/>
  <c r="V1672" i="21"/>
  <c r="U1672" i="21"/>
  <c r="S1672" i="21"/>
  <c r="R1672" i="21"/>
  <c r="P1672" i="21"/>
  <c r="Q1672" i="21" s="1"/>
  <c r="O1672" i="21"/>
  <c r="O1672" i="21" a="1"/>
  <c r="N1672" i="21"/>
  <c r="V1671" i="21"/>
  <c r="U1671" i="21"/>
  <c r="R1671" i="21"/>
  <c r="P1671" i="21"/>
  <c r="Q1671" i="21" s="1"/>
  <c r="T1671" i="21" s="1"/>
  <c r="O1671" i="21" a="1"/>
  <c r="O1671" i="21" s="1"/>
  <c r="N1671" i="21"/>
  <c r="V1670" i="21"/>
  <c r="U1670" i="21"/>
  <c r="S1670" i="21"/>
  <c r="R1670" i="21"/>
  <c r="P1670" i="21"/>
  <c r="Q1670" i="21" s="1"/>
  <c r="O1670" i="21" a="1"/>
  <c r="O1670" i="21" s="1"/>
  <c r="N1670" i="21"/>
  <c r="V1669" i="21"/>
  <c r="U1669" i="21"/>
  <c r="R1669" i="21"/>
  <c r="P1669" i="21"/>
  <c r="O1669" i="21" a="1"/>
  <c r="O1669" i="21" s="1"/>
  <c r="N1669" i="21"/>
  <c r="V1668" i="21"/>
  <c r="U1668" i="21"/>
  <c r="R1668" i="21"/>
  <c r="P1668" i="21"/>
  <c r="S1668" i="21" s="1"/>
  <c r="O1668" i="21" a="1"/>
  <c r="O1668" i="21" s="1"/>
  <c r="N1668" i="21"/>
  <c r="V1667" i="21"/>
  <c r="U1667" i="21"/>
  <c r="R1667" i="21"/>
  <c r="Q1667" i="21"/>
  <c r="T1667" i="21" s="1"/>
  <c r="P1667" i="21"/>
  <c r="S1667" i="21" s="1"/>
  <c r="O1667" i="21" a="1"/>
  <c r="O1667" i="21" s="1"/>
  <c r="N1667" i="21"/>
  <c r="V1666" i="21"/>
  <c r="U1666" i="21"/>
  <c r="R1666" i="21"/>
  <c r="P1666" i="21"/>
  <c r="S1666" i="21" s="1"/>
  <c r="O1666" i="21"/>
  <c r="O1666" i="21" a="1"/>
  <c r="N1666" i="21"/>
  <c r="V1665" i="21"/>
  <c r="U1665" i="21"/>
  <c r="R1665" i="21"/>
  <c r="Q1665" i="21"/>
  <c r="P1665" i="21"/>
  <c r="S1665" i="21" s="1"/>
  <c r="O1665" i="21"/>
  <c r="O1665" i="21" a="1"/>
  <c r="N1665" i="21"/>
  <c r="V1664" i="21"/>
  <c r="U1664" i="21"/>
  <c r="S1664" i="21"/>
  <c r="R1664" i="21"/>
  <c r="P1664" i="21"/>
  <c r="Q1664" i="21" s="1"/>
  <c r="O1664" i="21"/>
  <c r="O1664" i="21" a="1"/>
  <c r="N1664" i="21"/>
  <c r="V1663" i="21"/>
  <c r="U1663" i="21"/>
  <c r="S1663" i="21"/>
  <c r="R1663" i="21"/>
  <c r="P1663" i="21"/>
  <c r="Q1663" i="21" s="1"/>
  <c r="O1663" i="21" a="1"/>
  <c r="O1663" i="21" s="1"/>
  <c r="N1663" i="21"/>
  <c r="V1662" i="21"/>
  <c r="U1662" i="21"/>
  <c r="R1662" i="21"/>
  <c r="P1662" i="21"/>
  <c r="Q1662" i="21" s="1"/>
  <c r="O1662" i="21" a="1"/>
  <c r="O1662" i="21" s="1"/>
  <c r="N1662" i="21"/>
  <c r="V1661" i="21"/>
  <c r="U1661" i="21"/>
  <c r="R1661" i="21"/>
  <c r="Q1661" i="21"/>
  <c r="T1661" i="21" s="1"/>
  <c r="P1661" i="21"/>
  <c r="S1661" i="21" s="1"/>
  <c r="O1661" i="21" a="1"/>
  <c r="O1661" i="21" s="1"/>
  <c r="N1661" i="21"/>
  <c r="V1660" i="21"/>
  <c r="U1660" i="21"/>
  <c r="R1660" i="21"/>
  <c r="Q1660" i="21"/>
  <c r="T1660" i="21" s="1"/>
  <c r="P1660" i="21"/>
  <c r="S1660" i="21" s="1"/>
  <c r="O1660" i="21" a="1"/>
  <c r="O1660" i="21" s="1"/>
  <c r="N1660" i="21"/>
  <c r="V1659" i="21"/>
  <c r="U1659" i="21"/>
  <c r="R1659" i="21"/>
  <c r="P1659" i="21"/>
  <c r="S1659" i="21" s="1"/>
  <c r="O1659" i="21" a="1"/>
  <c r="O1659" i="21" s="1"/>
  <c r="N1659" i="21"/>
  <c r="V1658" i="21"/>
  <c r="U1658" i="21"/>
  <c r="R1658" i="21"/>
  <c r="P1658" i="21"/>
  <c r="S1658" i="21" s="1"/>
  <c r="O1658" i="21" a="1"/>
  <c r="O1658" i="21" s="1"/>
  <c r="N1658" i="21"/>
  <c r="V1657" i="21"/>
  <c r="U1657" i="21"/>
  <c r="R1657" i="21"/>
  <c r="Q1657" i="21"/>
  <c r="T1657" i="21" s="1"/>
  <c r="P1657" i="21"/>
  <c r="S1657" i="21" s="1"/>
  <c r="O1657" i="21" a="1"/>
  <c r="O1657" i="21" s="1"/>
  <c r="N1657" i="21"/>
  <c r="V1656" i="21"/>
  <c r="U1656" i="21"/>
  <c r="R1656" i="21"/>
  <c r="P1656" i="21"/>
  <c r="Q1656" i="21" s="1"/>
  <c r="T1656" i="21" s="1"/>
  <c r="O1656" i="21" a="1"/>
  <c r="O1656" i="21" s="1"/>
  <c r="N1656" i="21"/>
  <c r="V1655" i="21"/>
  <c r="U1655" i="21"/>
  <c r="R1655" i="21"/>
  <c r="P1655" i="21"/>
  <c r="Q1655" i="21" s="1"/>
  <c r="T1655" i="21" s="1"/>
  <c r="O1655" i="21" a="1"/>
  <c r="O1655" i="21" s="1"/>
  <c r="N1655" i="21"/>
  <c r="V1654" i="21"/>
  <c r="U1654" i="21"/>
  <c r="S1654" i="21"/>
  <c r="R1654" i="21"/>
  <c r="P1654" i="21"/>
  <c r="Q1654" i="21" s="1"/>
  <c r="O1654" i="21" a="1"/>
  <c r="O1654" i="21" s="1"/>
  <c r="N1654" i="21"/>
  <c r="V1653" i="21"/>
  <c r="U1653" i="21"/>
  <c r="R1653" i="21"/>
  <c r="P1653" i="21"/>
  <c r="S1653" i="21" s="1"/>
  <c r="O1653" i="21" a="1"/>
  <c r="O1653" i="21" s="1"/>
  <c r="N1653" i="21"/>
  <c r="V1652" i="21"/>
  <c r="U1652" i="21"/>
  <c r="R1652" i="21"/>
  <c r="P1652" i="21"/>
  <c r="S1652" i="21" s="1"/>
  <c r="O1652" i="21" a="1"/>
  <c r="O1652" i="21" s="1"/>
  <c r="N1652" i="21"/>
  <c r="V1651" i="21"/>
  <c r="U1651" i="21"/>
  <c r="R1651" i="21"/>
  <c r="P1651" i="21"/>
  <c r="S1651" i="21" s="1"/>
  <c r="O1651" i="21" a="1"/>
  <c r="O1651" i="21" s="1"/>
  <c r="N1651" i="21"/>
  <c r="V1650" i="21"/>
  <c r="U1650" i="21"/>
  <c r="R1650" i="21"/>
  <c r="P1650" i="21"/>
  <c r="S1650" i="21" s="1"/>
  <c r="O1650" i="21" a="1"/>
  <c r="O1650" i="21" s="1"/>
  <c r="N1650" i="21"/>
  <c r="V1649" i="21"/>
  <c r="U1649" i="21"/>
  <c r="R1649" i="21"/>
  <c r="Q1649" i="21"/>
  <c r="T1649" i="21" s="1"/>
  <c r="P1649" i="21"/>
  <c r="S1649" i="21" s="1"/>
  <c r="O1649" i="21"/>
  <c r="O1649" i="21" a="1"/>
  <c r="N1649" i="21"/>
  <c r="V1648" i="21"/>
  <c r="U1648" i="21"/>
  <c r="S1648" i="21"/>
  <c r="R1648" i="21"/>
  <c r="P1648" i="21"/>
  <c r="Q1648" i="21" s="1"/>
  <c r="O1648" i="21"/>
  <c r="O1648" i="21" a="1"/>
  <c r="N1648" i="21"/>
  <c r="V1647" i="21"/>
  <c r="U1647" i="21"/>
  <c r="R1647" i="21"/>
  <c r="P1647" i="21"/>
  <c r="Q1647" i="21" s="1"/>
  <c r="O1647" i="21" a="1"/>
  <c r="O1647" i="21" s="1"/>
  <c r="N1647" i="21"/>
  <c r="V1646" i="21"/>
  <c r="U1646" i="21"/>
  <c r="S1646" i="21"/>
  <c r="R1646" i="21"/>
  <c r="P1646" i="21"/>
  <c r="Q1646" i="21" s="1"/>
  <c r="O1646" i="21" a="1"/>
  <c r="O1646" i="21" s="1"/>
  <c r="N1646" i="21"/>
  <c r="V1645" i="21"/>
  <c r="U1645" i="21"/>
  <c r="R1645" i="21"/>
  <c r="P1645" i="21"/>
  <c r="S1645" i="21" s="1"/>
  <c r="O1645" i="21" a="1"/>
  <c r="O1645" i="21" s="1"/>
  <c r="N1645" i="21"/>
  <c r="V1644" i="21"/>
  <c r="U1644" i="21"/>
  <c r="R1644" i="21"/>
  <c r="P1644" i="21"/>
  <c r="S1644" i="21" s="1"/>
  <c r="O1644" i="21" a="1"/>
  <c r="O1644" i="21" s="1"/>
  <c r="N1644" i="21"/>
  <c r="V1643" i="21"/>
  <c r="U1643" i="21"/>
  <c r="R1643" i="21"/>
  <c r="P1643" i="21"/>
  <c r="S1643" i="21" s="1"/>
  <c r="O1643" i="21" a="1"/>
  <c r="O1643" i="21" s="1"/>
  <c r="N1643" i="21"/>
  <c r="V1642" i="21"/>
  <c r="U1642" i="21"/>
  <c r="R1642" i="21"/>
  <c r="P1642" i="21"/>
  <c r="S1642" i="21" s="1"/>
  <c r="O1642" i="21" a="1"/>
  <c r="O1642" i="21" s="1"/>
  <c r="N1642" i="21"/>
  <c r="V1641" i="21"/>
  <c r="U1641" i="21"/>
  <c r="R1641" i="21"/>
  <c r="Q1641" i="21"/>
  <c r="T1641" i="21" s="1"/>
  <c r="P1641" i="21"/>
  <c r="S1641" i="21" s="1"/>
  <c r="O1641" i="21" a="1"/>
  <c r="O1641" i="21" s="1"/>
  <c r="N1641" i="21"/>
  <c r="V1640" i="21"/>
  <c r="U1640" i="21"/>
  <c r="R1640" i="21"/>
  <c r="P1640" i="21"/>
  <c r="Q1640" i="21" s="1"/>
  <c r="O1640" i="21" a="1"/>
  <c r="O1640" i="21" s="1"/>
  <c r="N1640" i="21"/>
  <c r="V1639" i="21"/>
  <c r="U1639" i="21"/>
  <c r="R1639" i="21"/>
  <c r="P1639" i="21"/>
  <c r="Q1639" i="21" s="1"/>
  <c r="T1639" i="21" s="1"/>
  <c r="O1639" i="21" a="1"/>
  <c r="O1639" i="21" s="1"/>
  <c r="N1639" i="21"/>
  <c r="V1638" i="21"/>
  <c r="U1638" i="21"/>
  <c r="R1638" i="21"/>
  <c r="P1638" i="21"/>
  <c r="Q1638" i="21" s="1"/>
  <c r="O1638" i="21"/>
  <c r="O1638" i="21" a="1"/>
  <c r="N1638" i="21"/>
  <c r="V1637" i="21"/>
  <c r="U1637" i="21"/>
  <c r="R1637" i="21"/>
  <c r="Q1637" i="21"/>
  <c r="P1637" i="21"/>
  <c r="S1637" i="21" s="1"/>
  <c r="O1637" i="21" a="1"/>
  <c r="O1637" i="21" s="1"/>
  <c r="N1637" i="21"/>
  <c r="V1636" i="21"/>
  <c r="U1636" i="21"/>
  <c r="S1636" i="21"/>
  <c r="R1636" i="21"/>
  <c r="Q1636" i="21"/>
  <c r="T1636" i="21" s="1"/>
  <c r="P1636" i="21"/>
  <c r="O1636" i="21" a="1"/>
  <c r="O1636" i="21" s="1"/>
  <c r="N1636" i="21"/>
  <c r="V1635" i="21"/>
  <c r="U1635" i="21"/>
  <c r="R1635" i="21"/>
  <c r="Q1635" i="21"/>
  <c r="T1635" i="21" s="1"/>
  <c r="P1635" i="21"/>
  <c r="S1635" i="21" s="1"/>
  <c r="O1635" i="21" a="1"/>
  <c r="O1635" i="21" s="1"/>
  <c r="N1635" i="21"/>
  <c r="V1634" i="21"/>
  <c r="U1634" i="21"/>
  <c r="R1634" i="21"/>
  <c r="P1634" i="21"/>
  <c r="S1634" i="21" s="1"/>
  <c r="O1634" i="21" a="1"/>
  <c r="O1634" i="21" s="1"/>
  <c r="N1634" i="21"/>
  <c r="V1633" i="21"/>
  <c r="U1633" i="21"/>
  <c r="R1633" i="21"/>
  <c r="P1633" i="21"/>
  <c r="S1633" i="21" s="1"/>
  <c r="O1633" i="21" a="1"/>
  <c r="O1633" i="21" s="1"/>
  <c r="N1633" i="21"/>
  <c r="V1632" i="21"/>
  <c r="U1632" i="21"/>
  <c r="R1632" i="21"/>
  <c r="P1632" i="21"/>
  <c r="Q1632" i="21" s="1"/>
  <c r="O1632" i="21"/>
  <c r="O1632" i="21" a="1"/>
  <c r="N1632" i="21"/>
  <c r="V1631" i="21"/>
  <c r="U1631" i="21"/>
  <c r="R1631" i="21"/>
  <c r="P1631" i="21"/>
  <c r="Q1631" i="21" s="1"/>
  <c r="O1631" i="21" a="1"/>
  <c r="O1631" i="21" s="1"/>
  <c r="N1631" i="21"/>
  <c r="V1630" i="21"/>
  <c r="U1630" i="21"/>
  <c r="R1630" i="21"/>
  <c r="P1630" i="21"/>
  <c r="Q1630" i="21" s="1"/>
  <c r="O1630" i="21" a="1"/>
  <c r="O1630" i="21" s="1"/>
  <c r="N1630" i="21"/>
  <c r="V1629" i="21"/>
  <c r="U1629" i="21"/>
  <c r="R1629" i="21"/>
  <c r="P1629" i="21"/>
  <c r="S1629" i="21" s="1"/>
  <c r="O1629" i="21" a="1"/>
  <c r="O1629" i="21" s="1"/>
  <c r="N1629" i="21"/>
  <c r="V1628" i="21"/>
  <c r="U1628" i="21"/>
  <c r="R1628" i="21"/>
  <c r="P1628" i="21"/>
  <c r="S1628" i="21" s="1"/>
  <c r="O1628" i="21" a="1"/>
  <c r="O1628" i="21" s="1"/>
  <c r="N1628" i="21"/>
  <c r="V1627" i="21"/>
  <c r="U1627" i="21"/>
  <c r="R1627" i="21"/>
  <c r="P1627" i="21"/>
  <c r="S1627" i="21" s="1"/>
  <c r="O1627" i="21" a="1"/>
  <c r="O1627" i="21" s="1"/>
  <c r="N1627" i="21"/>
  <c r="V1626" i="21"/>
  <c r="U1626" i="21"/>
  <c r="R1626" i="21"/>
  <c r="P1626" i="21"/>
  <c r="S1626" i="21" s="1"/>
  <c r="O1626" i="21"/>
  <c r="O1626" i="21" a="1"/>
  <c r="N1626" i="21"/>
  <c r="V1625" i="21"/>
  <c r="U1625" i="21"/>
  <c r="R1625" i="21"/>
  <c r="Q1625" i="21"/>
  <c r="T1625" i="21" s="1"/>
  <c r="P1625" i="21"/>
  <c r="S1625" i="21" s="1"/>
  <c r="O1625" i="21"/>
  <c r="O1625" i="21" a="1"/>
  <c r="N1625" i="21"/>
  <c r="V1624" i="21"/>
  <c r="U1624" i="21"/>
  <c r="R1624" i="21"/>
  <c r="P1624" i="21"/>
  <c r="Q1624" i="21" s="1"/>
  <c r="O1624" i="21" a="1"/>
  <c r="O1624" i="21" s="1"/>
  <c r="N1624" i="21"/>
  <c r="V1623" i="21"/>
  <c r="U1623" i="21"/>
  <c r="R1623" i="21"/>
  <c r="P1623" i="21"/>
  <c r="Q1623" i="21" s="1"/>
  <c r="O1623" i="21" a="1"/>
  <c r="O1623" i="21" s="1"/>
  <c r="N1623" i="21"/>
  <c r="V1622" i="21"/>
  <c r="U1622" i="21"/>
  <c r="R1622" i="21"/>
  <c r="T1622" i="21" s="1"/>
  <c r="P1622" i="21"/>
  <c r="Q1622" i="21" s="1"/>
  <c r="O1622" i="21" a="1"/>
  <c r="O1622" i="21" s="1"/>
  <c r="N1622" i="21"/>
  <c r="V1621" i="21"/>
  <c r="U1621" i="21"/>
  <c r="R1621" i="21"/>
  <c r="P1621" i="21"/>
  <c r="S1621" i="21" s="1"/>
  <c r="O1621" i="21" a="1"/>
  <c r="O1621" i="21" s="1"/>
  <c r="N1621" i="21"/>
  <c r="V1620" i="21"/>
  <c r="U1620" i="21"/>
  <c r="R1620" i="21"/>
  <c r="P1620" i="21"/>
  <c r="S1620" i="21" s="1"/>
  <c r="O1620" i="21" a="1"/>
  <c r="O1620" i="21" s="1"/>
  <c r="N1620" i="21"/>
  <c r="V1619" i="21"/>
  <c r="U1619" i="21"/>
  <c r="R1619" i="21"/>
  <c r="P1619" i="21"/>
  <c r="S1619" i="21" s="1"/>
  <c r="O1619" i="21" a="1"/>
  <c r="O1619" i="21" s="1"/>
  <c r="N1619" i="21"/>
  <c r="V1618" i="21"/>
  <c r="U1618" i="21"/>
  <c r="R1618" i="21"/>
  <c r="P1618" i="21"/>
  <c r="O1618" i="21" a="1"/>
  <c r="O1618" i="21" s="1"/>
  <c r="N1618" i="21"/>
  <c r="V1617" i="21"/>
  <c r="U1617" i="21"/>
  <c r="R1617" i="21"/>
  <c r="P1617" i="21"/>
  <c r="S1617" i="21" s="1"/>
  <c r="O1617" i="21"/>
  <c r="O1617" i="21" a="1"/>
  <c r="N1617" i="21"/>
  <c r="V1616" i="21"/>
  <c r="U1616" i="21"/>
  <c r="S1616" i="21"/>
  <c r="R1616" i="21"/>
  <c r="T1616" i="21" s="1"/>
  <c r="P1616" i="21"/>
  <c r="Q1616" i="21" s="1"/>
  <c r="O1616" i="21"/>
  <c r="O1616" i="21" a="1"/>
  <c r="N1616" i="21"/>
  <c r="V1615" i="21"/>
  <c r="U1615" i="21"/>
  <c r="R1615" i="21"/>
  <c r="P1615" i="21"/>
  <c r="Q1615" i="21" s="1"/>
  <c r="O1615" i="21" a="1"/>
  <c r="O1615" i="21" s="1"/>
  <c r="N1615" i="21"/>
  <c r="V1614" i="21"/>
  <c r="U1614" i="21"/>
  <c r="R1614" i="21"/>
  <c r="P1614" i="21"/>
  <c r="Q1614" i="21" s="1"/>
  <c r="O1614" i="21"/>
  <c r="O1614" i="21" a="1"/>
  <c r="N1614" i="21"/>
  <c r="V1613" i="21"/>
  <c r="U1613" i="21"/>
  <c r="R1613" i="21"/>
  <c r="P1613" i="21"/>
  <c r="S1613" i="21" s="1"/>
  <c r="O1613" i="21" a="1"/>
  <c r="O1613" i="21" s="1"/>
  <c r="N1613" i="21"/>
  <c r="V1612" i="21"/>
  <c r="U1612" i="21"/>
  <c r="S1612" i="21"/>
  <c r="R1612" i="21"/>
  <c r="Q1612" i="21"/>
  <c r="T1612" i="21" s="1"/>
  <c r="P1612" i="21"/>
  <c r="O1612" i="21" a="1"/>
  <c r="O1612" i="21" s="1"/>
  <c r="N1612" i="21"/>
  <c r="V1611" i="21"/>
  <c r="U1611" i="21"/>
  <c r="R1611" i="21"/>
  <c r="P1611" i="21"/>
  <c r="S1611" i="21" s="1"/>
  <c r="O1611" i="21" a="1"/>
  <c r="O1611" i="21" s="1"/>
  <c r="N1611" i="21"/>
  <c r="V1610" i="21"/>
  <c r="U1610" i="21"/>
  <c r="R1610" i="21"/>
  <c r="P1610" i="21"/>
  <c r="O1610" i="21" a="1"/>
  <c r="O1610" i="21" s="1"/>
  <c r="N1610" i="21"/>
  <c r="V1609" i="21"/>
  <c r="U1609" i="21"/>
  <c r="R1609" i="21"/>
  <c r="P1609" i="21"/>
  <c r="S1609" i="21" s="1"/>
  <c r="O1609" i="21" a="1"/>
  <c r="O1609" i="21" s="1"/>
  <c r="N1609" i="21"/>
  <c r="V1608" i="21"/>
  <c r="U1608" i="21"/>
  <c r="R1608" i="21"/>
  <c r="P1608" i="21"/>
  <c r="Q1608" i="21" s="1"/>
  <c r="T1608" i="21" s="1"/>
  <c r="O1608" i="21" a="1"/>
  <c r="O1608" i="21" s="1"/>
  <c r="N1608" i="21"/>
  <c r="V1607" i="21"/>
  <c r="U1607" i="21"/>
  <c r="R1607" i="21"/>
  <c r="P1607" i="21"/>
  <c r="Q1607" i="21" s="1"/>
  <c r="O1607" i="21" a="1"/>
  <c r="O1607" i="21" s="1"/>
  <c r="N1607" i="21"/>
  <c r="V1606" i="21"/>
  <c r="U1606" i="21"/>
  <c r="R1606" i="21"/>
  <c r="P1606" i="21"/>
  <c r="Q1606" i="21" s="1"/>
  <c r="O1606" i="21" a="1"/>
  <c r="O1606" i="21" s="1"/>
  <c r="N1606" i="21"/>
  <c r="V1605" i="21"/>
  <c r="U1605" i="21"/>
  <c r="R1605" i="21"/>
  <c r="Q1605" i="21"/>
  <c r="T1605" i="21" s="1"/>
  <c r="P1605" i="21"/>
  <c r="S1605" i="21" s="1"/>
  <c r="O1605" i="21" a="1"/>
  <c r="O1605" i="21" s="1"/>
  <c r="N1605" i="21"/>
  <c r="V1604" i="21"/>
  <c r="U1604" i="21"/>
  <c r="R1604" i="21"/>
  <c r="P1604" i="21"/>
  <c r="Q1604" i="21" s="1"/>
  <c r="T1604" i="21" s="1"/>
  <c r="O1604" i="21" a="1"/>
  <c r="O1604" i="21" s="1"/>
  <c r="N1604" i="21"/>
  <c r="V1603" i="21"/>
  <c r="U1603" i="21"/>
  <c r="R1603" i="21"/>
  <c r="P1603" i="21"/>
  <c r="S1603" i="21" s="1"/>
  <c r="O1603" i="21" a="1"/>
  <c r="O1603" i="21" s="1"/>
  <c r="N1603" i="21"/>
  <c r="V1602" i="21"/>
  <c r="U1602" i="21"/>
  <c r="R1602" i="21"/>
  <c r="P1602" i="21"/>
  <c r="O1602" i="21" a="1"/>
  <c r="O1602" i="21" s="1"/>
  <c r="N1602" i="21"/>
  <c r="V1601" i="21"/>
  <c r="U1601" i="21"/>
  <c r="R1601" i="21"/>
  <c r="P1601" i="21"/>
  <c r="S1601" i="21" s="1"/>
  <c r="O1601" i="21" a="1"/>
  <c r="O1601" i="21" s="1"/>
  <c r="N1601" i="21"/>
  <c r="V1600" i="21"/>
  <c r="U1600" i="21"/>
  <c r="R1600" i="21"/>
  <c r="P1600" i="21"/>
  <c r="Q1600" i="21" s="1"/>
  <c r="T1600" i="21" s="1"/>
  <c r="O1600" i="21" a="1"/>
  <c r="O1600" i="21" s="1"/>
  <c r="N1600" i="21"/>
  <c r="V1599" i="21"/>
  <c r="U1599" i="21"/>
  <c r="S1599" i="21"/>
  <c r="R1599" i="21"/>
  <c r="P1599" i="21"/>
  <c r="Q1599" i="21" s="1"/>
  <c r="O1599" i="21" a="1"/>
  <c r="O1599" i="21" s="1"/>
  <c r="N1599" i="21"/>
  <c r="V1598" i="21"/>
  <c r="U1598" i="21"/>
  <c r="R1598" i="21"/>
  <c r="P1598" i="21"/>
  <c r="Q1598" i="21" s="1"/>
  <c r="O1598" i="21" a="1"/>
  <c r="O1598" i="21" s="1"/>
  <c r="N1598" i="21"/>
  <c r="V1597" i="21"/>
  <c r="U1597" i="21"/>
  <c r="R1597" i="21"/>
  <c r="P1597" i="21"/>
  <c r="S1597" i="21" s="1"/>
  <c r="O1597" i="21" a="1"/>
  <c r="O1597" i="21" s="1"/>
  <c r="N1597" i="21"/>
  <c r="V1596" i="21"/>
  <c r="U1596" i="21"/>
  <c r="R1596" i="21"/>
  <c r="P1596" i="21"/>
  <c r="S1596" i="21" s="1"/>
  <c r="O1596" i="21" a="1"/>
  <c r="O1596" i="21" s="1"/>
  <c r="N1596" i="21"/>
  <c r="V1595" i="21"/>
  <c r="U1595" i="21"/>
  <c r="R1595" i="21"/>
  <c r="Q1595" i="21"/>
  <c r="T1595" i="21" s="1"/>
  <c r="P1595" i="21"/>
  <c r="S1595" i="21" s="1"/>
  <c r="O1595" i="21" a="1"/>
  <c r="O1595" i="21" s="1"/>
  <c r="N1595" i="21"/>
  <c r="V1594" i="21"/>
  <c r="U1594" i="21"/>
  <c r="R1594" i="21"/>
  <c r="P1594" i="21"/>
  <c r="S1594" i="21" s="1"/>
  <c r="O1594" i="21"/>
  <c r="O1594" i="21" a="1"/>
  <c r="N1594" i="21"/>
  <c r="V1593" i="21"/>
  <c r="U1593" i="21"/>
  <c r="R1593" i="21"/>
  <c r="P1593" i="21"/>
  <c r="S1593" i="21" s="1"/>
  <c r="O1593" i="21" a="1"/>
  <c r="O1593" i="21" s="1"/>
  <c r="N1593" i="21"/>
  <c r="V1592" i="21"/>
  <c r="U1592" i="21"/>
  <c r="R1592" i="21"/>
  <c r="Q1592" i="21"/>
  <c r="P1592" i="21"/>
  <c r="S1592" i="21" s="1"/>
  <c r="O1592" i="21"/>
  <c r="O1592" i="21" a="1"/>
  <c r="N1592" i="21"/>
  <c r="V1591" i="21"/>
  <c r="U1591" i="21"/>
  <c r="R1591" i="21"/>
  <c r="P1591" i="21"/>
  <c r="Q1591" i="21" s="1"/>
  <c r="T1591" i="21" s="1"/>
  <c r="O1591" i="21" a="1"/>
  <c r="O1591" i="21" s="1"/>
  <c r="N1591" i="21"/>
  <c r="V1590" i="21"/>
  <c r="U1590" i="21"/>
  <c r="R1590" i="21"/>
  <c r="T1590" i="21" s="1"/>
  <c r="P1590" i="21"/>
  <c r="Q1590" i="21" s="1"/>
  <c r="O1590" i="21" a="1"/>
  <c r="O1590" i="21" s="1"/>
  <c r="N1590" i="21"/>
  <c r="V1589" i="21"/>
  <c r="U1589" i="21"/>
  <c r="R1589" i="21"/>
  <c r="Q1589" i="21"/>
  <c r="T1589" i="21" s="1"/>
  <c r="P1589" i="21"/>
  <c r="S1589" i="21" s="1"/>
  <c r="O1589" i="21" a="1"/>
  <c r="O1589" i="21" s="1"/>
  <c r="N1589" i="21"/>
  <c r="V1588" i="21"/>
  <c r="U1588" i="21"/>
  <c r="R1588" i="21"/>
  <c r="P1588" i="21"/>
  <c r="S1588" i="21" s="1"/>
  <c r="O1588" i="21"/>
  <c r="O1588" i="21" a="1"/>
  <c r="N1588" i="21"/>
  <c r="V1587" i="21"/>
  <c r="U1587" i="21"/>
  <c r="R1587" i="21"/>
  <c r="P1587" i="21"/>
  <c r="S1587" i="21" s="1"/>
  <c r="O1587" i="21" a="1"/>
  <c r="O1587" i="21" s="1"/>
  <c r="N1587" i="21"/>
  <c r="V1586" i="21"/>
  <c r="U1586" i="21"/>
  <c r="S1586" i="21"/>
  <c r="R1586" i="21"/>
  <c r="P1586" i="21"/>
  <c r="Q1586" i="21" s="1"/>
  <c r="T1586" i="21" s="1"/>
  <c r="O1586" i="21" a="1"/>
  <c r="O1586" i="21" s="1"/>
  <c r="N1586" i="21"/>
  <c r="V1585" i="21"/>
  <c r="U1585" i="21"/>
  <c r="R1585" i="21"/>
  <c r="Q1585" i="21"/>
  <c r="T1585" i="21" s="1"/>
  <c r="P1585" i="21"/>
  <c r="S1585" i="21" s="1"/>
  <c r="O1585" i="21" a="1"/>
  <c r="O1585" i="21" s="1"/>
  <c r="N1585" i="21"/>
  <c r="V1584" i="21"/>
  <c r="U1584" i="21"/>
  <c r="S1584" i="21"/>
  <c r="R1584" i="21"/>
  <c r="Q1584" i="21"/>
  <c r="T1584" i="21" s="1"/>
  <c r="P1584" i="21"/>
  <c r="O1584" i="21" a="1"/>
  <c r="O1584" i="21" s="1"/>
  <c r="N1584" i="21"/>
  <c r="V1583" i="21"/>
  <c r="U1583" i="21"/>
  <c r="R1583" i="21"/>
  <c r="P1583" i="21"/>
  <c r="S1583" i="21" s="1"/>
  <c r="O1583" i="21" a="1"/>
  <c r="O1583" i="21" s="1"/>
  <c r="N1583" i="21"/>
  <c r="V1582" i="21"/>
  <c r="U1582" i="21"/>
  <c r="R1582" i="21"/>
  <c r="P1582" i="21"/>
  <c r="Q1582" i="21" s="1"/>
  <c r="T1582" i="21" s="1"/>
  <c r="O1582" i="21" a="1"/>
  <c r="O1582" i="21" s="1"/>
  <c r="N1582" i="21"/>
  <c r="V1581" i="21"/>
  <c r="U1581" i="21"/>
  <c r="T1581" i="21"/>
  <c r="R1581" i="21"/>
  <c r="Q1581" i="21"/>
  <c r="P1581" i="21"/>
  <c r="S1581" i="21" s="1"/>
  <c r="O1581" i="21"/>
  <c r="O1581" i="21" a="1"/>
  <c r="N1581" i="21"/>
  <c r="V1580" i="21"/>
  <c r="U1580" i="21"/>
  <c r="R1580" i="21"/>
  <c r="P1580" i="21"/>
  <c r="Q1580" i="21" s="1"/>
  <c r="T1580" i="21" s="1"/>
  <c r="O1580" i="21" a="1"/>
  <c r="O1580" i="21" s="1"/>
  <c r="N1580" i="21"/>
  <c r="V1579" i="21"/>
  <c r="U1579" i="21"/>
  <c r="R1579" i="21"/>
  <c r="P1579" i="21"/>
  <c r="S1579" i="21" s="1"/>
  <c r="O1579" i="21"/>
  <c r="O1579" i="21" a="1"/>
  <c r="N1579" i="21"/>
  <c r="V1578" i="21"/>
  <c r="U1578" i="21"/>
  <c r="R1578" i="21"/>
  <c r="P1578" i="21"/>
  <c r="S1578" i="21" s="1"/>
  <c r="O1578" i="21" a="1"/>
  <c r="O1578" i="21" s="1"/>
  <c r="N1578" i="21"/>
  <c r="V1577" i="21"/>
  <c r="U1577" i="21"/>
  <c r="S1577" i="21"/>
  <c r="R1577" i="21"/>
  <c r="P1577" i="21"/>
  <c r="Q1577" i="21" s="1"/>
  <c r="T1577" i="21" s="1"/>
  <c r="O1577" i="21" a="1"/>
  <c r="O1577" i="21" s="1"/>
  <c r="N1577" i="21"/>
  <c r="V1576" i="21"/>
  <c r="U1576" i="21"/>
  <c r="S1576" i="21"/>
  <c r="R1576" i="21"/>
  <c r="Q1576" i="21"/>
  <c r="T1576" i="21" s="1"/>
  <c r="P1576" i="21"/>
  <c r="O1576" i="21" a="1"/>
  <c r="O1576" i="21" s="1"/>
  <c r="N1576" i="21"/>
  <c r="V1575" i="21"/>
  <c r="U1575" i="21"/>
  <c r="R1575" i="21"/>
  <c r="P1575" i="21"/>
  <c r="S1575" i="21" s="1"/>
  <c r="O1575" i="21" a="1"/>
  <c r="O1575" i="21" s="1"/>
  <c r="N1575" i="21"/>
  <c r="V1574" i="21"/>
  <c r="U1574" i="21"/>
  <c r="S1574" i="21"/>
  <c r="R1574" i="21"/>
  <c r="P1574" i="21"/>
  <c r="Q1574" i="21" s="1"/>
  <c r="T1574" i="21" s="1"/>
  <c r="O1574" i="21" a="1"/>
  <c r="O1574" i="21" s="1"/>
  <c r="N1574" i="21"/>
  <c r="V1573" i="21"/>
  <c r="U1573" i="21"/>
  <c r="T1573" i="21"/>
  <c r="R1573" i="21"/>
  <c r="Q1573" i="21"/>
  <c r="P1573" i="21"/>
  <c r="S1573" i="21" s="1"/>
  <c r="O1573" i="21"/>
  <c r="O1573" i="21" a="1"/>
  <c r="N1573" i="21"/>
  <c r="V1572" i="21"/>
  <c r="U1572" i="21"/>
  <c r="R1572" i="21"/>
  <c r="P1572" i="21"/>
  <c r="Q1572" i="21" s="1"/>
  <c r="T1572" i="21" s="1"/>
  <c r="O1572" i="21" a="1"/>
  <c r="O1572" i="21" s="1"/>
  <c r="N1572" i="21"/>
  <c r="V1571" i="21"/>
  <c r="U1571" i="21"/>
  <c r="R1571" i="21"/>
  <c r="P1571" i="21"/>
  <c r="S1571" i="21" s="1"/>
  <c r="O1571" i="21"/>
  <c r="O1571" i="21" a="1"/>
  <c r="N1571" i="21"/>
  <c r="V1570" i="21"/>
  <c r="U1570" i="21"/>
  <c r="R1570" i="21"/>
  <c r="T1570" i="21" s="1"/>
  <c r="Q1570" i="21"/>
  <c r="P1570" i="21"/>
  <c r="S1570" i="21" s="1"/>
  <c r="O1570" i="21" a="1"/>
  <c r="O1570" i="21" s="1"/>
  <c r="N1570" i="21"/>
  <c r="V1569" i="21"/>
  <c r="U1569" i="21"/>
  <c r="S1569" i="21"/>
  <c r="R1569" i="21"/>
  <c r="P1569" i="21"/>
  <c r="Q1569" i="21" s="1"/>
  <c r="T1569" i="21" s="1"/>
  <c r="O1569" i="21" a="1"/>
  <c r="O1569" i="21" s="1"/>
  <c r="N1569" i="21"/>
  <c r="V1568" i="21"/>
  <c r="U1568" i="21"/>
  <c r="S1568" i="21"/>
  <c r="R1568" i="21"/>
  <c r="Q1568" i="21"/>
  <c r="T1568" i="21" s="1"/>
  <c r="P1568" i="21"/>
  <c r="O1568" i="21" a="1"/>
  <c r="O1568" i="21" s="1"/>
  <c r="N1568" i="21"/>
  <c r="V1567" i="21"/>
  <c r="U1567" i="21"/>
  <c r="R1567" i="21"/>
  <c r="P1567" i="21"/>
  <c r="S1567" i="21" s="1"/>
  <c r="O1567" i="21" a="1"/>
  <c r="O1567" i="21" s="1"/>
  <c r="N1567" i="21"/>
  <c r="V1566" i="21"/>
  <c r="U1566" i="21"/>
  <c r="S1566" i="21"/>
  <c r="R1566" i="21"/>
  <c r="P1566" i="21"/>
  <c r="Q1566" i="21" s="1"/>
  <c r="T1566" i="21" s="1"/>
  <c r="O1566" i="21" a="1"/>
  <c r="O1566" i="21" s="1"/>
  <c r="N1566" i="21"/>
  <c r="V1565" i="21"/>
  <c r="U1565" i="21"/>
  <c r="T1565" i="21"/>
  <c r="R1565" i="21"/>
  <c r="Q1565" i="21"/>
  <c r="P1565" i="21"/>
  <c r="S1565" i="21" s="1"/>
  <c r="O1565" i="21"/>
  <c r="O1565" i="21" a="1"/>
  <c r="N1565" i="21"/>
  <c r="V1564" i="21"/>
  <c r="U1564" i="21"/>
  <c r="R1564" i="21"/>
  <c r="P1564" i="21"/>
  <c r="Q1564" i="21" s="1"/>
  <c r="T1564" i="21" s="1"/>
  <c r="O1564" i="21" a="1"/>
  <c r="O1564" i="21" s="1"/>
  <c r="N1564" i="21"/>
  <c r="V1563" i="21"/>
  <c r="U1563" i="21"/>
  <c r="R1563" i="21"/>
  <c r="P1563" i="21"/>
  <c r="S1563" i="21" s="1"/>
  <c r="O1563" i="21"/>
  <c r="O1563" i="21" a="1"/>
  <c r="N1563" i="21"/>
  <c r="V1562" i="21"/>
  <c r="U1562" i="21"/>
  <c r="R1562" i="21"/>
  <c r="T1562" i="21" s="1"/>
  <c r="Q1562" i="21"/>
  <c r="P1562" i="21"/>
  <c r="S1562" i="21" s="1"/>
  <c r="O1562" i="21" a="1"/>
  <c r="O1562" i="21" s="1"/>
  <c r="N1562" i="21"/>
  <c r="V1561" i="21"/>
  <c r="U1561" i="21"/>
  <c r="S1561" i="21"/>
  <c r="R1561" i="21"/>
  <c r="Q1561" i="21"/>
  <c r="T1561" i="21" s="1"/>
  <c r="P1561" i="21"/>
  <c r="O1561" i="21" a="1"/>
  <c r="O1561" i="21" s="1"/>
  <c r="N1561" i="21"/>
  <c r="V1560" i="21"/>
  <c r="U1560" i="21"/>
  <c r="S1560" i="21"/>
  <c r="R1560" i="21"/>
  <c r="Q1560" i="21"/>
  <c r="P1560" i="21"/>
  <c r="O1560" i="21" a="1"/>
  <c r="O1560" i="21" s="1"/>
  <c r="N1560" i="21"/>
  <c r="V1559" i="21"/>
  <c r="U1559" i="21"/>
  <c r="R1559" i="21"/>
  <c r="P1559" i="21"/>
  <c r="S1559" i="21" s="1"/>
  <c r="O1559" i="21" a="1"/>
  <c r="O1559" i="21" s="1"/>
  <c r="N1559" i="21"/>
  <c r="V1558" i="21"/>
  <c r="U1558" i="21"/>
  <c r="S1558" i="21"/>
  <c r="R1558" i="21"/>
  <c r="P1558" i="21"/>
  <c r="Q1558" i="21" s="1"/>
  <c r="T1558" i="21" s="1"/>
  <c r="O1558" i="21" a="1"/>
  <c r="O1558" i="21" s="1"/>
  <c r="N1558" i="21"/>
  <c r="V1557" i="21"/>
  <c r="U1557" i="21"/>
  <c r="T1557" i="21"/>
  <c r="R1557" i="21"/>
  <c r="Q1557" i="21"/>
  <c r="P1557" i="21"/>
  <c r="S1557" i="21" s="1"/>
  <c r="O1557" i="21"/>
  <c r="O1557" i="21" a="1"/>
  <c r="N1557" i="21"/>
  <c r="V1556" i="21"/>
  <c r="U1556" i="21"/>
  <c r="R1556" i="21"/>
  <c r="P1556" i="21"/>
  <c r="Q1556" i="21" s="1"/>
  <c r="T1556" i="21" s="1"/>
  <c r="O1556" i="21" a="1"/>
  <c r="O1556" i="21" s="1"/>
  <c r="N1556" i="21"/>
  <c r="V1555" i="21"/>
  <c r="U1555" i="21"/>
  <c r="R1555" i="21"/>
  <c r="P1555" i="21"/>
  <c r="S1555" i="21" s="1"/>
  <c r="O1555" i="21" a="1"/>
  <c r="O1555" i="21" s="1"/>
  <c r="N1555" i="21"/>
  <c r="V1554" i="21"/>
  <c r="U1554" i="21"/>
  <c r="R1554" i="21"/>
  <c r="T1554" i="21" s="1"/>
  <c r="Q1554" i="21"/>
  <c r="P1554" i="21"/>
  <c r="S1554" i="21" s="1"/>
  <c r="O1554" i="21" a="1"/>
  <c r="O1554" i="21" s="1"/>
  <c r="N1554" i="21"/>
  <c r="V1553" i="21"/>
  <c r="U1553" i="21"/>
  <c r="S1553" i="21"/>
  <c r="R1553" i="21"/>
  <c r="P1553" i="21"/>
  <c r="Q1553" i="21" s="1"/>
  <c r="T1553" i="21" s="1"/>
  <c r="O1553" i="21" a="1"/>
  <c r="O1553" i="21" s="1"/>
  <c r="N1553" i="21"/>
  <c r="V1552" i="21"/>
  <c r="U1552" i="21"/>
  <c r="S1552" i="21"/>
  <c r="R1552" i="21"/>
  <c r="Q1552" i="21"/>
  <c r="P1552" i="21"/>
  <c r="O1552" i="21" a="1"/>
  <c r="O1552" i="21" s="1"/>
  <c r="N1552" i="21"/>
  <c r="V1551" i="21"/>
  <c r="U1551" i="21"/>
  <c r="R1551" i="21"/>
  <c r="P1551" i="21"/>
  <c r="S1551" i="21" s="1"/>
  <c r="O1551" i="21" a="1"/>
  <c r="O1551" i="21" s="1"/>
  <c r="N1551" i="21"/>
  <c r="V1550" i="21"/>
  <c r="U1550" i="21"/>
  <c r="S1550" i="21"/>
  <c r="R1550" i="21"/>
  <c r="Q1550" i="21"/>
  <c r="P1550" i="21"/>
  <c r="O1550" i="21" a="1"/>
  <c r="O1550" i="21" s="1"/>
  <c r="N1550" i="21"/>
  <c r="V1549" i="21"/>
  <c r="U1549" i="21"/>
  <c r="S1549" i="21"/>
  <c r="R1549" i="21"/>
  <c r="P1549" i="21"/>
  <c r="Q1549" i="21" s="1"/>
  <c r="T1549" i="21" s="1"/>
  <c r="O1549" i="21" a="1"/>
  <c r="O1549" i="21" s="1"/>
  <c r="N1549" i="21"/>
  <c r="V1548" i="21"/>
  <c r="U1548" i="21"/>
  <c r="S1548" i="21"/>
  <c r="R1548" i="21"/>
  <c r="P1548" i="21"/>
  <c r="Q1548" i="21" s="1"/>
  <c r="T1548" i="21" s="1"/>
  <c r="O1548" i="21" a="1"/>
  <c r="O1548" i="21" s="1"/>
  <c r="N1548" i="21"/>
  <c r="V1547" i="21"/>
  <c r="U1547" i="21"/>
  <c r="R1547" i="21"/>
  <c r="P1547" i="21"/>
  <c r="S1547" i="21" s="1"/>
  <c r="O1547" i="21" a="1"/>
  <c r="O1547" i="21" s="1"/>
  <c r="N1547" i="21"/>
  <c r="V1546" i="21"/>
  <c r="U1546" i="21"/>
  <c r="R1546" i="21"/>
  <c r="P1546" i="21"/>
  <c r="S1546" i="21" s="1"/>
  <c r="O1546" i="21" a="1"/>
  <c r="O1546" i="21" s="1"/>
  <c r="N1546" i="21"/>
  <c r="V1545" i="21"/>
  <c r="U1545" i="21"/>
  <c r="S1545" i="21"/>
  <c r="R1545" i="21"/>
  <c r="Q1545" i="21"/>
  <c r="P1545" i="21"/>
  <c r="O1545" i="21" a="1"/>
  <c r="O1545" i="21" s="1"/>
  <c r="N1545" i="21"/>
  <c r="V1544" i="21"/>
  <c r="U1544" i="21"/>
  <c r="S1544" i="21"/>
  <c r="R1544" i="21"/>
  <c r="Q1544" i="21"/>
  <c r="T1544" i="21" s="1"/>
  <c r="P1544" i="21"/>
  <c r="O1544" i="21" a="1"/>
  <c r="O1544" i="21" s="1"/>
  <c r="N1544" i="21"/>
  <c r="V1543" i="21"/>
  <c r="U1543" i="21"/>
  <c r="R1543" i="21"/>
  <c r="P1543" i="21"/>
  <c r="S1543" i="21" s="1"/>
  <c r="O1543" i="21"/>
  <c r="O1543" i="21" a="1"/>
  <c r="N1543" i="21"/>
  <c r="V1542" i="21"/>
  <c r="U1542" i="21"/>
  <c r="R1542" i="21"/>
  <c r="P1542" i="21"/>
  <c r="S1542" i="21" s="1"/>
  <c r="O1542" i="21" a="1"/>
  <c r="O1542" i="21" s="1"/>
  <c r="N1542" i="21"/>
  <c r="V1541" i="21"/>
  <c r="U1541" i="21"/>
  <c r="S1541" i="21"/>
  <c r="R1541" i="21"/>
  <c r="P1541" i="21"/>
  <c r="Q1541" i="21" s="1"/>
  <c r="O1541" i="21" a="1"/>
  <c r="O1541" i="21" s="1"/>
  <c r="N1541" i="21"/>
  <c r="V1540" i="21"/>
  <c r="U1540" i="21"/>
  <c r="R1540" i="21"/>
  <c r="P1540" i="21"/>
  <c r="Q1540" i="21" s="1"/>
  <c r="T1540" i="21" s="1"/>
  <c r="O1540" i="21" a="1"/>
  <c r="O1540" i="21" s="1"/>
  <c r="N1540" i="21"/>
  <c r="V1539" i="21"/>
  <c r="U1539" i="21"/>
  <c r="R1539" i="21"/>
  <c r="P1539" i="21"/>
  <c r="S1539" i="21" s="1"/>
  <c r="O1539" i="21"/>
  <c r="O1539" i="21" a="1"/>
  <c r="N1539" i="21"/>
  <c r="V1538" i="21"/>
  <c r="U1538" i="21"/>
  <c r="R1538" i="21"/>
  <c r="Q1538" i="21"/>
  <c r="P1538" i="21"/>
  <c r="S1538" i="21" s="1"/>
  <c r="O1538" i="21" a="1"/>
  <c r="O1538" i="21" s="1"/>
  <c r="N1538" i="21"/>
  <c r="V1537" i="21"/>
  <c r="U1537" i="21"/>
  <c r="R1537" i="21"/>
  <c r="P1537" i="21"/>
  <c r="S1537" i="21" s="1"/>
  <c r="O1537" i="21" a="1"/>
  <c r="O1537" i="21" s="1"/>
  <c r="N1537" i="21"/>
  <c r="V1536" i="21"/>
  <c r="U1536" i="21"/>
  <c r="R1536" i="21"/>
  <c r="Q1536" i="21"/>
  <c r="T1536" i="21" s="1"/>
  <c r="P1536" i="21"/>
  <c r="S1536" i="21" s="1"/>
  <c r="O1536" i="21" a="1"/>
  <c r="O1536" i="21" s="1"/>
  <c r="N1536" i="21"/>
  <c r="V1535" i="21"/>
  <c r="U1535" i="21"/>
  <c r="R1535" i="21"/>
  <c r="P1535" i="21"/>
  <c r="S1535" i="21" s="1"/>
  <c r="O1535" i="21" a="1"/>
  <c r="O1535" i="21" s="1"/>
  <c r="N1535" i="21"/>
  <c r="V1534" i="21"/>
  <c r="U1534" i="21"/>
  <c r="R1534" i="21"/>
  <c r="P1534" i="21"/>
  <c r="S1534" i="21" s="1"/>
  <c r="O1534" i="21"/>
  <c r="O1534" i="21" a="1"/>
  <c r="N1534" i="21"/>
  <c r="V1533" i="21"/>
  <c r="U1533" i="21"/>
  <c r="R1533" i="21"/>
  <c r="P1533" i="21"/>
  <c r="Q1533" i="21" s="1"/>
  <c r="T1533" i="21" s="1"/>
  <c r="O1533" i="21"/>
  <c r="O1533" i="21" a="1"/>
  <c r="N1533" i="21"/>
  <c r="V1532" i="21"/>
  <c r="U1532" i="21"/>
  <c r="R1532" i="21"/>
  <c r="P1532" i="21"/>
  <c r="Q1532" i="21" s="1"/>
  <c r="T1532" i="21" s="1"/>
  <c r="O1532" i="21" a="1"/>
  <c r="O1532" i="21" s="1"/>
  <c r="N1532" i="21"/>
  <c r="V1531" i="21"/>
  <c r="U1531" i="21"/>
  <c r="R1531" i="21"/>
  <c r="P1531" i="21"/>
  <c r="S1531" i="21" s="1"/>
  <c r="O1531" i="21" a="1"/>
  <c r="O1531" i="21" s="1"/>
  <c r="N1531" i="21"/>
  <c r="V1530" i="21"/>
  <c r="U1530" i="21"/>
  <c r="R1530" i="21"/>
  <c r="P1530" i="21"/>
  <c r="S1530" i="21" s="1"/>
  <c r="O1530" i="21" a="1"/>
  <c r="O1530" i="21" s="1"/>
  <c r="N1530" i="21"/>
  <c r="V1529" i="21"/>
  <c r="U1529" i="21"/>
  <c r="S1529" i="21"/>
  <c r="R1529" i="21"/>
  <c r="Q1529" i="21"/>
  <c r="T1529" i="21" s="1"/>
  <c r="P1529" i="21"/>
  <c r="O1529" i="21" a="1"/>
  <c r="O1529" i="21" s="1"/>
  <c r="N1529" i="21"/>
  <c r="V1528" i="21"/>
  <c r="U1528" i="21"/>
  <c r="S1528" i="21"/>
  <c r="R1528" i="21"/>
  <c r="P1528" i="21"/>
  <c r="Q1528" i="21" s="1"/>
  <c r="T1528" i="21" s="1"/>
  <c r="O1528" i="21" a="1"/>
  <c r="O1528" i="21" s="1"/>
  <c r="N1528" i="21"/>
  <c r="V1527" i="21"/>
  <c r="U1527" i="21"/>
  <c r="R1527" i="21"/>
  <c r="P1527" i="21"/>
  <c r="S1527" i="21" s="1"/>
  <c r="O1527" i="21"/>
  <c r="O1527" i="21" a="1"/>
  <c r="N1527" i="21"/>
  <c r="V1526" i="21"/>
  <c r="U1526" i="21"/>
  <c r="S1526" i="21"/>
  <c r="R1526" i="21"/>
  <c r="P1526" i="21"/>
  <c r="Q1526" i="21" s="1"/>
  <c r="T1526" i="21" s="1"/>
  <c r="O1526" i="21" a="1"/>
  <c r="O1526" i="21" s="1"/>
  <c r="N1526" i="21"/>
  <c r="V1525" i="21"/>
  <c r="U1525" i="21"/>
  <c r="S1525" i="21"/>
  <c r="R1525" i="21"/>
  <c r="P1525" i="21"/>
  <c r="Q1525" i="21" s="1"/>
  <c r="T1525" i="21" s="1"/>
  <c r="O1525" i="21" a="1"/>
  <c r="O1525" i="21" s="1"/>
  <c r="N1525" i="21"/>
  <c r="V1524" i="21"/>
  <c r="U1524" i="21"/>
  <c r="S1524" i="21"/>
  <c r="R1524" i="21"/>
  <c r="P1524" i="21"/>
  <c r="Q1524" i="21" s="1"/>
  <c r="T1524" i="21" s="1"/>
  <c r="O1524" i="21" a="1"/>
  <c r="O1524" i="21" s="1"/>
  <c r="N1524" i="21"/>
  <c r="V1523" i="21"/>
  <c r="U1523" i="21"/>
  <c r="R1523" i="21"/>
  <c r="P1523" i="21"/>
  <c r="S1523" i="21" s="1"/>
  <c r="O1523" i="21" a="1"/>
  <c r="O1523" i="21" s="1"/>
  <c r="N1523" i="21"/>
  <c r="V1522" i="21"/>
  <c r="U1522" i="21"/>
  <c r="R1522" i="21"/>
  <c r="T1522" i="21" s="1"/>
  <c r="Q1522" i="21"/>
  <c r="P1522" i="21"/>
  <c r="S1522" i="21" s="1"/>
  <c r="O1522" i="21" a="1"/>
  <c r="O1522" i="21" s="1"/>
  <c r="N1522" i="21"/>
  <c r="V1521" i="21"/>
  <c r="U1521" i="21"/>
  <c r="R1521" i="21"/>
  <c r="P1521" i="21"/>
  <c r="S1521" i="21" s="1"/>
  <c r="O1521" i="21" a="1"/>
  <c r="O1521" i="21" s="1"/>
  <c r="N1521" i="21"/>
  <c r="V1520" i="21"/>
  <c r="U1520" i="21"/>
  <c r="S1520" i="21"/>
  <c r="R1520" i="21"/>
  <c r="Q1520" i="21"/>
  <c r="P1520" i="21"/>
  <c r="O1520" i="21" a="1"/>
  <c r="O1520" i="21" s="1"/>
  <c r="N1520" i="21"/>
  <c r="V1519" i="21"/>
  <c r="U1519" i="21"/>
  <c r="R1519" i="21"/>
  <c r="P1519" i="21"/>
  <c r="S1519" i="21" s="1"/>
  <c r="O1519" i="21" a="1"/>
  <c r="O1519" i="21" s="1"/>
  <c r="N1519" i="21"/>
  <c r="V1518" i="21"/>
  <c r="U1518" i="21"/>
  <c r="R1518" i="21"/>
  <c r="Q1518" i="21"/>
  <c r="T1518" i="21" s="1"/>
  <c r="P1518" i="21"/>
  <c r="S1518" i="21" s="1"/>
  <c r="O1518" i="21"/>
  <c r="O1518" i="21" a="1"/>
  <c r="N1518" i="21"/>
  <c r="V1517" i="21"/>
  <c r="U1517" i="21"/>
  <c r="S1517" i="21"/>
  <c r="R1517" i="21"/>
  <c r="P1517" i="21"/>
  <c r="Q1517" i="21" s="1"/>
  <c r="O1517" i="21"/>
  <c r="O1517" i="21" a="1"/>
  <c r="N1517" i="21"/>
  <c r="V1516" i="21"/>
  <c r="U1516" i="21"/>
  <c r="S1516" i="21"/>
  <c r="R1516" i="21"/>
  <c r="P1516" i="21"/>
  <c r="Q1516" i="21" s="1"/>
  <c r="O1516" i="21" a="1"/>
  <c r="O1516" i="21" s="1"/>
  <c r="N1516" i="21"/>
  <c r="V1515" i="21"/>
  <c r="U1515" i="21"/>
  <c r="R1515" i="21"/>
  <c r="P1515" i="21"/>
  <c r="S1515" i="21" s="1"/>
  <c r="O1515" i="21"/>
  <c r="O1515" i="21" a="1"/>
  <c r="N1515" i="21"/>
  <c r="V1514" i="21"/>
  <c r="U1514" i="21"/>
  <c r="R1514" i="21"/>
  <c r="P1514" i="21"/>
  <c r="S1514" i="21" s="1"/>
  <c r="O1514" i="21" a="1"/>
  <c r="O1514" i="21" s="1"/>
  <c r="N1514" i="21"/>
  <c r="V1513" i="21"/>
  <c r="U1513" i="21"/>
  <c r="R1513" i="21"/>
  <c r="P1513" i="21"/>
  <c r="S1513" i="21" s="1"/>
  <c r="O1513" i="21" a="1"/>
  <c r="O1513" i="21" s="1"/>
  <c r="N1513" i="21"/>
  <c r="V1512" i="21"/>
  <c r="U1512" i="21"/>
  <c r="R1512" i="21"/>
  <c r="P1512" i="21"/>
  <c r="S1512" i="21" s="1"/>
  <c r="O1512" i="21" a="1"/>
  <c r="O1512" i="21" s="1"/>
  <c r="N1512" i="21"/>
  <c r="V1511" i="21"/>
  <c r="U1511" i="21"/>
  <c r="R1511" i="21"/>
  <c r="P1511" i="21"/>
  <c r="S1511" i="21" s="1"/>
  <c r="O1511" i="21" a="1"/>
  <c r="O1511" i="21" s="1"/>
  <c r="N1511" i="21"/>
  <c r="V1510" i="21"/>
  <c r="U1510" i="21"/>
  <c r="R1510" i="21"/>
  <c r="P1510" i="21"/>
  <c r="S1510" i="21" s="1"/>
  <c r="O1510" i="21" a="1"/>
  <c r="O1510" i="21" s="1"/>
  <c r="N1510" i="21"/>
  <c r="V1509" i="21"/>
  <c r="U1509" i="21"/>
  <c r="R1509" i="21"/>
  <c r="P1509" i="21"/>
  <c r="Q1509" i="21" s="1"/>
  <c r="O1509" i="21"/>
  <c r="O1509" i="21" a="1"/>
  <c r="N1509" i="21"/>
  <c r="V1508" i="21"/>
  <c r="U1508" i="21"/>
  <c r="R1508" i="21"/>
  <c r="P1508" i="21"/>
  <c r="Q1508" i="21" s="1"/>
  <c r="T1508" i="21" s="1"/>
  <c r="O1508" i="21" a="1"/>
  <c r="O1508" i="21" s="1"/>
  <c r="N1508" i="21"/>
  <c r="V1507" i="21"/>
  <c r="U1507" i="21"/>
  <c r="R1507" i="21"/>
  <c r="P1507" i="21"/>
  <c r="S1507" i="21" s="1"/>
  <c r="O1507" i="21" a="1"/>
  <c r="O1507" i="21" s="1"/>
  <c r="N1507" i="21"/>
  <c r="V1506" i="21"/>
  <c r="U1506" i="21"/>
  <c r="R1506" i="21"/>
  <c r="Q1506" i="21"/>
  <c r="P1506" i="21"/>
  <c r="S1506" i="21" s="1"/>
  <c r="O1506" i="21" a="1"/>
  <c r="O1506" i="21" s="1"/>
  <c r="N1506" i="21"/>
  <c r="V1505" i="21"/>
  <c r="U1505" i="21"/>
  <c r="S1505" i="21"/>
  <c r="R1505" i="21"/>
  <c r="Q1505" i="21"/>
  <c r="P1505" i="21"/>
  <c r="O1505" i="21" a="1"/>
  <c r="O1505" i="21" s="1"/>
  <c r="N1505" i="21"/>
  <c r="N503" i="21"/>
  <c r="N504" i="21"/>
  <c r="N505" i="21"/>
  <c r="N506" i="21"/>
  <c r="N507" i="21"/>
  <c r="N508" i="21"/>
  <c r="N509" i="21"/>
  <c r="N510" i="21"/>
  <c r="N511" i="21"/>
  <c r="N512" i="21"/>
  <c r="N513" i="21"/>
  <c r="N514" i="21"/>
  <c r="N515" i="21"/>
  <c r="N516" i="21"/>
  <c r="N517" i="21"/>
  <c r="N518" i="21"/>
  <c r="N519" i="21"/>
  <c r="N520" i="21"/>
  <c r="N521" i="21"/>
  <c r="N522" i="21"/>
  <c r="N523" i="21"/>
  <c r="N524" i="21"/>
  <c r="N525" i="21"/>
  <c r="N526" i="21"/>
  <c r="N527" i="21"/>
  <c r="N528" i="21"/>
  <c r="N529" i="21"/>
  <c r="N530" i="21"/>
  <c r="N531" i="21"/>
  <c r="N532" i="21"/>
  <c r="N533" i="21"/>
  <c r="N534" i="21"/>
  <c r="N535" i="21"/>
  <c r="N536" i="21"/>
  <c r="N537" i="21"/>
  <c r="N538" i="21"/>
  <c r="N539" i="21"/>
  <c r="N540" i="21"/>
  <c r="N541" i="21"/>
  <c r="N542" i="21"/>
  <c r="N543" i="21"/>
  <c r="N544" i="21"/>
  <c r="N545" i="21"/>
  <c r="N546" i="21"/>
  <c r="N547" i="21"/>
  <c r="N548" i="21"/>
  <c r="N549" i="21"/>
  <c r="N550" i="21"/>
  <c r="N551" i="21"/>
  <c r="N552" i="21"/>
  <c r="N553" i="21"/>
  <c r="N554" i="21"/>
  <c r="N555" i="21"/>
  <c r="N556" i="21"/>
  <c r="N557" i="21"/>
  <c r="N558" i="21"/>
  <c r="N559" i="21"/>
  <c r="N560" i="21"/>
  <c r="N561" i="21"/>
  <c r="N562" i="21"/>
  <c r="N563" i="21"/>
  <c r="N564" i="21"/>
  <c r="N565" i="21"/>
  <c r="N566" i="21"/>
  <c r="N567" i="21"/>
  <c r="N568" i="21"/>
  <c r="N569" i="21"/>
  <c r="N570" i="21"/>
  <c r="N571" i="21"/>
  <c r="N572" i="21"/>
  <c r="N573" i="21"/>
  <c r="N574" i="21"/>
  <c r="N575" i="21"/>
  <c r="N576" i="21"/>
  <c r="N577" i="21"/>
  <c r="N578" i="21"/>
  <c r="N579" i="21"/>
  <c r="N580" i="21"/>
  <c r="N581" i="21"/>
  <c r="N582" i="21"/>
  <c r="N583" i="21"/>
  <c r="N584" i="21"/>
  <c r="N585" i="21"/>
  <c r="N586" i="21"/>
  <c r="N587" i="21"/>
  <c r="N588" i="21"/>
  <c r="N589" i="21"/>
  <c r="N590" i="21"/>
  <c r="N591" i="21"/>
  <c r="N592" i="21"/>
  <c r="N593" i="21"/>
  <c r="N594" i="21"/>
  <c r="N595" i="21"/>
  <c r="N596" i="21"/>
  <c r="N597" i="21"/>
  <c r="N598" i="21"/>
  <c r="N599" i="21"/>
  <c r="N600" i="21"/>
  <c r="N601" i="21"/>
  <c r="N602" i="21"/>
  <c r="N603" i="21"/>
  <c r="N604" i="21"/>
  <c r="N605" i="21"/>
  <c r="N606" i="21"/>
  <c r="N607" i="21"/>
  <c r="N608" i="21"/>
  <c r="N609" i="21"/>
  <c r="N610" i="21"/>
  <c r="N611" i="21"/>
  <c r="N612" i="21"/>
  <c r="N613" i="21"/>
  <c r="N614" i="21"/>
  <c r="N615" i="21"/>
  <c r="N616" i="21"/>
  <c r="N617" i="21"/>
  <c r="N618" i="21"/>
  <c r="N619" i="21"/>
  <c r="N620" i="21"/>
  <c r="N621" i="21"/>
  <c r="N622" i="21"/>
  <c r="N623" i="21"/>
  <c r="N624" i="21"/>
  <c r="N625" i="21"/>
  <c r="N626" i="21"/>
  <c r="N627" i="21"/>
  <c r="N628" i="21"/>
  <c r="N629" i="21"/>
  <c r="N630" i="21"/>
  <c r="N631" i="21"/>
  <c r="N632" i="21"/>
  <c r="N633" i="21"/>
  <c r="N634" i="21"/>
  <c r="N635" i="21"/>
  <c r="N636" i="21"/>
  <c r="N637" i="21"/>
  <c r="N638" i="21"/>
  <c r="N639" i="21"/>
  <c r="N640" i="21"/>
  <c r="N641" i="21"/>
  <c r="N642" i="21"/>
  <c r="N643" i="21"/>
  <c r="N644" i="21"/>
  <c r="N645" i="21"/>
  <c r="N646" i="21"/>
  <c r="N647" i="21"/>
  <c r="N648" i="21"/>
  <c r="N649" i="21"/>
  <c r="N650" i="21"/>
  <c r="N651" i="21"/>
  <c r="N652" i="21"/>
  <c r="N653" i="21"/>
  <c r="N654" i="21"/>
  <c r="N655" i="21"/>
  <c r="N656" i="21"/>
  <c r="N657" i="21"/>
  <c r="N658" i="21"/>
  <c r="N659" i="21"/>
  <c r="N660" i="21"/>
  <c r="N661" i="21"/>
  <c r="N662" i="21"/>
  <c r="N663" i="21"/>
  <c r="N664" i="21"/>
  <c r="N665" i="21"/>
  <c r="N666" i="21"/>
  <c r="N667" i="21"/>
  <c r="N668" i="21"/>
  <c r="N669" i="21"/>
  <c r="N670" i="21"/>
  <c r="N671" i="21"/>
  <c r="N672" i="21"/>
  <c r="N673" i="21"/>
  <c r="N674" i="21"/>
  <c r="N675" i="21"/>
  <c r="N676" i="21"/>
  <c r="N677" i="21"/>
  <c r="N678" i="21"/>
  <c r="N679" i="21"/>
  <c r="N680" i="21"/>
  <c r="N681" i="21"/>
  <c r="N682" i="21"/>
  <c r="N683" i="21"/>
  <c r="N684" i="21"/>
  <c r="N685" i="21"/>
  <c r="N686" i="21"/>
  <c r="N687" i="21"/>
  <c r="N688" i="21"/>
  <c r="N689" i="21"/>
  <c r="N690" i="21"/>
  <c r="N691" i="21"/>
  <c r="N692" i="21"/>
  <c r="N693" i="21"/>
  <c r="N694" i="21"/>
  <c r="N695" i="21"/>
  <c r="N696" i="21"/>
  <c r="N697" i="21"/>
  <c r="N698" i="21"/>
  <c r="N699" i="21"/>
  <c r="N700" i="21"/>
  <c r="N701" i="21"/>
  <c r="N702" i="21"/>
  <c r="N703" i="21"/>
  <c r="N704" i="21"/>
  <c r="N705" i="21"/>
  <c r="N706" i="21"/>
  <c r="N707" i="21"/>
  <c r="N708" i="21"/>
  <c r="N709" i="21"/>
  <c r="N710" i="21"/>
  <c r="N711" i="21"/>
  <c r="N712" i="21"/>
  <c r="N713" i="21"/>
  <c r="N714" i="21"/>
  <c r="N715" i="21"/>
  <c r="N716" i="21"/>
  <c r="N717" i="21"/>
  <c r="N718" i="21"/>
  <c r="N719" i="21"/>
  <c r="N720" i="21"/>
  <c r="N721" i="21"/>
  <c r="N722" i="21"/>
  <c r="N723" i="21"/>
  <c r="N724" i="21"/>
  <c r="N725" i="21"/>
  <c r="N726" i="21"/>
  <c r="N727" i="21"/>
  <c r="N728" i="21"/>
  <c r="N729" i="21"/>
  <c r="N730" i="21"/>
  <c r="N731" i="21"/>
  <c r="N732" i="21"/>
  <c r="N733" i="21"/>
  <c r="N734" i="21"/>
  <c r="N735" i="21"/>
  <c r="N736" i="21"/>
  <c r="N737" i="21"/>
  <c r="N738" i="21"/>
  <c r="N739" i="21"/>
  <c r="N740" i="21"/>
  <c r="N741" i="21"/>
  <c r="N742" i="21"/>
  <c r="N743" i="21"/>
  <c r="N744" i="21"/>
  <c r="N745" i="21"/>
  <c r="N746" i="21"/>
  <c r="N747" i="21"/>
  <c r="N748" i="21"/>
  <c r="N749" i="21"/>
  <c r="N750" i="21"/>
  <c r="N751" i="21"/>
  <c r="N752" i="21"/>
  <c r="N753" i="21"/>
  <c r="N754" i="21"/>
  <c r="N755" i="21"/>
  <c r="N756" i="21"/>
  <c r="N757" i="21"/>
  <c r="N758" i="21"/>
  <c r="N759" i="21"/>
  <c r="N760" i="21"/>
  <c r="N761" i="21"/>
  <c r="N762" i="21"/>
  <c r="N763" i="21"/>
  <c r="N764" i="21"/>
  <c r="N765" i="21"/>
  <c r="N766" i="21"/>
  <c r="N767" i="21"/>
  <c r="N768" i="21"/>
  <c r="N769" i="21"/>
  <c r="N770" i="21"/>
  <c r="N771" i="21"/>
  <c r="N772" i="21"/>
  <c r="N773" i="21"/>
  <c r="N774" i="21"/>
  <c r="N775" i="21"/>
  <c r="N776" i="21"/>
  <c r="N777" i="21"/>
  <c r="N778" i="21"/>
  <c r="N779" i="21"/>
  <c r="N780" i="21"/>
  <c r="N781" i="21"/>
  <c r="N782" i="21"/>
  <c r="N783" i="21"/>
  <c r="N784" i="21"/>
  <c r="N785" i="21"/>
  <c r="N786" i="21"/>
  <c r="N787" i="21"/>
  <c r="N788" i="21"/>
  <c r="N789" i="21"/>
  <c r="N790" i="21"/>
  <c r="N791" i="21"/>
  <c r="N792" i="21"/>
  <c r="N793" i="21"/>
  <c r="N794" i="21"/>
  <c r="N795" i="21"/>
  <c r="N796" i="21"/>
  <c r="N797" i="21"/>
  <c r="N798" i="21"/>
  <c r="N799" i="21"/>
  <c r="N800" i="21"/>
  <c r="N801" i="21"/>
  <c r="N802" i="21"/>
  <c r="N803" i="21"/>
  <c r="N804" i="21"/>
  <c r="N805" i="21"/>
  <c r="N806" i="21"/>
  <c r="N807" i="21"/>
  <c r="N808" i="21"/>
  <c r="N809" i="21"/>
  <c r="N810" i="21"/>
  <c r="N811" i="21"/>
  <c r="N812" i="21"/>
  <c r="N813" i="21"/>
  <c r="N814" i="21"/>
  <c r="N815" i="21"/>
  <c r="N816" i="21"/>
  <c r="N817" i="21"/>
  <c r="N818" i="21"/>
  <c r="N819" i="21"/>
  <c r="N820" i="21"/>
  <c r="N821" i="21"/>
  <c r="N822" i="21"/>
  <c r="N823" i="21"/>
  <c r="N824" i="21"/>
  <c r="N825" i="21"/>
  <c r="N826" i="21"/>
  <c r="N827" i="21"/>
  <c r="N828" i="21"/>
  <c r="N829" i="21"/>
  <c r="N830" i="21"/>
  <c r="N831" i="21"/>
  <c r="N832" i="21"/>
  <c r="N833" i="21"/>
  <c r="N834" i="21"/>
  <c r="N835" i="21"/>
  <c r="N836" i="21"/>
  <c r="N837" i="21"/>
  <c r="N838" i="21"/>
  <c r="N839" i="21"/>
  <c r="N840" i="21"/>
  <c r="N841" i="21"/>
  <c r="N842" i="21"/>
  <c r="N843" i="21"/>
  <c r="N844" i="21"/>
  <c r="N845" i="21"/>
  <c r="N846" i="21"/>
  <c r="N847" i="21"/>
  <c r="N848" i="21"/>
  <c r="N849" i="21"/>
  <c r="N850" i="21"/>
  <c r="N851" i="21"/>
  <c r="N852" i="21"/>
  <c r="N853" i="21"/>
  <c r="N854" i="21"/>
  <c r="N855" i="21"/>
  <c r="N856" i="21"/>
  <c r="N857" i="21"/>
  <c r="N858" i="21"/>
  <c r="N859" i="21"/>
  <c r="N860" i="21"/>
  <c r="N861" i="21"/>
  <c r="N862" i="21"/>
  <c r="N863" i="21"/>
  <c r="N864" i="21"/>
  <c r="N865" i="21"/>
  <c r="N866" i="21"/>
  <c r="N867" i="21"/>
  <c r="N868" i="21"/>
  <c r="N869" i="21"/>
  <c r="N870" i="21"/>
  <c r="N871" i="21"/>
  <c r="N872" i="21"/>
  <c r="N873" i="21"/>
  <c r="N874" i="21"/>
  <c r="N875" i="21"/>
  <c r="N876" i="21"/>
  <c r="N877" i="21"/>
  <c r="N878" i="21"/>
  <c r="N879" i="21"/>
  <c r="N880" i="21"/>
  <c r="N881" i="21"/>
  <c r="N882" i="21"/>
  <c r="N883" i="21"/>
  <c r="N884" i="21"/>
  <c r="N885" i="21"/>
  <c r="N886" i="21"/>
  <c r="N887" i="21"/>
  <c r="N888" i="21"/>
  <c r="N889" i="21"/>
  <c r="N890" i="21"/>
  <c r="N891" i="21"/>
  <c r="N892" i="21"/>
  <c r="N893" i="21"/>
  <c r="N894" i="21"/>
  <c r="N895" i="21"/>
  <c r="N896" i="21"/>
  <c r="N897" i="21"/>
  <c r="N898" i="21"/>
  <c r="N899" i="21"/>
  <c r="N900" i="21"/>
  <c r="N901" i="21"/>
  <c r="N902" i="21"/>
  <c r="N903" i="21"/>
  <c r="N904" i="21"/>
  <c r="N905" i="21"/>
  <c r="N906" i="21"/>
  <c r="N907" i="21"/>
  <c r="N908" i="21"/>
  <c r="N909" i="21"/>
  <c r="N910" i="21"/>
  <c r="N911" i="21"/>
  <c r="N912" i="21"/>
  <c r="N913" i="21"/>
  <c r="N914" i="21"/>
  <c r="N915" i="21"/>
  <c r="N916" i="21"/>
  <c r="N917" i="21"/>
  <c r="N918" i="21"/>
  <c r="N919" i="21"/>
  <c r="N920" i="21"/>
  <c r="N921" i="21"/>
  <c r="N922" i="21"/>
  <c r="N923" i="21"/>
  <c r="N924" i="21"/>
  <c r="N925" i="21"/>
  <c r="N926" i="21"/>
  <c r="N927" i="21"/>
  <c r="N928" i="21"/>
  <c r="N929" i="21"/>
  <c r="N930" i="21"/>
  <c r="N931" i="21"/>
  <c r="N932" i="21"/>
  <c r="N933" i="21"/>
  <c r="N934" i="21"/>
  <c r="N935" i="21"/>
  <c r="N936" i="21"/>
  <c r="N937" i="21"/>
  <c r="N938" i="21"/>
  <c r="N939" i="21"/>
  <c r="N940" i="21"/>
  <c r="N941" i="21"/>
  <c r="N942" i="21"/>
  <c r="N943" i="21"/>
  <c r="N944" i="21"/>
  <c r="N945" i="21"/>
  <c r="N946" i="21"/>
  <c r="N947" i="21"/>
  <c r="N948" i="21"/>
  <c r="N949" i="21"/>
  <c r="N950" i="21"/>
  <c r="N951" i="21"/>
  <c r="N952" i="21"/>
  <c r="N953" i="21"/>
  <c r="N954" i="21"/>
  <c r="N955" i="21"/>
  <c r="N956" i="21"/>
  <c r="N957" i="21"/>
  <c r="N958" i="21"/>
  <c r="N959" i="21"/>
  <c r="N960" i="21"/>
  <c r="N961" i="21"/>
  <c r="N962" i="21"/>
  <c r="N963" i="21"/>
  <c r="N964" i="21"/>
  <c r="N965" i="21"/>
  <c r="N966" i="21"/>
  <c r="N967" i="21"/>
  <c r="N968" i="21"/>
  <c r="N969" i="21"/>
  <c r="N970" i="21"/>
  <c r="N971" i="21"/>
  <c r="N972" i="21"/>
  <c r="N973" i="21"/>
  <c r="N974" i="21"/>
  <c r="N975" i="21"/>
  <c r="N976" i="21"/>
  <c r="N977" i="21"/>
  <c r="N978" i="21"/>
  <c r="N979" i="21"/>
  <c r="N980" i="21"/>
  <c r="N981" i="21"/>
  <c r="N982" i="21"/>
  <c r="N983" i="21"/>
  <c r="N984" i="21"/>
  <c r="N985" i="21"/>
  <c r="N986" i="21"/>
  <c r="N987" i="21"/>
  <c r="N988" i="21"/>
  <c r="N989" i="21"/>
  <c r="N990" i="21"/>
  <c r="N991" i="21"/>
  <c r="N992" i="21"/>
  <c r="N993" i="21"/>
  <c r="N994" i="21"/>
  <c r="N995" i="21"/>
  <c r="N996" i="21"/>
  <c r="N997" i="21"/>
  <c r="N998" i="21"/>
  <c r="N999" i="21"/>
  <c r="N1000" i="21"/>
  <c r="N1001" i="21"/>
  <c r="Q2065" i="21" l="1"/>
  <c r="T2065" i="21" s="1"/>
  <c r="Q2181" i="21"/>
  <c r="S2163" i="21"/>
  <c r="S2176" i="21"/>
  <c r="S2367" i="21"/>
  <c r="S2171" i="21"/>
  <c r="S2256" i="21"/>
  <c r="Q2122" i="21"/>
  <c r="T2184" i="21"/>
  <c r="T2197" i="21"/>
  <c r="Q2264" i="21"/>
  <c r="S2063" i="21"/>
  <c r="T2373" i="21"/>
  <c r="T2488" i="21"/>
  <c r="Q2226" i="21"/>
  <c r="S2043" i="21"/>
  <c r="Q2133" i="21"/>
  <c r="S2187" i="21"/>
  <c r="S2290" i="21"/>
  <c r="T2041" i="21"/>
  <c r="Q2086" i="21"/>
  <c r="T2086" i="21" s="1"/>
  <c r="S2277" i="21"/>
  <c r="T2319" i="21"/>
  <c r="S2211" i="21"/>
  <c r="T2219" i="21"/>
  <c r="S2224" i="21"/>
  <c r="Q2049" i="21"/>
  <c r="Q2079" i="21"/>
  <c r="T2079" i="21" s="1"/>
  <c r="S2136" i="21"/>
  <c r="Q2356" i="21"/>
  <c r="T2356" i="21" s="1"/>
  <c r="S2072" i="21"/>
  <c r="T2147" i="21"/>
  <c r="Q2338" i="21"/>
  <c r="Q2269" i="21"/>
  <c r="T2011" i="21"/>
  <c r="S2112" i="21"/>
  <c r="S2325" i="21"/>
  <c r="T2338" i="21"/>
  <c r="Q2490" i="21"/>
  <c r="T2027" i="21"/>
  <c r="T2133" i="21"/>
  <c r="Q2146" i="21"/>
  <c r="Q2189" i="21"/>
  <c r="T2189" i="21" s="1"/>
  <c r="S2235" i="21"/>
  <c r="Q2300" i="21"/>
  <c r="T2300" i="21" s="1"/>
  <c r="T2426" i="21"/>
  <c r="Q2346" i="21"/>
  <c r="T2346" i="21" s="1"/>
  <c r="S2413" i="21"/>
  <c r="S2131" i="21"/>
  <c r="T2275" i="21"/>
  <c r="S2426" i="21"/>
  <c r="T2080" i="21"/>
  <c r="T2349" i="21"/>
  <c r="S2080" i="21"/>
  <c r="T2139" i="21"/>
  <c r="Q2154" i="21"/>
  <c r="Q2200" i="21"/>
  <c r="T2200" i="21" s="1"/>
  <c r="T2256" i="21"/>
  <c r="T2293" i="21"/>
  <c r="Q2370" i="21"/>
  <c r="T2375" i="21"/>
  <c r="S2429" i="21"/>
  <c r="T2311" i="21"/>
  <c r="S2365" i="21"/>
  <c r="Q2031" i="21"/>
  <c r="Q2152" i="21"/>
  <c r="T2309" i="21"/>
  <c r="T2122" i="21"/>
  <c r="S2157" i="21"/>
  <c r="T2216" i="21"/>
  <c r="T2224" i="21"/>
  <c r="S2373" i="21"/>
  <c r="T2091" i="21"/>
  <c r="T2264" i="21"/>
  <c r="T2335" i="21"/>
  <c r="Q2340" i="21"/>
  <c r="T2417" i="21"/>
  <c r="T2492" i="21"/>
  <c r="Q2055" i="21"/>
  <c r="T2055" i="21" s="1"/>
  <c r="S2057" i="21"/>
  <c r="Q2186" i="21"/>
  <c r="T2186" i="21" s="1"/>
  <c r="S2216" i="21"/>
  <c r="Q2221" i="21"/>
  <c r="T2221" i="21" s="1"/>
  <c r="Q2250" i="21"/>
  <c r="T2250" i="21" s="1"/>
  <c r="S2259" i="21"/>
  <c r="S2293" i="21"/>
  <c r="T2306" i="21"/>
  <c r="T2343" i="21"/>
  <c r="T2405" i="21"/>
  <c r="Q2410" i="21"/>
  <c r="T2445" i="21"/>
  <c r="S2071" i="21"/>
  <c r="S2493" i="21"/>
  <c r="Q2016" i="21"/>
  <c r="T2016" i="21" s="1"/>
  <c r="Q2069" i="21"/>
  <c r="T2069" i="21" s="1"/>
  <c r="Q2093" i="21"/>
  <c r="T2093" i="21" s="1"/>
  <c r="Q2170" i="21"/>
  <c r="T2170" i="21" s="1"/>
  <c r="Q2205" i="21"/>
  <c r="T2438" i="21"/>
  <c r="Q2450" i="21"/>
  <c r="T2450" i="21" s="1"/>
  <c r="T2501" i="21"/>
  <c r="T2136" i="21"/>
  <c r="S2184" i="21"/>
  <c r="T2269" i="21"/>
  <c r="T2341" i="21"/>
  <c r="T2413" i="21"/>
  <c r="Q2458" i="21"/>
  <c r="T2458" i="21" s="1"/>
  <c r="Q2506" i="21"/>
  <c r="T2506" i="21" s="1"/>
  <c r="Q2173" i="21"/>
  <c r="T2173" i="21" s="1"/>
  <c r="Q2208" i="21"/>
  <c r="T2208" i="21" s="1"/>
  <c r="Q2354" i="21"/>
  <c r="T2354" i="21" s="1"/>
  <c r="Q2194" i="21"/>
  <c r="T2194" i="21" s="1"/>
  <c r="T2227" i="21"/>
  <c r="Q2251" i="21"/>
  <c r="T2251" i="21" s="1"/>
  <c r="S2327" i="21"/>
  <c r="S2349" i="21"/>
  <c r="Q2364" i="21"/>
  <c r="T2364" i="21" s="1"/>
  <c r="T2376" i="21"/>
  <c r="T2381" i="21"/>
  <c r="Q2386" i="21"/>
  <c r="T2386" i="21" s="1"/>
  <c r="Q2466" i="21"/>
  <c r="Q2032" i="21"/>
  <c r="T2032" i="21" s="1"/>
  <c r="T2099" i="21"/>
  <c r="T2112" i="21"/>
  <c r="T2272" i="21"/>
  <c r="T2359" i="21"/>
  <c r="S2381" i="21"/>
  <c r="T2446" i="21"/>
  <c r="S2461" i="21"/>
  <c r="Q2213" i="21"/>
  <c r="T2213" i="21" s="1"/>
  <c r="Q2232" i="21"/>
  <c r="Q2047" i="21"/>
  <c r="T2047" i="21" s="1"/>
  <c r="Q2125" i="21"/>
  <c r="T2125" i="21" s="1"/>
  <c r="Q2178" i="21"/>
  <c r="T2178" i="21" s="1"/>
  <c r="S2272" i="21"/>
  <c r="Q2362" i="21"/>
  <c r="T2362" i="21" s="1"/>
  <c r="Q2394" i="21"/>
  <c r="T2394" i="21" s="1"/>
  <c r="T2429" i="21"/>
  <c r="T2451" i="21"/>
  <c r="T2477" i="21"/>
  <c r="Q2015" i="21"/>
  <c r="T2015" i="21" s="1"/>
  <c r="Q2025" i="21"/>
  <c r="T2025" i="21" s="1"/>
  <c r="T2157" i="21"/>
  <c r="T2290" i="21"/>
  <c r="T2333" i="21"/>
  <c r="S2335" i="21"/>
  <c r="S2357" i="21"/>
  <c r="S2389" i="21"/>
  <c r="T2059" i="21"/>
  <c r="T2075" i="21"/>
  <c r="T2442" i="21"/>
  <c r="Q2162" i="21"/>
  <c r="T2162" i="21" s="1"/>
  <c r="S2333" i="21"/>
  <c r="T2073" i="21"/>
  <c r="T2085" i="21"/>
  <c r="Q2202" i="21"/>
  <c r="T2202" i="21" s="1"/>
  <c r="T2240" i="21"/>
  <c r="T2259" i="21"/>
  <c r="T2280" i="21"/>
  <c r="S2397" i="21"/>
  <c r="Q2402" i="21"/>
  <c r="T2412" i="21"/>
  <c r="S2442" i="21"/>
  <c r="Q2023" i="21"/>
  <c r="T2023" i="21" s="1"/>
  <c r="Q2039" i="21"/>
  <c r="T2039" i="21" s="1"/>
  <c r="Q2048" i="21"/>
  <c r="T2048" i="21" s="1"/>
  <c r="Q2084" i="21"/>
  <c r="T2084" i="21" s="1"/>
  <c r="Q2141" i="21"/>
  <c r="T2141" i="21" s="1"/>
  <c r="Q2168" i="21"/>
  <c r="T2168" i="21" s="1"/>
  <c r="S2179" i="21"/>
  <c r="T2195" i="21"/>
  <c r="Q2242" i="21"/>
  <c r="T2242" i="21" s="1"/>
  <c r="Q2253" i="21"/>
  <c r="T2253" i="21" s="1"/>
  <c r="Q2266" i="21"/>
  <c r="T2266" i="21" s="1"/>
  <c r="Q2287" i="21"/>
  <c r="T2287" i="21" s="1"/>
  <c r="T2357" i="21"/>
  <c r="S2359" i="21"/>
  <c r="Q2418" i="21"/>
  <c r="T2418" i="21" s="1"/>
  <c r="S2437" i="21"/>
  <c r="S2453" i="21"/>
  <c r="S2485" i="21"/>
  <c r="Q2061" i="21"/>
  <c r="T2061" i="21" s="1"/>
  <c r="S2309" i="21"/>
  <c r="S2501" i="21"/>
  <c r="T2076" i="21"/>
  <c r="Q2082" i="21"/>
  <c r="T2082" i="21" s="1"/>
  <c r="S2195" i="21"/>
  <c r="T2211" i="21"/>
  <c r="Q2380" i="21"/>
  <c r="T2380" i="21" s="1"/>
  <c r="T2461" i="21"/>
  <c r="T2019" i="21"/>
  <c r="T2035" i="21"/>
  <c r="T2057" i="21"/>
  <c r="S2059" i="21"/>
  <c r="T2089" i="21"/>
  <c r="T2101" i="21"/>
  <c r="T2128" i="21"/>
  <c r="S2139" i="21"/>
  <c r="T2155" i="21"/>
  <c r="T2229" i="21"/>
  <c r="T2285" i="21"/>
  <c r="S2319" i="21"/>
  <c r="T2421" i="21"/>
  <c r="T2466" i="21"/>
  <c r="T2490" i="21"/>
  <c r="T2499" i="21"/>
  <c r="S2019" i="21"/>
  <c r="S2035" i="21"/>
  <c r="T2068" i="21"/>
  <c r="S2101" i="21"/>
  <c r="Q2144" i="21"/>
  <c r="T2144" i="21" s="1"/>
  <c r="S2155" i="21"/>
  <c r="T2171" i="21"/>
  <c r="Q2218" i="21"/>
  <c r="T2218" i="21" s="1"/>
  <c r="Q2245" i="21"/>
  <c r="T2245" i="21" s="1"/>
  <c r="Q2258" i="21"/>
  <c r="T2258" i="21" s="1"/>
  <c r="Q2295" i="21"/>
  <c r="T2295" i="21" s="1"/>
  <c r="T2317" i="21"/>
  <c r="T2327" i="21"/>
  <c r="Q2348" i="21"/>
  <c r="T2348" i="21" s="1"/>
  <c r="T2367" i="21"/>
  <c r="Q2378" i="21"/>
  <c r="T2378" i="21" s="1"/>
  <c r="S2421" i="21"/>
  <c r="S2099" i="21"/>
  <c r="S2227" i="21"/>
  <c r="S2280" i="21"/>
  <c r="S2317" i="21"/>
  <c r="Q2017" i="21"/>
  <c r="T2017" i="21" s="1"/>
  <c r="Q2024" i="21"/>
  <c r="T2024" i="21" s="1"/>
  <c r="Q2033" i="21"/>
  <c r="T2033" i="21" s="1"/>
  <c r="Q2040" i="21"/>
  <c r="T2040" i="21" s="1"/>
  <c r="Q2064" i="21"/>
  <c r="T2064" i="21" s="1"/>
  <c r="S2068" i="21"/>
  <c r="Q2104" i="21"/>
  <c r="T2104" i="21" s="1"/>
  <c r="T2131" i="21"/>
  <c r="Q2160" i="21"/>
  <c r="T2160" i="21" s="1"/>
  <c r="T2187" i="21"/>
  <c r="Q2234" i="21"/>
  <c r="T2234" i="21" s="1"/>
  <c r="Q2267" i="21"/>
  <c r="T2267" i="21" s="1"/>
  <c r="T2325" i="21"/>
  <c r="Q2332" i="21"/>
  <c r="T2332" i="21" s="1"/>
  <c r="T2365" i="21"/>
  <c r="Q2372" i="21"/>
  <c r="T2372" i="21" s="1"/>
  <c r="Q2474" i="21"/>
  <c r="T2474" i="21" s="1"/>
  <c r="T2031" i="21"/>
  <c r="T2049" i="21"/>
  <c r="S2051" i="21"/>
  <c r="T2109" i="21"/>
  <c r="T2205" i="21"/>
  <c r="T2232" i="21"/>
  <c r="S2243" i="21"/>
  <c r="T2278" i="21"/>
  <c r="S2405" i="21"/>
  <c r="S2469" i="21"/>
  <c r="T2493" i="21"/>
  <c r="T2083" i="21"/>
  <c r="T2149" i="21"/>
  <c r="T2176" i="21"/>
  <c r="T2203" i="21"/>
  <c r="T2286" i="21"/>
  <c r="T2351" i="21"/>
  <c r="Q2056" i="21"/>
  <c r="T2056" i="21" s="1"/>
  <c r="Q2077" i="21"/>
  <c r="T2077" i="21" s="1"/>
  <c r="T2081" i="21"/>
  <c r="Q2088" i="21"/>
  <c r="T2088" i="21" s="1"/>
  <c r="Q2090" i="21"/>
  <c r="T2090" i="21" s="1"/>
  <c r="T2107" i="21"/>
  <c r="Q2138" i="21"/>
  <c r="T2138" i="21" s="1"/>
  <c r="Q2165" i="21"/>
  <c r="T2165" i="21" s="1"/>
  <c r="Q2192" i="21"/>
  <c r="T2192" i="21" s="1"/>
  <c r="S2203" i="21"/>
  <c r="Q2248" i="21"/>
  <c r="T2248" i="21" s="1"/>
  <c r="Q2261" i="21"/>
  <c r="T2261" i="21" s="1"/>
  <c r="Q2274" i="21"/>
  <c r="T2274" i="21" s="1"/>
  <c r="Q2434" i="21"/>
  <c r="T2434" i="21" s="1"/>
  <c r="Q2482" i="21"/>
  <c r="T2482" i="21" s="1"/>
  <c r="Q2498" i="21"/>
  <c r="T2498" i="21" s="1"/>
  <c r="T2043" i="21"/>
  <c r="S2075" i="21"/>
  <c r="S2081" i="21"/>
  <c r="S2107" i="21"/>
  <c r="S2147" i="21"/>
  <c r="T2163" i="21"/>
  <c r="Q2210" i="21"/>
  <c r="T2210" i="21" s="1"/>
  <c r="Q2237" i="21"/>
  <c r="T2237" i="21" s="1"/>
  <c r="T2441" i="21"/>
  <c r="S2477" i="21"/>
  <c r="S2011" i="21"/>
  <c r="S2027" i="21"/>
  <c r="T2067" i="21"/>
  <c r="T2120" i="21"/>
  <c r="T2154" i="21"/>
  <c r="T2181" i="21"/>
  <c r="S2219" i="21"/>
  <c r="T2235" i="21"/>
  <c r="T2389" i="21"/>
  <c r="T2115" i="21"/>
  <c r="T2152" i="21"/>
  <c r="T2179" i="21"/>
  <c r="T2226" i="21"/>
  <c r="T2340" i="21"/>
  <c r="T2437" i="21"/>
  <c r="T2453" i="21"/>
  <c r="T2485" i="21"/>
  <c r="S2085" i="21"/>
  <c r="S2120" i="21"/>
  <c r="S2399" i="21"/>
  <c r="Q2399" i="21"/>
  <c r="T2399" i="21" s="1"/>
  <c r="Q2013" i="21"/>
  <c r="T2013" i="21" s="1"/>
  <c r="Q2021" i="21"/>
  <c r="T2021" i="21" s="1"/>
  <c r="Q2029" i="21"/>
  <c r="T2029" i="21" s="1"/>
  <c r="Q2037" i="21"/>
  <c r="T2037" i="21" s="1"/>
  <c r="Q2045" i="21"/>
  <c r="T2045" i="21" s="1"/>
  <c r="Q2053" i="21"/>
  <c r="T2053" i="21" s="1"/>
  <c r="S2089" i="21"/>
  <c r="S2282" i="21"/>
  <c r="Q2282" i="21"/>
  <c r="T2282" i="21" s="1"/>
  <c r="S2137" i="21"/>
  <c r="Q2137" i="21"/>
  <c r="T2137" i="21" s="1"/>
  <c r="S2297" i="21"/>
  <c r="Q2297" i="21"/>
  <c r="T2297" i="21" s="1"/>
  <c r="Q2010" i="21"/>
  <c r="T2010" i="21" s="1"/>
  <c r="Q2018" i="21"/>
  <c r="T2018" i="21" s="1"/>
  <c r="Q2026" i="21"/>
  <c r="T2026" i="21" s="1"/>
  <c r="Q2034" i="21"/>
  <c r="T2034" i="21" s="1"/>
  <c r="Q2042" i="21"/>
  <c r="T2042" i="21" s="1"/>
  <c r="Q2050" i="21"/>
  <c r="T2050" i="21" s="1"/>
  <c r="Q2058" i="21"/>
  <c r="T2058" i="21" s="1"/>
  <c r="Q2066" i="21"/>
  <c r="T2066" i="21" s="1"/>
  <c r="Q2074" i="21"/>
  <c r="T2074" i="21" s="1"/>
  <c r="S2091" i="21"/>
  <c r="S2095" i="21"/>
  <c r="Q2095" i="21"/>
  <c r="T2095" i="21" s="1"/>
  <c r="S2097" i="21"/>
  <c r="Q2097" i="21"/>
  <c r="T2097" i="21" s="1"/>
  <c r="S2135" i="21"/>
  <c r="Q2135" i="21"/>
  <c r="T2135" i="21" s="1"/>
  <c r="S2087" i="21"/>
  <c r="Q2087" i="21"/>
  <c r="T2087" i="21" s="1"/>
  <c r="S2103" i="21"/>
  <c r="Q2103" i="21"/>
  <c r="T2103" i="21" s="1"/>
  <c r="S2105" i="21"/>
  <c r="Q2105" i="21"/>
  <c r="T2105" i="21" s="1"/>
  <c r="T2146" i="21"/>
  <c r="S2111" i="21"/>
  <c r="Q2111" i="21"/>
  <c r="T2111" i="21" s="1"/>
  <c r="S2113" i="21"/>
  <c r="Q2113" i="21"/>
  <c r="T2113" i="21" s="1"/>
  <c r="S2127" i="21"/>
  <c r="Q2127" i="21"/>
  <c r="T2127" i="21" s="1"/>
  <c r="S2129" i="21"/>
  <c r="Q2129" i="21"/>
  <c r="T2129" i="21" s="1"/>
  <c r="Q2117" i="21"/>
  <c r="T2117" i="21" s="1"/>
  <c r="S2119" i="21"/>
  <c r="Q2119" i="21"/>
  <c r="T2119" i="21" s="1"/>
  <c r="S2121" i="21"/>
  <c r="Q2121" i="21"/>
  <c r="T2121" i="21" s="1"/>
  <c r="Q2012" i="21"/>
  <c r="T2012" i="21" s="1"/>
  <c r="Q2020" i="21"/>
  <c r="T2020" i="21" s="1"/>
  <c r="Q2028" i="21"/>
  <c r="T2028" i="21" s="1"/>
  <c r="Q2036" i="21"/>
  <c r="T2036" i="21" s="1"/>
  <c r="Q2044" i="21"/>
  <c r="T2044" i="21" s="1"/>
  <c r="Q2052" i="21"/>
  <c r="T2052" i="21" s="1"/>
  <c r="Q2060" i="21"/>
  <c r="T2060" i="21" s="1"/>
  <c r="S2115" i="21"/>
  <c r="S2123" i="21"/>
  <c r="S2303" i="21"/>
  <c r="Q2303" i="21"/>
  <c r="T2303" i="21" s="1"/>
  <c r="Q2009" i="21"/>
  <c r="T2009" i="21" s="1"/>
  <c r="S2092" i="21"/>
  <c r="Q2092" i="21"/>
  <c r="T2092" i="21" s="1"/>
  <c r="S2337" i="21"/>
  <c r="Q2337" i="21"/>
  <c r="T2337" i="21" s="1"/>
  <c r="Q2014" i="21"/>
  <c r="T2014" i="21" s="1"/>
  <c r="Q2022" i="21"/>
  <c r="T2022" i="21" s="1"/>
  <c r="Q2030" i="21"/>
  <c r="T2030" i="21" s="1"/>
  <c r="Q2038" i="21"/>
  <c r="T2038" i="21" s="1"/>
  <c r="Q2046" i="21"/>
  <c r="T2046" i="21" s="1"/>
  <c r="Q2054" i="21"/>
  <c r="T2054" i="21" s="1"/>
  <c r="Q2062" i="21"/>
  <c r="T2062" i="21" s="1"/>
  <c r="Q2070" i="21"/>
  <c r="T2070" i="21" s="1"/>
  <c r="Q2078" i="21"/>
  <c r="T2078" i="21" s="1"/>
  <c r="Q2094" i="21"/>
  <c r="T2094" i="21" s="1"/>
  <c r="Q2096" i="21"/>
  <c r="T2096" i="21" s="1"/>
  <c r="S2100" i="21"/>
  <c r="Q2100" i="21"/>
  <c r="T2100" i="21" s="1"/>
  <c r="S2132" i="21"/>
  <c r="Q2132" i="21"/>
  <c r="T2132" i="21" s="1"/>
  <c r="Q2098" i="21"/>
  <c r="T2098" i="21" s="1"/>
  <c r="S2102" i="21"/>
  <c r="Q2102" i="21"/>
  <c r="T2102" i="21" s="1"/>
  <c r="S2108" i="21"/>
  <c r="Q2108" i="21"/>
  <c r="T2108" i="21" s="1"/>
  <c r="S2134" i="21"/>
  <c r="Q2134" i="21"/>
  <c r="T2134" i="21" s="1"/>
  <c r="Q2301" i="21"/>
  <c r="T2301" i="21" s="1"/>
  <c r="S2301" i="21"/>
  <c r="S2083" i="21"/>
  <c r="Q2106" i="21"/>
  <c r="T2106" i="21" s="1"/>
  <c r="S2110" i="21"/>
  <c r="Q2110" i="21"/>
  <c r="T2110" i="21" s="1"/>
  <c r="S2116" i="21"/>
  <c r="Q2116" i="21"/>
  <c r="T2116" i="21" s="1"/>
  <c r="S2124" i="21"/>
  <c r="Q2124" i="21"/>
  <c r="T2124" i="21" s="1"/>
  <c r="Q2130" i="21"/>
  <c r="T2130" i="21" s="1"/>
  <c r="Q2114" i="21"/>
  <c r="T2114" i="21" s="1"/>
  <c r="S2118" i="21"/>
  <c r="Q2118" i="21"/>
  <c r="T2118" i="21" s="1"/>
  <c r="S2126" i="21"/>
  <c r="Q2126" i="21"/>
  <c r="T2126" i="21" s="1"/>
  <c r="S2143" i="21"/>
  <c r="Q2143" i="21"/>
  <c r="T2143" i="21" s="1"/>
  <c r="S2299" i="21"/>
  <c r="Q2299" i="21"/>
  <c r="T2299" i="21" s="1"/>
  <c r="S2305" i="21"/>
  <c r="Q2305" i="21"/>
  <c r="T2305" i="21" s="1"/>
  <c r="S2307" i="21"/>
  <c r="Q2307" i="21"/>
  <c r="T2307" i="21" s="1"/>
  <c r="S2315" i="21"/>
  <c r="Q2315" i="21"/>
  <c r="T2315" i="21" s="1"/>
  <c r="S2353" i="21"/>
  <c r="Q2353" i="21"/>
  <c r="T2353" i="21" s="1"/>
  <c r="S2369" i="21"/>
  <c r="Q2369" i="21"/>
  <c r="T2369" i="21" s="1"/>
  <c r="S2313" i="21"/>
  <c r="Q2313" i="21"/>
  <c r="T2313" i="21" s="1"/>
  <c r="S2326" i="21"/>
  <c r="Q2326" i="21"/>
  <c r="T2326" i="21" s="1"/>
  <c r="S2385" i="21"/>
  <c r="Q2385" i="21"/>
  <c r="T2385" i="21" s="1"/>
  <c r="S2423" i="21"/>
  <c r="Q2423" i="21"/>
  <c r="T2423" i="21" s="1"/>
  <c r="Q2284" i="21"/>
  <c r="T2284" i="21" s="1"/>
  <c r="Q2324" i="21"/>
  <c r="T2324" i="21" s="1"/>
  <c r="T2402" i="21"/>
  <c r="S2351" i="21"/>
  <c r="Q2279" i="21"/>
  <c r="T2279" i="21" s="1"/>
  <c r="Q2322" i="21"/>
  <c r="T2322" i="21" s="1"/>
  <c r="S2383" i="21"/>
  <c r="Q2383" i="21"/>
  <c r="T2383" i="21" s="1"/>
  <c r="S2407" i="21"/>
  <c r="Q2407" i="21"/>
  <c r="T2407" i="21" s="1"/>
  <c r="Q2151" i="21"/>
  <c r="T2151" i="21" s="1"/>
  <c r="Q2159" i="21"/>
  <c r="T2159" i="21" s="1"/>
  <c r="Q2167" i="21"/>
  <c r="T2167" i="21" s="1"/>
  <c r="Q2175" i="21"/>
  <c r="T2175" i="21" s="1"/>
  <c r="Q2183" i="21"/>
  <c r="T2183" i="21" s="1"/>
  <c r="Q2191" i="21"/>
  <c r="T2191" i="21" s="1"/>
  <c r="Q2199" i="21"/>
  <c r="T2199" i="21" s="1"/>
  <c r="Q2207" i="21"/>
  <c r="T2207" i="21" s="1"/>
  <c r="Q2215" i="21"/>
  <c r="T2215" i="21" s="1"/>
  <c r="Q2223" i="21"/>
  <c r="T2223" i="21" s="1"/>
  <c r="Q2231" i="21"/>
  <c r="T2231" i="21" s="1"/>
  <c r="Q2239" i="21"/>
  <c r="T2239" i="21" s="1"/>
  <c r="Q2247" i="21"/>
  <c r="T2247" i="21" s="1"/>
  <c r="Q2255" i="21"/>
  <c r="T2255" i="21" s="1"/>
  <c r="Q2263" i="21"/>
  <c r="T2263" i="21" s="1"/>
  <c r="Q2271" i="21"/>
  <c r="T2271" i="21" s="1"/>
  <c r="S2286" i="21"/>
  <c r="S2288" i="21"/>
  <c r="Q2288" i="21"/>
  <c r="T2288" i="21" s="1"/>
  <c r="S2294" i="21"/>
  <c r="Q2294" i="21"/>
  <c r="T2294" i="21" s="1"/>
  <c r="S2318" i="21"/>
  <c r="Q2318" i="21"/>
  <c r="T2318" i="21" s="1"/>
  <c r="Q2140" i="21"/>
  <c r="T2140" i="21" s="1"/>
  <c r="Q2148" i="21"/>
  <c r="T2148" i="21" s="1"/>
  <c r="Q2156" i="21"/>
  <c r="T2156" i="21" s="1"/>
  <c r="Q2164" i="21"/>
  <c r="T2164" i="21" s="1"/>
  <c r="Q2172" i="21"/>
  <c r="T2172" i="21" s="1"/>
  <c r="Q2180" i="21"/>
  <c r="T2180" i="21" s="1"/>
  <c r="Q2188" i="21"/>
  <c r="T2188" i="21" s="1"/>
  <c r="Q2196" i="21"/>
  <c r="T2196" i="21" s="1"/>
  <c r="Q2204" i="21"/>
  <c r="T2204" i="21" s="1"/>
  <c r="Q2212" i="21"/>
  <c r="T2212" i="21" s="1"/>
  <c r="Q2220" i="21"/>
  <c r="T2220" i="21" s="1"/>
  <c r="Q2228" i="21"/>
  <c r="T2228" i="21" s="1"/>
  <c r="Q2236" i="21"/>
  <c r="T2236" i="21" s="1"/>
  <c r="Q2244" i="21"/>
  <c r="T2244" i="21" s="1"/>
  <c r="Q2252" i="21"/>
  <c r="T2252" i="21" s="1"/>
  <c r="Q2260" i="21"/>
  <c r="T2260" i="21" s="1"/>
  <c r="Q2268" i="21"/>
  <c r="T2268" i="21" s="1"/>
  <c r="Q2276" i="21"/>
  <c r="T2276" i="21" s="1"/>
  <c r="Q2281" i="21"/>
  <c r="T2281" i="21" s="1"/>
  <c r="Q2292" i="21"/>
  <c r="T2292" i="21" s="1"/>
  <c r="S2296" i="21"/>
  <c r="Q2296" i="21"/>
  <c r="T2296" i="21" s="1"/>
  <c r="Q2298" i="21"/>
  <c r="T2298" i="21" s="1"/>
  <c r="S2302" i="21"/>
  <c r="Q2302" i="21"/>
  <c r="T2302" i="21" s="1"/>
  <c r="Q2316" i="21"/>
  <c r="T2316" i="21" s="1"/>
  <c r="S2329" i="21"/>
  <c r="Q2329" i="21"/>
  <c r="T2329" i="21" s="1"/>
  <c r="T2370" i="21"/>
  <c r="T2410" i="21"/>
  <c r="S2304" i="21"/>
  <c r="Q2304" i="21"/>
  <c r="T2304" i="21" s="1"/>
  <c r="S2310" i="21"/>
  <c r="Q2310" i="21"/>
  <c r="T2310" i="21" s="1"/>
  <c r="S2345" i="21"/>
  <c r="Q2345" i="21"/>
  <c r="T2345" i="21" s="1"/>
  <c r="S2361" i="21"/>
  <c r="Q2361" i="21"/>
  <c r="T2361" i="21" s="1"/>
  <c r="S2431" i="21"/>
  <c r="Q2431" i="21"/>
  <c r="T2431" i="21" s="1"/>
  <c r="Q2145" i="21"/>
  <c r="T2145" i="21" s="1"/>
  <c r="Q2153" i="21"/>
  <c r="T2153" i="21" s="1"/>
  <c r="Q2161" i="21"/>
  <c r="T2161" i="21" s="1"/>
  <c r="Q2169" i="21"/>
  <c r="T2169" i="21" s="1"/>
  <c r="Q2177" i="21"/>
  <c r="T2177" i="21" s="1"/>
  <c r="Q2185" i="21"/>
  <c r="T2185" i="21" s="1"/>
  <c r="Q2193" i="21"/>
  <c r="T2193" i="21" s="1"/>
  <c r="Q2201" i="21"/>
  <c r="T2201" i="21" s="1"/>
  <c r="Q2209" i="21"/>
  <c r="T2209" i="21" s="1"/>
  <c r="Q2217" i="21"/>
  <c r="T2217" i="21" s="1"/>
  <c r="Q2225" i="21"/>
  <c r="T2225" i="21" s="1"/>
  <c r="Q2233" i="21"/>
  <c r="T2233" i="21" s="1"/>
  <c r="Q2241" i="21"/>
  <c r="T2241" i="21" s="1"/>
  <c r="Q2249" i="21"/>
  <c r="T2249" i="21" s="1"/>
  <c r="Q2257" i="21"/>
  <c r="T2257" i="21" s="1"/>
  <c r="Q2265" i="21"/>
  <c r="T2265" i="21" s="1"/>
  <c r="Q2273" i="21"/>
  <c r="T2273" i="21" s="1"/>
  <c r="Q2283" i="21"/>
  <c r="T2283" i="21" s="1"/>
  <c r="Q2308" i="21"/>
  <c r="T2308" i="21" s="1"/>
  <c r="S2312" i="21"/>
  <c r="Q2312" i="21"/>
  <c r="T2312" i="21" s="1"/>
  <c r="Q2314" i="21"/>
  <c r="T2314" i="21" s="1"/>
  <c r="S2391" i="21"/>
  <c r="Q2391" i="21"/>
  <c r="T2391" i="21" s="1"/>
  <c r="Q2142" i="21"/>
  <c r="T2142" i="21" s="1"/>
  <c r="Q2150" i="21"/>
  <c r="T2150" i="21" s="1"/>
  <c r="Q2158" i="21"/>
  <c r="T2158" i="21" s="1"/>
  <c r="Q2166" i="21"/>
  <c r="T2166" i="21" s="1"/>
  <c r="Q2174" i="21"/>
  <c r="T2174" i="21" s="1"/>
  <c r="Q2182" i="21"/>
  <c r="T2182" i="21" s="1"/>
  <c r="Q2190" i="21"/>
  <c r="T2190" i="21" s="1"/>
  <c r="Q2198" i="21"/>
  <c r="T2198" i="21" s="1"/>
  <c r="Q2206" i="21"/>
  <c r="T2206" i="21" s="1"/>
  <c r="Q2214" i="21"/>
  <c r="T2214" i="21" s="1"/>
  <c r="Q2222" i="21"/>
  <c r="T2222" i="21" s="1"/>
  <c r="Q2230" i="21"/>
  <c r="T2230" i="21" s="1"/>
  <c r="Q2238" i="21"/>
  <c r="T2238" i="21" s="1"/>
  <c r="Q2246" i="21"/>
  <c r="T2246" i="21" s="1"/>
  <c r="Q2254" i="21"/>
  <c r="T2254" i="21" s="1"/>
  <c r="Q2262" i="21"/>
  <c r="T2262" i="21" s="1"/>
  <c r="Q2270" i="21"/>
  <c r="T2270" i="21" s="1"/>
  <c r="S2343" i="21"/>
  <c r="S2377" i="21"/>
  <c r="Q2377" i="21"/>
  <c r="T2377" i="21" s="1"/>
  <c r="S2415" i="21"/>
  <c r="Q2415" i="21"/>
  <c r="T2415" i="21" s="1"/>
  <c r="S2278" i="21"/>
  <c r="S2285" i="21"/>
  <c r="S2321" i="21"/>
  <c r="Q2321" i="21"/>
  <c r="T2321" i="21" s="1"/>
  <c r="Q2289" i="21"/>
  <c r="T2289" i="21" s="1"/>
  <c r="S2291" i="21"/>
  <c r="Q2291" i="21"/>
  <c r="T2291" i="21" s="1"/>
  <c r="T2330" i="21"/>
  <c r="Q2439" i="21"/>
  <c r="T2439" i="21" s="1"/>
  <c r="Q2447" i="21"/>
  <c r="T2447" i="21" s="1"/>
  <c r="Q2455" i="21"/>
  <c r="T2455" i="21" s="1"/>
  <c r="Q2463" i="21"/>
  <c r="T2463" i="21" s="1"/>
  <c r="Q2471" i="21"/>
  <c r="T2471" i="21" s="1"/>
  <c r="Q2479" i="21"/>
  <c r="T2479" i="21" s="1"/>
  <c r="Q2487" i="21"/>
  <c r="T2487" i="21" s="1"/>
  <c r="Q2495" i="21"/>
  <c r="T2495" i="21" s="1"/>
  <c r="Q2503" i="21"/>
  <c r="T2503" i="21" s="1"/>
  <c r="Q2388" i="21"/>
  <c r="T2388" i="21" s="1"/>
  <c r="Q2396" i="21"/>
  <c r="T2396" i="21" s="1"/>
  <c r="Q2404" i="21"/>
  <c r="T2404" i="21" s="1"/>
  <c r="Q2420" i="21"/>
  <c r="T2420" i="21" s="1"/>
  <c r="Q2428" i="21"/>
  <c r="T2428" i="21" s="1"/>
  <c r="Q2436" i="21"/>
  <c r="T2436" i="21" s="1"/>
  <c r="Q2444" i="21"/>
  <c r="T2444" i="21" s="1"/>
  <c r="Q2452" i="21"/>
  <c r="T2452" i="21" s="1"/>
  <c r="Q2460" i="21"/>
  <c r="T2460" i="21" s="1"/>
  <c r="Q2468" i="21"/>
  <c r="T2468" i="21" s="1"/>
  <c r="Q2476" i="21"/>
  <c r="T2476" i="21" s="1"/>
  <c r="Q2484" i="21"/>
  <c r="T2484" i="21" s="1"/>
  <c r="Q2500" i="21"/>
  <c r="T2500" i="21" s="1"/>
  <c r="Q2393" i="21"/>
  <c r="T2393" i="21" s="1"/>
  <c r="Q2401" i="21"/>
  <c r="T2401" i="21" s="1"/>
  <c r="Q2409" i="21"/>
  <c r="T2409" i="21" s="1"/>
  <c r="Q2425" i="21"/>
  <c r="T2425" i="21" s="1"/>
  <c r="Q2433" i="21"/>
  <c r="T2433" i="21" s="1"/>
  <c r="Q2449" i="21"/>
  <c r="T2449" i="21" s="1"/>
  <c r="Q2457" i="21"/>
  <c r="T2457" i="21" s="1"/>
  <c r="Q2465" i="21"/>
  <c r="T2465" i="21" s="1"/>
  <c r="Q2473" i="21"/>
  <c r="T2473" i="21" s="1"/>
  <c r="Q2481" i="21"/>
  <c r="T2481" i="21" s="1"/>
  <c r="Q2489" i="21"/>
  <c r="T2489" i="21" s="1"/>
  <c r="Q2497" i="21"/>
  <c r="T2497" i="21" s="1"/>
  <c r="Q2505" i="21"/>
  <c r="T2505" i="21" s="1"/>
  <c r="Q2334" i="21"/>
  <c r="T2334" i="21" s="1"/>
  <c r="Q2342" i="21"/>
  <c r="T2342" i="21" s="1"/>
  <c r="Q2350" i="21"/>
  <c r="T2350" i="21" s="1"/>
  <c r="Q2358" i="21"/>
  <c r="T2358" i="21" s="1"/>
  <c r="Q2366" i="21"/>
  <c r="T2366" i="21" s="1"/>
  <c r="Q2374" i="21"/>
  <c r="T2374" i="21" s="1"/>
  <c r="Q2382" i="21"/>
  <c r="T2382" i="21" s="1"/>
  <c r="Q2390" i="21"/>
  <c r="T2390" i="21" s="1"/>
  <c r="Q2398" i="21"/>
  <c r="T2398" i="21" s="1"/>
  <c r="Q2406" i="21"/>
  <c r="T2406" i="21" s="1"/>
  <c r="Q2414" i="21"/>
  <c r="T2414" i="21" s="1"/>
  <c r="Q2422" i="21"/>
  <c r="T2422" i="21" s="1"/>
  <c r="Q2430" i="21"/>
  <c r="T2430" i="21" s="1"/>
  <c r="Q2454" i="21"/>
  <c r="T2454" i="21" s="1"/>
  <c r="Q2462" i="21"/>
  <c r="T2462" i="21" s="1"/>
  <c r="Q2470" i="21"/>
  <c r="T2470" i="21" s="1"/>
  <c r="Q2478" i="21"/>
  <c r="T2478" i="21" s="1"/>
  <c r="Q2486" i="21"/>
  <c r="T2486" i="21" s="1"/>
  <c r="Q2494" i="21"/>
  <c r="T2494" i="21" s="1"/>
  <c r="Q2502" i="21"/>
  <c r="T2502" i="21" s="1"/>
  <c r="Q2323" i="21"/>
  <c r="T2323" i="21" s="1"/>
  <c r="Q2331" i="21"/>
  <c r="T2331" i="21" s="1"/>
  <c r="Q2339" i="21"/>
  <c r="T2339" i="21" s="1"/>
  <c r="Q2347" i="21"/>
  <c r="T2347" i="21" s="1"/>
  <c r="Q2355" i="21"/>
  <c r="T2355" i="21" s="1"/>
  <c r="Q2363" i="21"/>
  <c r="T2363" i="21" s="1"/>
  <c r="Q2371" i="21"/>
  <c r="T2371" i="21" s="1"/>
  <c r="Q2379" i="21"/>
  <c r="T2379" i="21" s="1"/>
  <c r="Q2387" i="21"/>
  <c r="T2387" i="21" s="1"/>
  <c r="Q2395" i="21"/>
  <c r="T2395" i="21" s="1"/>
  <c r="Q2403" i="21"/>
  <c r="T2403" i="21" s="1"/>
  <c r="Q2411" i="21"/>
  <c r="T2411" i="21" s="1"/>
  <c r="Q2419" i="21"/>
  <c r="T2419" i="21" s="1"/>
  <c r="Q2427" i="21"/>
  <c r="T2427" i="21" s="1"/>
  <c r="Q2435" i="21"/>
  <c r="T2435" i="21" s="1"/>
  <c r="Q2443" i="21"/>
  <c r="T2443" i="21" s="1"/>
  <c r="Q2459" i="21"/>
  <c r="T2459" i="21" s="1"/>
  <c r="Q2467" i="21"/>
  <c r="T2467" i="21" s="1"/>
  <c r="Q2475" i="21"/>
  <c r="T2475" i="21" s="1"/>
  <c r="Q2483" i="21"/>
  <c r="T2483" i="21" s="1"/>
  <c r="Q2491" i="21"/>
  <c r="T2491" i="21" s="1"/>
  <c r="Q2320" i="21"/>
  <c r="T2320" i="21" s="1"/>
  <c r="Q2328" i="21"/>
  <c r="T2328" i="21" s="1"/>
  <c r="Q2336" i="21"/>
  <c r="T2336" i="21" s="1"/>
  <c r="Q2344" i="21"/>
  <c r="T2344" i="21" s="1"/>
  <c r="Q2352" i="21"/>
  <c r="T2352" i="21" s="1"/>
  <c r="Q2360" i="21"/>
  <c r="T2360" i="21" s="1"/>
  <c r="Q2368" i="21"/>
  <c r="T2368" i="21" s="1"/>
  <c r="Q2384" i="21"/>
  <c r="T2384" i="21" s="1"/>
  <c r="Q2392" i="21"/>
  <c r="T2392" i="21" s="1"/>
  <c r="Q2400" i="21"/>
  <c r="T2400" i="21" s="1"/>
  <c r="Q2408" i="21"/>
  <c r="T2408" i="21" s="1"/>
  <c r="Q2416" i="21"/>
  <c r="T2416" i="21" s="1"/>
  <c r="Q2432" i="21"/>
  <c r="T2432" i="21" s="1"/>
  <c r="Q2440" i="21"/>
  <c r="T2440" i="21" s="1"/>
  <c r="Q2448" i="21"/>
  <c r="T2448" i="21" s="1"/>
  <c r="Q2456" i="21"/>
  <c r="T2456" i="21" s="1"/>
  <c r="Q2464" i="21"/>
  <c r="T2464" i="21" s="1"/>
  <c r="Q2472" i="21"/>
  <c r="T2472" i="21" s="1"/>
  <c r="Q2480" i="21"/>
  <c r="T2480" i="21" s="1"/>
  <c r="Q2496" i="21"/>
  <c r="T2496" i="21" s="1"/>
  <c r="Q2504" i="21"/>
  <c r="T2504" i="21" s="1"/>
  <c r="T1517" i="21"/>
  <c r="Q1521" i="21"/>
  <c r="T1521" i="21" s="1"/>
  <c r="Q1542" i="21"/>
  <c r="T1542" i="21" s="1"/>
  <c r="Q1546" i="21"/>
  <c r="S1582" i="21"/>
  <c r="T1614" i="21"/>
  <c r="T1623" i="21"/>
  <c r="Q1652" i="21"/>
  <c r="T1652" i="21" s="1"/>
  <c r="T1663" i="21"/>
  <c r="Q1676" i="21"/>
  <c r="T1676" i="21" s="1"/>
  <c r="Q1689" i="21"/>
  <c r="T1689" i="21" s="1"/>
  <c r="Q1713" i="21"/>
  <c r="T1713" i="21" s="1"/>
  <c r="T1726" i="21"/>
  <c r="Q1745" i="21"/>
  <c r="T1745" i="21" s="1"/>
  <c r="Q1820" i="21"/>
  <c r="T1820" i="21" s="1"/>
  <c r="S1827" i="21"/>
  <c r="Q1832" i="21"/>
  <c r="T1832" i="21" s="1"/>
  <c r="T1855" i="21"/>
  <c r="S1923" i="21"/>
  <c r="S1925" i="21"/>
  <c r="Q1932" i="21"/>
  <c r="T1932" i="21" s="1"/>
  <c r="T1951" i="21"/>
  <c r="Q1962" i="21"/>
  <c r="T1962" i="21" s="1"/>
  <c r="T1971" i="21"/>
  <c r="T1973" i="21"/>
  <c r="S1975" i="21"/>
  <c r="T1984" i="21"/>
  <c r="S1997" i="21"/>
  <c r="S1540" i="21"/>
  <c r="T1546" i="21"/>
  <c r="S1591" i="21"/>
  <c r="T1598" i="21"/>
  <c r="S1614" i="21"/>
  <c r="S1632" i="21"/>
  <c r="T1665" i="21"/>
  <c r="S1687" i="21"/>
  <c r="S1711" i="21"/>
  <c r="S1743" i="21"/>
  <c r="T1789" i="21"/>
  <c r="T1818" i="21"/>
  <c r="T1848" i="21"/>
  <c r="T1866" i="21"/>
  <c r="S1879" i="21"/>
  <c r="S1899" i="21"/>
  <c r="S1901" i="21"/>
  <c r="T1991" i="21"/>
  <c r="T1509" i="21"/>
  <c r="Q1513" i="21"/>
  <c r="T1513" i="21" s="1"/>
  <c r="Q1534" i="21"/>
  <c r="T1534" i="21" s="1"/>
  <c r="T1538" i="21"/>
  <c r="Q1587" i="21"/>
  <c r="T1587" i="21" s="1"/>
  <c r="Q1628" i="21"/>
  <c r="T1628" i="21" s="1"/>
  <c r="S1630" i="21"/>
  <c r="Q1659" i="21"/>
  <c r="T1659" i="21" s="1"/>
  <c r="T1672" i="21"/>
  <c r="Q1683" i="21"/>
  <c r="T1683" i="21" s="1"/>
  <c r="S1696" i="21"/>
  <c r="T1703" i="21"/>
  <c r="T1735" i="21"/>
  <c r="T1758" i="21"/>
  <c r="Q1764" i="21"/>
  <c r="T1764" i="21" s="1"/>
  <c r="Q1768" i="21"/>
  <c r="Q1770" i="21"/>
  <c r="T1770" i="21" s="1"/>
  <c r="Q1864" i="21"/>
  <c r="T1864" i="21" s="1"/>
  <c r="Q1884" i="21"/>
  <c r="T1884" i="21" s="1"/>
  <c r="T1895" i="21"/>
  <c r="Q1906" i="21"/>
  <c r="T1906" i="21" s="1"/>
  <c r="T1989" i="21"/>
  <c r="S1991" i="21"/>
  <c r="S1532" i="21"/>
  <c r="T1637" i="21"/>
  <c r="S1639" i="21"/>
  <c r="T1646" i="21"/>
  <c r="T1670" i="21"/>
  <c r="T1692" i="21"/>
  <c r="S1694" i="21"/>
  <c r="T1705" i="21"/>
  <c r="T1718" i="21"/>
  <c r="T1720" i="21"/>
  <c r="T1737" i="21"/>
  <c r="T1750" i="21"/>
  <c r="T1756" i="21"/>
  <c r="T1762" i="21"/>
  <c r="S1766" i="21"/>
  <c r="T1792" i="21"/>
  <c r="T1799" i="21"/>
  <c r="T1816" i="21"/>
  <c r="T1844" i="21"/>
  <c r="T1853" i="21"/>
  <c r="S1875" i="21"/>
  <c r="S1919" i="21"/>
  <c r="S1949" i="21"/>
  <c r="S1509" i="21"/>
  <c r="Q1530" i="21"/>
  <c r="T1530" i="21" s="1"/>
  <c r="Q1904" i="21"/>
  <c r="T1904" i="21" s="1"/>
  <c r="S1989" i="21"/>
  <c r="T1578" i="21"/>
  <c r="T1505" i="21"/>
  <c r="T1615" i="21"/>
  <c r="Q1617" i="21"/>
  <c r="T1617" i="21" s="1"/>
  <c r="Q1644" i="21"/>
  <c r="T1644" i="21" s="1"/>
  <c r="Q1668" i="21"/>
  <c r="T1668" i="21" s="1"/>
  <c r="Q1681" i="21"/>
  <c r="T1681" i="21" s="1"/>
  <c r="Q1716" i="21"/>
  <c r="T1716" i="21" s="1"/>
  <c r="Q1731" i="21"/>
  <c r="T1731" i="21" s="1"/>
  <c r="T1797" i="21"/>
  <c r="S1799" i="21"/>
  <c r="T1807" i="21"/>
  <c r="Q1828" i="21"/>
  <c r="T1828" i="21" s="1"/>
  <c r="S1851" i="21"/>
  <c r="Q1858" i="21"/>
  <c r="T1858" i="21" s="1"/>
  <c r="T1893" i="21"/>
  <c r="S1915" i="21"/>
  <c r="S1917" i="21"/>
  <c r="T1954" i="21"/>
  <c r="T1963" i="21"/>
  <c r="T1965" i="21"/>
  <c r="T1976" i="21"/>
  <c r="S1987" i="21"/>
  <c r="T1541" i="21"/>
  <c r="T1545" i="21"/>
  <c r="S1891" i="21"/>
  <c r="T1516" i="21"/>
  <c r="T1520" i="21"/>
  <c r="T1599" i="21"/>
  <c r="T1606" i="21"/>
  <c r="Q1613" i="21"/>
  <c r="T1613" i="21" s="1"/>
  <c r="T1631" i="21"/>
  <c r="Q1633" i="21"/>
  <c r="T1633" i="21" s="1"/>
  <c r="T1686" i="21"/>
  <c r="T1727" i="21"/>
  <c r="T1795" i="21"/>
  <c r="S1797" i="21"/>
  <c r="Q1826" i="21"/>
  <c r="T1826" i="21" s="1"/>
  <c r="Q1840" i="21"/>
  <c r="T1840" i="21" s="1"/>
  <c r="T1913" i="21"/>
  <c r="Q1922" i="21"/>
  <c r="T1922" i="21" s="1"/>
  <c r="T1931" i="21"/>
  <c r="T1933" i="21"/>
  <c r="T1937" i="21"/>
  <c r="Q1952" i="21"/>
  <c r="T1952" i="21" s="1"/>
  <c r="S1963" i="21"/>
  <c r="S1965" i="21"/>
  <c r="Q1972" i="21"/>
  <c r="T1972" i="21" s="1"/>
  <c r="T1983" i="21"/>
  <c r="T1592" i="21"/>
  <c r="T1640" i="21"/>
  <c r="T1662" i="21"/>
  <c r="T1675" i="21"/>
  <c r="T1695" i="21"/>
  <c r="T1708" i="21"/>
  <c r="T1729" i="21"/>
  <c r="T1740" i="21"/>
  <c r="T1773" i="21"/>
  <c r="T1887" i="21"/>
  <c r="T1898" i="21"/>
  <c r="T1907" i="21"/>
  <c r="T1909" i="21"/>
  <c r="T1992" i="21"/>
  <c r="Q1537" i="21"/>
  <c r="T1537" i="21" s="1"/>
  <c r="Q1512" i="21"/>
  <c r="T1512" i="21" s="1"/>
  <c r="Q1514" i="21"/>
  <c r="T1514" i="21" s="1"/>
  <c r="Q1620" i="21"/>
  <c r="T1620" i="21" s="1"/>
  <c r="S1622" i="21"/>
  <c r="S1640" i="21"/>
  <c r="T1647" i="21"/>
  <c r="S1662" i="21"/>
  <c r="S1695" i="21"/>
  <c r="T1704" i="21"/>
  <c r="Q1738" i="21"/>
  <c r="T1738" i="21" s="1"/>
  <c r="T1759" i="21"/>
  <c r="Q1771" i="21"/>
  <c r="T1771" i="21" s="1"/>
  <c r="T1783" i="21"/>
  <c r="Q1788" i="21"/>
  <c r="T1788" i="21" s="1"/>
  <c r="Q1824" i="21"/>
  <c r="T1824" i="21" s="1"/>
  <c r="S1887" i="21"/>
  <c r="Q1896" i="21"/>
  <c r="T1896" i="21" s="1"/>
  <c r="S1907" i="21"/>
  <c r="S1909" i="21"/>
  <c r="Q1510" i="21"/>
  <c r="T1510" i="21" s="1"/>
  <c r="S1533" i="21"/>
  <c r="S1604" i="21"/>
  <c r="T1702" i="21"/>
  <c r="T1719" i="21"/>
  <c r="T1751" i="21"/>
  <c r="T1763" i="21"/>
  <c r="S1767" i="21"/>
  <c r="T1769" i="21"/>
  <c r="Q1836" i="21"/>
  <c r="T1836" i="21" s="1"/>
  <c r="Q1874" i="21"/>
  <c r="T1874" i="21" s="1"/>
  <c r="Q1916" i="21"/>
  <c r="T1916" i="21" s="1"/>
  <c r="Q1940" i="21"/>
  <c r="T1940" i="21" s="1"/>
  <c r="Q1944" i="21"/>
  <c r="T1944" i="21" s="1"/>
  <c r="S1959" i="21"/>
  <c r="S1979" i="21"/>
  <c r="S1981" i="21"/>
  <c r="T1999" i="21"/>
  <c r="S1508" i="21"/>
  <c r="T1552" i="21"/>
  <c r="S1556" i="21"/>
  <c r="T1560" i="21"/>
  <c r="S1564" i="21"/>
  <c r="S1572" i="21"/>
  <c r="S1580" i="21"/>
  <c r="S1638" i="21"/>
  <c r="S1647" i="21"/>
  <c r="S1671" i="21"/>
  <c r="Q1691" i="21"/>
  <c r="T1691" i="21" s="1"/>
  <c r="T1903" i="21"/>
  <c r="T1506" i="21"/>
  <c r="T1550" i="21"/>
  <c r="Q1578" i="21"/>
  <c r="T1607" i="21"/>
  <c r="S1656" i="21"/>
  <c r="T1678" i="21"/>
  <c r="S1702" i="21"/>
  <c r="Q1715" i="21"/>
  <c r="T1715" i="21" s="1"/>
  <c r="Q1747" i="21"/>
  <c r="T1747" i="21" s="1"/>
  <c r="Q1753" i="21"/>
  <c r="T1753" i="21" s="1"/>
  <c r="Q1786" i="21"/>
  <c r="T1786" i="21" s="1"/>
  <c r="S1813" i="21"/>
  <c r="T1914" i="21"/>
  <c r="T1923" i="21"/>
  <c r="T1925" i="21"/>
  <c r="T1938" i="21"/>
  <c r="T1975" i="21"/>
  <c r="T1986" i="21"/>
  <c r="T1997" i="21"/>
  <c r="S1618" i="21"/>
  <c r="Q1618" i="21"/>
  <c r="T1618" i="21" s="1"/>
  <c r="S1725" i="21"/>
  <c r="Q1725" i="21"/>
  <c r="T1725" i="21" s="1"/>
  <c r="S1590" i="21"/>
  <c r="Q1601" i="21"/>
  <c r="T1601" i="21" s="1"/>
  <c r="Q1603" i="21"/>
  <c r="T1603" i="21" s="1"/>
  <c r="S1624" i="21"/>
  <c r="T1680" i="21"/>
  <c r="S1693" i="21"/>
  <c r="Q1693" i="21"/>
  <c r="T1693" i="21" s="1"/>
  <c r="S1775" i="21"/>
  <c r="Q1775" i="21"/>
  <c r="T1775" i="21" s="1"/>
  <c r="Q1877" i="21"/>
  <c r="T1877" i="21" s="1"/>
  <c r="S1877" i="21"/>
  <c r="Q1507" i="21"/>
  <c r="T1507" i="21" s="1"/>
  <c r="Q1515" i="21"/>
  <c r="T1515" i="21" s="1"/>
  <c r="Q1523" i="21"/>
  <c r="T1523" i="21" s="1"/>
  <c r="Q1531" i="21"/>
  <c r="T1531" i="21" s="1"/>
  <c r="Q1539" i="21"/>
  <c r="T1539" i="21" s="1"/>
  <c r="Q1547" i="21"/>
  <c r="T1547" i="21" s="1"/>
  <c r="Q1555" i="21"/>
  <c r="T1555" i="21" s="1"/>
  <c r="Q1563" i="21"/>
  <c r="T1563" i="21" s="1"/>
  <c r="Q1571" i="21"/>
  <c r="T1571" i="21" s="1"/>
  <c r="Q1579" i="21"/>
  <c r="T1579" i="21" s="1"/>
  <c r="S1607" i="21"/>
  <c r="Q1651" i="21"/>
  <c r="T1651" i="21" s="1"/>
  <c r="Q1653" i="21"/>
  <c r="T1653" i="21" s="1"/>
  <c r="S1717" i="21"/>
  <c r="Q1717" i="21"/>
  <c r="T1717" i="21" s="1"/>
  <c r="S1804" i="21"/>
  <c r="Q1804" i="21"/>
  <c r="T1804" i="21" s="1"/>
  <c r="Q1594" i="21"/>
  <c r="T1594" i="21" s="1"/>
  <c r="Q1596" i="21"/>
  <c r="T1596" i="21" s="1"/>
  <c r="Q1609" i="21"/>
  <c r="T1609" i="21" s="1"/>
  <c r="Q1611" i="21"/>
  <c r="T1611" i="21" s="1"/>
  <c r="Q1643" i="21"/>
  <c r="T1643" i="21" s="1"/>
  <c r="Q1645" i="21"/>
  <c r="T1645" i="21" s="1"/>
  <c r="S1655" i="21"/>
  <c r="S1685" i="21"/>
  <c r="Q1685" i="21"/>
  <c r="T1685" i="21" s="1"/>
  <c r="S1780" i="21"/>
  <c r="Q1780" i="21"/>
  <c r="T1780" i="21" s="1"/>
  <c r="Q1619" i="21"/>
  <c r="T1619" i="21" s="1"/>
  <c r="Q1621" i="21"/>
  <c r="T1621" i="21" s="1"/>
  <c r="Q1627" i="21"/>
  <c r="T1627" i="21" s="1"/>
  <c r="Q1629" i="21"/>
  <c r="T1629" i="21" s="1"/>
  <c r="T1696" i="21"/>
  <c r="S1709" i="21"/>
  <c r="Q1709" i="21"/>
  <c r="T1709" i="21" s="1"/>
  <c r="T1728" i="21"/>
  <c r="S1749" i="21"/>
  <c r="Q1749" i="21"/>
  <c r="T1749" i="21" s="1"/>
  <c r="S1757" i="21"/>
  <c r="Q1757" i="21"/>
  <c r="T1757" i="21" s="1"/>
  <c r="S1765" i="21"/>
  <c r="Q1765" i="21"/>
  <c r="T1765" i="21" s="1"/>
  <c r="T1778" i="21"/>
  <c r="S1802" i="21"/>
  <c r="Q1802" i="21"/>
  <c r="T1802" i="21" s="1"/>
  <c r="S1598" i="21"/>
  <c r="S1615" i="21"/>
  <c r="S1631" i="21"/>
  <c r="Q1869" i="21"/>
  <c r="T1869" i="21" s="1"/>
  <c r="S1869" i="21"/>
  <c r="S1600" i="21"/>
  <c r="S1602" i="21"/>
  <c r="Q1602" i="21"/>
  <c r="T1602" i="21" s="1"/>
  <c r="S1623" i="21"/>
  <c r="T1664" i="21"/>
  <c r="S1741" i="21"/>
  <c r="Q1741" i="21"/>
  <c r="T1741" i="21" s="1"/>
  <c r="S1677" i="21"/>
  <c r="Q1677" i="21"/>
  <c r="T1677" i="21" s="1"/>
  <c r="S1800" i="21"/>
  <c r="Q1800" i="21"/>
  <c r="T1800" i="21" s="1"/>
  <c r="S1854" i="21"/>
  <c r="Q1854" i="21"/>
  <c r="T1854" i="21" s="1"/>
  <c r="Q1511" i="21"/>
  <c r="T1511" i="21" s="1"/>
  <c r="Q1519" i="21"/>
  <c r="T1519" i="21" s="1"/>
  <c r="Q1527" i="21"/>
  <c r="T1527" i="21" s="1"/>
  <c r="Q1535" i="21"/>
  <c r="T1535" i="21" s="1"/>
  <c r="Q1543" i="21"/>
  <c r="T1543" i="21" s="1"/>
  <c r="Q1551" i="21"/>
  <c r="T1551" i="21" s="1"/>
  <c r="Q1559" i="21"/>
  <c r="T1559" i="21" s="1"/>
  <c r="Q1567" i="21"/>
  <c r="T1567" i="21" s="1"/>
  <c r="Q1575" i="21"/>
  <c r="T1575" i="21" s="1"/>
  <c r="Q1583" i="21"/>
  <c r="T1583" i="21" s="1"/>
  <c r="Q1588" i="21"/>
  <c r="T1588" i="21" s="1"/>
  <c r="Q1593" i="21"/>
  <c r="T1593" i="21" s="1"/>
  <c r="S1606" i="21"/>
  <c r="T1648" i="21"/>
  <c r="T1654" i="21"/>
  <c r="T1688" i="21"/>
  <c r="S1701" i="21"/>
  <c r="Q1701" i="21"/>
  <c r="T1701" i="21" s="1"/>
  <c r="S1733" i="21"/>
  <c r="Q1733" i="21"/>
  <c r="T1733" i="21" s="1"/>
  <c r="S1608" i="21"/>
  <c r="S1610" i="21"/>
  <c r="Q1610" i="21"/>
  <c r="T1610" i="21" s="1"/>
  <c r="S1798" i="21"/>
  <c r="Q1798" i="21"/>
  <c r="T1798" i="21" s="1"/>
  <c r="Q1597" i="21"/>
  <c r="T1597" i="21" s="1"/>
  <c r="T1632" i="21"/>
  <c r="T1638" i="21"/>
  <c r="T1712" i="21"/>
  <c r="T1624" i="21"/>
  <c r="T1630" i="21"/>
  <c r="S1669" i="21"/>
  <c r="Q1669" i="21"/>
  <c r="T1669" i="21" s="1"/>
  <c r="T1752" i="21"/>
  <c r="T1760" i="21"/>
  <c r="T1768" i="21"/>
  <c r="S1782" i="21"/>
  <c r="Q1782" i="21"/>
  <c r="T1782" i="21" s="1"/>
  <c r="S1829" i="21"/>
  <c r="S1845" i="21"/>
  <c r="T1888" i="21"/>
  <c r="S1790" i="21"/>
  <c r="Q1790" i="21"/>
  <c r="T1790" i="21" s="1"/>
  <c r="S1886" i="21"/>
  <c r="Q1886" i="21"/>
  <c r="T1886" i="21" s="1"/>
  <c r="S1806" i="21"/>
  <c r="Q1806" i="21"/>
  <c r="T1806" i="21" s="1"/>
  <c r="Q1808" i="21"/>
  <c r="T1808" i="21" s="1"/>
  <c r="Q1810" i="21"/>
  <c r="T1810" i="21" s="1"/>
  <c r="Q1812" i="21"/>
  <c r="T1812" i="21" s="1"/>
  <c r="S1814" i="21"/>
  <c r="Q1814" i="21"/>
  <c r="T1814" i="21" s="1"/>
  <c r="Q1850" i="21"/>
  <c r="T1850" i="21" s="1"/>
  <c r="Q1626" i="21"/>
  <c r="T1626" i="21" s="1"/>
  <c r="Q1634" i="21"/>
  <c r="T1634" i="21" s="1"/>
  <c r="Q1642" i="21"/>
  <c r="T1642" i="21" s="1"/>
  <c r="Q1650" i="21"/>
  <c r="T1650" i="21" s="1"/>
  <c r="Q1658" i="21"/>
  <c r="T1658" i="21" s="1"/>
  <c r="Q1666" i="21"/>
  <c r="T1666" i="21" s="1"/>
  <c r="Q1674" i="21"/>
  <c r="T1674" i="21" s="1"/>
  <c r="Q1682" i="21"/>
  <c r="T1682" i="21" s="1"/>
  <c r="Q1690" i="21"/>
  <c r="T1690" i="21" s="1"/>
  <c r="Q1698" i="21"/>
  <c r="T1698" i="21" s="1"/>
  <c r="Q1706" i="21"/>
  <c r="T1706" i="21" s="1"/>
  <c r="Q1722" i="21"/>
  <c r="T1722" i="21" s="1"/>
  <c r="Q1730" i="21"/>
  <c r="T1730" i="21" s="1"/>
  <c r="S1777" i="21"/>
  <c r="Q1777" i="21"/>
  <c r="T1777" i="21" s="1"/>
  <c r="S1822" i="21"/>
  <c r="Q1822" i="21"/>
  <c r="T1822" i="21" s="1"/>
  <c r="S1830" i="21"/>
  <c r="Q1830" i="21"/>
  <c r="T1830" i="21" s="1"/>
  <c r="S1846" i="21"/>
  <c r="Q1846" i="21"/>
  <c r="T1846" i="21" s="1"/>
  <c r="T1880" i="21"/>
  <c r="S1838" i="21"/>
  <c r="Q1838" i="21"/>
  <c r="T1838" i="21" s="1"/>
  <c r="S1878" i="21"/>
  <c r="Q1878" i="21"/>
  <c r="T1878" i="21" s="1"/>
  <c r="S1893" i="21"/>
  <c r="S1779" i="21"/>
  <c r="S1785" i="21"/>
  <c r="Q1785" i="21"/>
  <c r="T1785" i="21" s="1"/>
  <c r="S1870" i="21"/>
  <c r="Q1870" i="21"/>
  <c r="T1870" i="21" s="1"/>
  <c r="S1774" i="21"/>
  <c r="Q1774" i="21"/>
  <c r="T1774" i="21" s="1"/>
  <c r="S1781" i="21"/>
  <c r="S1783" i="21"/>
  <c r="S1787" i="21"/>
  <c r="S1793" i="21"/>
  <c r="Q1793" i="21"/>
  <c r="T1793" i="21" s="1"/>
  <c r="T1872" i="21"/>
  <c r="S1789" i="21"/>
  <c r="S1791" i="21"/>
  <c r="S1795" i="21"/>
  <c r="S1801" i="21"/>
  <c r="Q1801" i="21"/>
  <c r="T1801" i="21" s="1"/>
  <c r="Q1776" i="21"/>
  <c r="T1776" i="21" s="1"/>
  <c r="S1809" i="21"/>
  <c r="Q1809" i="21"/>
  <c r="T1809" i="21" s="1"/>
  <c r="S1805" i="21"/>
  <c r="S1807" i="21"/>
  <c r="S1811" i="21"/>
  <c r="S1817" i="21"/>
  <c r="Q1817" i="21"/>
  <c r="T1817" i="21" s="1"/>
  <c r="S1849" i="21"/>
  <c r="Q1849" i="21"/>
  <c r="T1849" i="21" s="1"/>
  <c r="S1853" i="21"/>
  <c r="S1825" i="21"/>
  <c r="Q1825" i="21"/>
  <c r="T1825" i="21" s="1"/>
  <c r="T1829" i="21"/>
  <c r="S1833" i="21"/>
  <c r="Q1833" i="21"/>
  <c r="T1833" i="21" s="1"/>
  <c r="S1841" i="21"/>
  <c r="Q1841" i="21"/>
  <c r="T1841" i="21" s="1"/>
  <c r="T1845" i="21"/>
  <c r="S1862" i="21"/>
  <c r="Q1862" i="21"/>
  <c r="T1862" i="21" s="1"/>
  <c r="Q1857" i="21"/>
  <c r="T1857" i="21" s="1"/>
  <c r="Q1865" i="21"/>
  <c r="T1865" i="21" s="1"/>
  <c r="Q1873" i="21"/>
  <c r="T1873" i="21" s="1"/>
  <c r="Q1881" i="21"/>
  <c r="T1881" i="21" s="1"/>
  <c r="Q1889" i="21"/>
  <c r="T1889" i="21" s="1"/>
  <c r="Q1897" i="21"/>
  <c r="T1897" i="21" s="1"/>
  <c r="Q1905" i="21"/>
  <c r="T1905" i="21" s="1"/>
  <c r="Q1921" i="21"/>
  <c r="T1921" i="21" s="1"/>
  <c r="Q1929" i="21"/>
  <c r="T1929" i="21" s="1"/>
  <c r="Q1945" i="21"/>
  <c r="T1945" i="21" s="1"/>
  <c r="Q1953" i="21"/>
  <c r="T1953" i="21" s="1"/>
  <c r="Q1961" i="21"/>
  <c r="T1961" i="21" s="1"/>
  <c r="Q1969" i="21"/>
  <c r="T1969" i="21" s="1"/>
  <c r="Q1977" i="21"/>
  <c r="T1977" i="21" s="1"/>
  <c r="Q1985" i="21"/>
  <c r="T1985" i="21" s="1"/>
  <c r="Q1993" i="21"/>
  <c r="T1993" i="21" s="1"/>
  <c r="Q2001" i="21"/>
  <c r="T2001" i="21" s="1"/>
  <c r="Q1894" i="21"/>
  <c r="T1894" i="21" s="1"/>
  <c r="Q1902" i="21"/>
  <c r="T1902" i="21" s="1"/>
  <c r="Q1910" i="21"/>
  <c r="T1910" i="21" s="1"/>
  <c r="Q1918" i="21"/>
  <c r="T1918" i="21" s="1"/>
  <c r="Q1926" i="21"/>
  <c r="T1926" i="21" s="1"/>
  <c r="Q1950" i="21"/>
  <c r="T1950" i="21" s="1"/>
  <c r="Q1958" i="21"/>
  <c r="T1958" i="21" s="1"/>
  <c r="Q1966" i="21"/>
  <c r="T1966" i="21" s="1"/>
  <c r="Q1974" i="21"/>
  <c r="T1974" i="21" s="1"/>
  <c r="Q1982" i="21"/>
  <c r="T1982" i="21" s="1"/>
  <c r="Q1990" i="21"/>
  <c r="T1990" i="21" s="1"/>
  <c r="Q1998" i="21"/>
  <c r="T1998" i="21" s="1"/>
  <c r="V1502" i="21"/>
  <c r="U1502" i="21"/>
  <c r="T1502" i="21"/>
  <c r="S1502" i="21"/>
  <c r="R1502" i="21"/>
  <c r="Q1502" i="21"/>
  <c r="P1502" i="21"/>
  <c r="O1502" i="21"/>
  <c r="O1502" i="21" a="1"/>
  <c r="V1501" i="21"/>
  <c r="U1501" i="21"/>
  <c r="T1501" i="21"/>
  <c r="S1501" i="21"/>
  <c r="R1501" i="21"/>
  <c r="Q1501" i="21"/>
  <c r="P1501" i="21"/>
  <c r="O1501" i="21"/>
  <c r="O1501" i="21" a="1"/>
  <c r="V1500" i="21"/>
  <c r="U1500" i="21"/>
  <c r="T1500" i="21"/>
  <c r="S1500" i="21"/>
  <c r="R1500" i="21"/>
  <c r="Q1500" i="21"/>
  <c r="P1500" i="21"/>
  <c r="O1500" i="21"/>
  <c r="O1500" i="21" a="1"/>
  <c r="V1499" i="21"/>
  <c r="U1499" i="21"/>
  <c r="T1499" i="21"/>
  <c r="S1499" i="21"/>
  <c r="R1499" i="21"/>
  <c r="Q1499" i="21"/>
  <c r="P1499" i="21"/>
  <c r="O1499" i="21"/>
  <c r="O1499" i="21" a="1"/>
  <c r="V1498" i="21"/>
  <c r="U1498" i="21"/>
  <c r="T1498" i="21"/>
  <c r="S1498" i="21"/>
  <c r="R1498" i="21"/>
  <c r="Q1498" i="21"/>
  <c r="P1498" i="21"/>
  <c r="O1498" i="21"/>
  <c r="O1498" i="21" a="1"/>
  <c r="V1497" i="21"/>
  <c r="U1497" i="21"/>
  <c r="T1497" i="21"/>
  <c r="S1497" i="21"/>
  <c r="R1497" i="21"/>
  <c r="Q1497" i="21"/>
  <c r="P1497" i="21"/>
  <c r="O1497" i="21"/>
  <c r="O1497" i="21" a="1"/>
  <c r="V1496" i="21"/>
  <c r="U1496" i="21"/>
  <c r="T1496" i="21"/>
  <c r="S1496" i="21"/>
  <c r="R1496" i="21"/>
  <c r="Q1496" i="21"/>
  <c r="P1496" i="21"/>
  <c r="O1496" i="21"/>
  <c r="O1496" i="21" a="1"/>
  <c r="V1495" i="21"/>
  <c r="U1495" i="21"/>
  <c r="T1495" i="21"/>
  <c r="S1495" i="21"/>
  <c r="R1495" i="21"/>
  <c r="Q1495" i="21"/>
  <c r="P1495" i="21"/>
  <c r="O1495" i="21"/>
  <c r="O1495" i="21" a="1"/>
  <c r="V1494" i="21"/>
  <c r="U1494" i="21"/>
  <c r="T1494" i="21"/>
  <c r="S1494" i="21"/>
  <c r="R1494" i="21"/>
  <c r="Q1494" i="21"/>
  <c r="P1494" i="21"/>
  <c r="O1494" i="21"/>
  <c r="O1494" i="21" a="1"/>
  <c r="V1493" i="21"/>
  <c r="U1493" i="21"/>
  <c r="T1493" i="21"/>
  <c r="S1493" i="21"/>
  <c r="R1493" i="21"/>
  <c r="Q1493" i="21"/>
  <c r="P1493" i="21"/>
  <c r="O1493" i="21"/>
  <c r="O1493" i="21" a="1"/>
  <c r="V1492" i="21"/>
  <c r="U1492" i="21"/>
  <c r="T1492" i="21"/>
  <c r="S1492" i="21"/>
  <c r="R1492" i="21"/>
  <c r="Q1492" i="21"/>
  <c r="P1492" i="21"/>
  <c r="O1492" i="21"/>
  <c r="O1492" i="21" a="1"/>
  <c r="V1491" i="21"/>
  <c r="U1491" i="21"/>
  <c r="T1491" i="21"/>
  <c r="S1491" i="21"/>
  <c r="R1491" i="21"/>
  <c r="Q1491" i="21"/>
  <c r="P1491" i="21"/>
  <c r="O1491" i="21"/>
  <c r="O1491" i="21" a="1"/>
  <c r="V1490" i="21"/>
  <c r="U1490" i="21"/>
  <c r="T1490" i="21"/>
  <c r="S1490" i="21"/>
  <c r="R1490" i="21"/>
  <c r="Q1490" i="21"/>
  <c r="P1490" i="21"/>
  <c r="O1490" i="21"/>
  <c r="O1490" i="21" a="1"/>
  <c r="V1489" i="21"/>
  <c r="U1489" i="21"/>
  <c r="T1489" i="21"/>
  <c r="S1489" i="21"/>
  <c r="R1489" i="21"/>
  <c r="Q1489" i="21"/>
  <c r="P1489" i="21"/>
  <c r="O1489" i="21"/>
  <c r="O1489" i="21" a="1"/>
  <c r="V1488" i="21"/>
  <c r="U1488" i="21"/>
  <c r="T1488" i="21"/>
  <c r="S1488" i="21"/>
  <c r="R1488" i="21"/>
  <c r="Q1488" i="21"/>
  <c r="P1488" i="21"/>
  <c r="O1488" i="21"/>
  <c r="O1488" i="21" a="1"/>
  <c r="V1487" i="21"/>
  <c r="U1487" i="21"/>
  <c r="T1487" i="21"/>
  <c r="S1487" i="21"/>
  <c r="R1487" i="21"/>
  <c r="Q1487" i="21"/>
  <c r="P1487" i="21"/>
  <c r="O1487" i="21"/>
  <c r="O1487" i="21" a="1"/>
  <c r="V1486" i="21"/>
  <c r="U1486" i="21"/>
  <c r="T1486" i="21"/>
  <c r="S1486" i="21"/>
  <c r="R1486" i="21"/>
  <c r="Q1486" i="21"/>
  <c r="P1486" i="21"/>
  <c r="O1486" i="21"/>
  <c r="O1486" i="21" a="1"/>
  <c r="V1485" i="21"/>
  <c r="U1485" i="21"/>
  <c r="T1485" i="21"/>
  <c r="S1485" i="21"/>
  <c r="R1485" i="21"/>
  <c r="Q1485" i="21"/>
  <c r="P1485" i="21"/>
  <c r="O1485" i="21"/>
  <c r="O1485" i="21" a="1"/>
  <c r="V1484" i="21"/>
  <c r="U1484" i="21"/>
  <c r="T1484" i="21"/>
  <c r="S1484" i="21"/>
  <c r="R1484" i="21"/>
  <c r="Q1484" i="21"/>
  <c r="P1484" i="21"/>
  <c r="O1484" i="21"/>
  <c r="O1484" i="21" a="1"/>
  <c r="V1483" i="21"/>
  <c r="U1483" i="21"/>
  <c r="T1483" i="21"/>
  <c r="S1483" i="21"/>
  <c r="R1483" i="21"/>
  <c r="Q1483" i="21"/>
  <c r="P1483" i="21"/>
  <c r="O1483" i="21"/>
  <c r="O1483" i="21" a="1"/>
  <c r="V1482" i="21"/>
  <c r="U1482" i="21"/>
  <c r="T1482" i="21"/>
  <c r="S1482" i="21"/>
  <c r="R1482" i="21"/>
  <c r="Q1482" i="21"/>
  <c r="P1482" i="21"/>
  <c r="O1482" i="21"/>
  <c r="O1482" i="21" a="1"/>
  <c r="V1481" i="21"/>
  <c r="U1481" i="21"/>
  <c r="T1481" i="21"/>
  <c r="S1481" i="21"/>
  <c r="R1481" i="21"/>
  <c r="Q1481" i="21"/>
  <c r="P1481" i="21"/>
  <c r="O1481" i="21"/>
  <c r="O1481" i="21" a="1"/>
  <c r="V1480" i="21"/>
  <c r="U1480" i="21"/>
  <c r="T1480" i="21"/>
  <c r="S1480" i="21"/>
  <c r="R1480" i="21"/>
  <c r="Q1480" i="21"/>
  <c r="P1480" i="21"/>
  <c r="O1480" i="21"/>
  <c r="O1480" i="21" a="1"/>
  <c r="V1479" i="21"/>
  <c r="U1479" i="21"/>
  <c r="T1479" i="21"/>
  <c r="S1479" i="21"/>
  <c r="R1479" i="21"/>
  <c r="Q1479" i="21"/>
  <c r="P1479" i="21"/>
  <c r="O1479" i="21"/>
  <c r="O1479" i="21" a="1"/>
  <c r="V1478" i="21"/>
  <c r="U1478" i="21"/>
  <c r="T1478" i="21"/>
  <c r="S1478" i="21"/>
  <c r="R1478" i="21"/>
  <c r="Q1478" i="21"/>
  <c r="P1478" i="21"/>
  <c r="O1478" i="21"/>
  <c r="O1478" i="21" a="1"/>
  <c r="V1477" i="21"/>
  <c r="U1477" i="21"/>
  <c r="T1477" i="21"/>
  <c r="S1477" i="21"/>
  <c r="R1477" i="21"/>
  <c r="Q1477" i="21"/>
  <c r="P1477" i="21"/>
  <c r="O1477" i="21"/>
  <c r="O1477" i="21" a="1"/>
  <c r="V1476" i="21"/>
  <c r="U1476" i="21"/>
  <c r="T1476" i="21"/>
  <c r="S1476" i="21"/>
  <c r="R1476" i="21"/>
  <c r="Q1476" i="21"/>
  <c r="P1476" i="21"/>
  <c r="O1476" i="21"/>
  <c r="O1476" i="21" a="1"/>
  <c r="V1475" i="21"/>
  <c r="U1475" i="21"/>
  <c r="T1475" i="21"/>
  <c r="S1475" i="21"/>
  <c r="R1475" i="21"/>
  <c r="Q1475" i="21"/>
  <c r="P1475" i="21"/>
  <c r="O1475" i="21"/>
  <c r="O1475" i="21" a="1"/>
  <c r="V1474" i="21"/>
  <c r="U1474" i="21"/>
  <c r="T1474" i="21"/>
  <c r="S1474" i="21"/>
  <c r="R1474" i="21"/>
  <c r="Q1474" i="21"/>
  <c r="P1474" i="21"/>
  <c r="O1474" i="21"/>
  <c r="O1474" i="21" a="1"/>
  <c r="V1473" i="21"/>
  <c r="U1473" i="21"/>
  <c r="T1473" i="21"/>
  <c r="S1473" i="21"/>
  <c r="R1473" i="21"/>
  <c r="Q1473" i="21"/>
  <c r="P1473" i="21"/>
  <c r="O1473" i="21"/>
  <c r="O1473" i="21" a="1"/>
  <c r="V1472" i="21"/>
  <c r="U1472" i="21"/>
  <c r="T1472" i="21"/>
  <c r="S1472" i="21"/>
  <c r="R1472" i="21"/>
  <c r="Q1472" i="21"/>
  <c r="P1472" i="21"/>
  <c r="O1472" i="21"/>
  <c r="O1472" i="21" a="1"/>
  <c r="V1471" i="21"/>
  <c r="U1471" i="21"/>
  <c r="T1471" i="21"/>
  <c r="S1471" i="21"/>
  <c r="R1471" i="21"/>
  <c r="Q1471" i="21"/>
  <c r="P1471" i="21"/>
  <c r="O1471" i="21"/>
  <c r="O1471" i="21" a="1"/>
  <c r="V1470" i="21"/>
  <c r="U1470" i="21"/>
  <c r="T1470" i="21"/>
  <c r="S1470" i="21"/>
  <c r="R1470" i="21"/>
  <c r="Q1470" i="21"/>
  <c r="P1470" i="21"/>
  <c r="O1470" i="21"/>
  <c r="O1470" i="21" a="1"/>
  <c r="V1469" i="21"/>
  <c r="U1469" i="21"/>
  <c r="T1469" i="21"/>
  <c r="S1469" i="21"/>
  <c r="R1469" i="21"/>
  <c r="Q1469" i="21"/>
  <c r="P1469" i="21"/>
  <c r="O1469" i="21"/>
  <c r="O1469" i="21" a="1"/>
  <c r="V1468" i="21"/>
  <c r="U1468" i="21"/>
  <c r="T1468" i="21"/>
  <c r="S1468" i="21"/>
  <c r="R1468" i="21"/>
  <c r="Q1468" i="21"/>
  <c r="P1468" i="21"/>
  <c r="O1468" i="21"/>
  <c r="O1468" i="21" a="1"/>
  <c r="V1467" i="21"/>
  <c r="U1467" i="21"/>
  <c r="T1467" i="21"/>
  <c r="S1467" i="21"/>
  <c r="R1467" i="21"/>
  <c r="Q1467" i="21"/>
  <c r="P1467" i="21"/>
  <c r="O1467" i="21"/>
  <c r="O1467" i="21" a="1"/>
  <c r="V1466" i="21"/>
  <c r="U1466" i="21"/>
  <c r="T1466" i="21"/>
  <c r="S1466" i="21"/>
  <c r="R1466" i="21"/>
  <c r="Q1466" i="21"/>
  <c r="P1466" i="21"/>
  <c r="O1466" i="21"/>
  <c r="O1466" i="21" a="1"/>
  <c r="V1465" i="21"/>
  <c r="U1465" i="21"/>
  <c r="T1465" i="21"/>
  <c r="S1465" i="21"/>
  <c r="R1465" i="21"/>
  <c r="Q1465" i="21"/>
  <c r="P1465" i="21"/>
  <c r="O1465" i="21"/>
  <c r="O1465" i="21" a="1"/>
  <c r="V1464" i="21"/>
  <c r="U1464" i="21"/>
  <c r="T1464" i="21"/>
  <c r="S1464" i="21"/>
  <c r="R1464" i="21"/>
  <c r="Q1464" i="21"/>
  <c r="P1464" i="21"/>
  <c r="O1464" i="21"/>
  <c r="O1464" i="21" a="1"/>
  <c r="V1463" i="21"/>
  <c r="U1463" i="21"/>
  <c r="T1463" i="21"/>
  <c r="S1463" i="21"/>
  <c r="R1463" i="21"/>
  <c r="Q1463" i="21"/>
  <c r="P1463" i="21"/>
  <c r="O1463" i="21"/>
  <c r="O1463" i="21" a="1"/>
  <c r="V1462" i="21"/>
  <c r="U1462" i="21"/>
  <c r="T1462" i="21"/>
  <c r="S1462" i="21"/>
  <c r="R1462" i="21"/>
  <c r="Q1462" i="21"/>
  <c r="P1462" i="21"/>
  <c r="O1462" i="21"/>
  <c r="O1462" i="21" a="1"/>
  <c r="V1461" i="21"/>
  <c r="U1461" i="21"/>
  <c r="T1461" i="21"/>
  <c r="S1461" i="21"/>
  <c r="R1461" i="21"/>
  <c r="Q1461" i="21"/>
  <c r="P1461" i="21"/>
  <c r="O1461" i="21"/>
  <c r="O1461" i="21" a="1"/>
  <c r="V1460" i="21"/>
  <c r="U1460" i="21"/>
  <c r="T1460" i="21"/>
  <c r="S1460" i="21"/>
  <c r="R1460" i="21"/>
  <c r="Q1460" i="21"/>
  <c r="P1460" i="21"/>
  <c r="O1460" i="21"/>
  <c r="O1460" i="21" a="1"/>
  <c r="V1459" i="21"/>
  <c r="U1459" i="21"/>
  <c r="T1459" i="21"/>
  <c r="S1459" i="21"/>
  <c r="R1459" i="21"/>
  <c r="Q1459" i="21"/>
  <c r="P1459" i="21"/>
  <c r="O1459" i="21"/>
  <c r="O1459" i="21" a="1"/>
  <c r="V1458" i="21"/>
  <c r="U1458" i="21"/>
  <c r="T1458" i="21"/>
  <c r="S1458" i="21"/>
  <c r="R1458" i="21"/>
  <c r="Q1458" i="21"/>
  <c r="P1458" i="21"/>
  <c r="O1458" i="21"/>
  <c r="O1458" i="21" a="1"/>
  <c r="V1457" i="21"/>
  <c r="U1457" i="21"/>
  <c r="T1457" i="21"/>
  <c r="S1457" i="21"/>
  <c r="R1457" i="21"/>
  <c r="Q1457" i="21"/>
  <c r="P1457" i="21"/>
  <c r="O1457" i="21"/>
  <c r="O1457" i="21" a="1"/>
  <c r="V1456" i="21"/>
  <c r="U1456" i="21"/>
  <c r="T1456" i="21"/>
  <c r="S1456" i="21"/>
  <c r="R1456" i="21"/>
  <c r="Q1456" i="21"/>
  <c r="P1456" i="21"/>
  <c r="O1456" i="21"/>
  <c r="O1456" i="21" a="1"/>
  <c r="V1455" i="21"/>
  <c r="U1455" i="21"/>
  <c r="T1455" i="21"/>
  <c r="S1455" i="21"/>
  <c r="R1455" i="21"/>
  <c r="Q1455" i="21"/>
  <c r="P1455" i="21"/>
  <c r="O1455" i="21"/>
  <c r="O1455" i="21" a="1"/>
  <c r="V1454" i="21"/>
  <c r="U1454" i="21"/>
  <c r="T1454" i="21"/>
  <c r="S1454" i="21"/>
  <c r="R1454" i="21"/>
  <c r="Q1454" i="21"/>
  <c r="P1454" i="21"/>
  <c r="O1454" i="21"/>
  <c r="O1454" i="21" a="1"/>
  <c r="V1453" i="21"/>
  <c r="U1453" i="21"/>
  <c r="T1453" i="21"/>
  <c r="S1453" i="21"/>
  <c r="R1453" i="21"/>
  <c r="Q1453" i="21"/>
  <c r="P1453" i="21"/>
  <c r="O1453" i="21"/>
  <c r="O1453" i="21" a="1"/>
  <c r="V1452" i="21"/>
  <c r="U1452" i="21"/>
  <c r="T1452" i="21"/>
  <c r="S1452" i="21"/>
  <c r="R1452" i="21"/>
  <c r="Q1452" i="21"/>
  <c r="P1452" i="21"/>
  <c r="O1452" i="21"/>
  <c r="O1452" i="21" a="1"/>
  <c r="V1451" i="21"/>
  <c r="U1451" i="21"/>
  <c r="T1451" i="21"/>
  <c r="S1451" i="21"/>
  <c r="R1451" i="21"/>
  <c r="Q1451" i="21"/>
  <c r="P1451" i="21"/>
  <c r="O1451" i="21"/>
  <c r="O1451" i="21" a="1"/>
  <c r="V1450" i="21"/>
  <c r="U1450" i="21"/>
  <c r="T1450" i="21"/>
  <c r="S1450" i="21"/>
  <c r="R1450" i="21"/>
  <c r="Q1450" i="21"/>
  <c r="P1450" i="21"/>
  <c r="O1450" i="21"/>
  <c r="O1450" i="21" a="1"/>
  <c r="V1449" i="21"/>
  <c r="U1449" i="21"/>
  <c r="T1449" i="21"/>
  <c r="S1449" i="21"/>
  <c r="R1449" i="21"/>
  <c r="Q1449" i="21"/>
  <c r="P1449" i="21"/>
  <c r="O1449" i="21"/>
  <c r="O1449" i="21" a="1"/>
  <c r="V1448" i="21"/>
  <c r="U1448" i="21"/>
  <c r="T1448" i="21"/>
  <c r="S1448" i="21"/>
  <c r="R1448" i="21"/>
  <c r="Q1448" i="21"/>
  <c r="P1448" i="21"/>
  <c r="O1448" i="21"/>
  <c r="O1448" i="21" a="1"/>
  <c r="V1447" i="21"/>
  <c r="U1447" i="21"/>
  <c r="T1447" i="21"/>
  <c r="S1447" i="21"/>
  <c r="R1447" i="21"/>
  <c r="Q1447" i="21"/>
  <c r="P1447" i="21"/>
  <c r="O1447" i="21"/>
  <c r="O1447" i="21" a="1"/>
  <c r="V1446" i="21"/>
  <c r="U1446" i="21"/>
  <c r="T1446" i="21"/>
  <c r="S1446" i="21"/>
  <c r="R1446" i="21"/>
  <c r="Q1446" i="21"/>
  <c r="P1446" i="21"/>
  <c r="O1446" i="21"/>
  <c r="O1446" i="21" a="1"/>
  <c r="V1445" i="21"/>
  <c r="U1445" i="21"/>
  <c r="T1445" i="21"/>
  <c r="S1445" i="21"/>
  <c r="R1445" i="21"/>
  <c r="Q1445" i="21"/>
  <c r="P1445" i="21"/>
  <c r="O1445" i="21"/>
  <c r="O1445" i="21" a="1"/>
  <c r="V1444" i="21"/>
  <c r="U1444" i="21"/>
  <c r="T1444" i="21"/>
  <c r="S1444" i="21"/>
  <c r="R1444" i="21"/>
  <c r="Q1444" i="21"/>
  <c r="P1444" i="21"/>
  <c r="O1444" i="21"/>
  <c r="O1444" i="21" a="1"/>
  <c r="V1443" i="21"/>
  <c r="U1443" i="21"/>
  <c r="T1443" i="21"/>
  <c r="S1443" i="21"/>
  <c r="R1443" i="21"/>
  <c r="Q1443" i="21"/>
  <c r="P1443" i="21"/>
  <c r="O1443" i="21"/>
  <c r="O1443" i="21" a="1"/>
  <c r="V1442" i="21"/>
  <c r="U1442" i="21"/>
  <c r="T1442" i="21"/>
  <c r="S1442" i="21"/>
  <c r="R1442" i="21"/>
  <c r="Q1442" i="21"/>
  <c r="P1442" i="21"/>
  <c r="O1442" i="21"/>
  <c r="O1442" i="21" a="1"/>
  <c r="V1441" i="21"/>
  <c r="U1441" i="21"/>
  <c r="T1441" i="21"/>
  <c r="S1441" i="21"/>
  <c r="R1441" i="21"/>
  <c r="Q1441" i="21"/>
  <c r="P1441" i="21"/>
  <c r="O1441" i="21"/>
  <c r="O1441" i="21" a="1"/>
  <c r="V1440" i="21"/>
  <c r="U1440" i="21"/>
  <c r="T1440" i="21"/>
  <c r="S1440" i="21"/>
  <c r="R1440" i="21"/>
  <c r="Q1440" i="21"/>
  <c r="P1440" i="21"/>
  <c r="O1440" i="21"/>
  <c r="O1440" i="21" a="1"/>
  <c r="V1439" i="21"/>
  <c r="U1439" i="21"/>
  <c r="T1439" i="21"/>
  <c r="S1439" i="21"/>
  <c r="R1439" i="21"/>
  <c r="Q1439" i="21"/>
  <c r="P1439" i="21"/>
  <c r="O1439" i="21"/>
  <c r="O1439" i="21" a="1"/>
  <c r="V1438" i="21"/>
  <c r="U1438" i="21"/>
  <c r="T1438" i="21"/>
  <c r="S1438" i="21"/>
  <c r="R1438" i="21"/>
  <c r="Q1438" i="21"/>
  <c r="P1438" i="21"/>
  <c r="O1438" i="21"/>
  <c r="O1438" i="21" a="1"/>
  <c r="V1437" i="21"/>
  <c r="U1437" i="21"/>
  <c r="T1437" i="21"/>
  <c r="S1437" i="21"/>
  <c r="R1437" i="21"/>
  <c r="Q1437" i="21"/>
  <c r="P1437" i="21"/>
  <c r="O1437" i="21"/>
  <c r="O1437" i="21" a="1"/>
  <c r="V1436" i="21"/>
  <c r="U1436" i="21"/>
  <c r="T1436" i="21"/>
  <c r="S1436" i="21"/>
  <c r="R1436" i="21"/>
  <c r="Q1436" i="21"/>
  <c r="P1436" i="21"/>
  <c r="O1436" i="21"/>
  <c r="O1436" i="21" a="1"/>
  <c r="V1435" i="21"/>
  <c r="U1435" i="21"/>
  <c r="T1435" i="21"/>
  <c r="S1435" i="21"/>
  <c r="R1435" i="21"/>
  <c r="Q1435" i="21"/>
  <c r="P1435" i="21"/>
  <c r="O1435" i="21"/>
  <c r="O1435" i="21" a="1"/>
  <c r="V1434" i="21"/>
  <c r="U1434" i="21"/>
  <c r="T1434" i="21"/>
  <c r="S1434" i="21"/>
  <c r="R1434" i="21"/>
  <c r="Q1434" i="21"/>
  <c r="P1434" i="21"/>
  <c r="O1434" i="21"/>
  <c r="O1434" i="21" a="1"/>
  <c r="V1433" i="21"/>
  <c r="U1433" i="21"/>
  <c r="T1433" i="21"/>
  <c r="S1433" i="21"/>
  <c r="R1433" i="21"/>
  <c r="Q1433" i="21"/>
  <c r="P1433" i="21"/>
  <c r="O1433" i="21"/>
  <c r="O1433" i="21" a="1"/>
  <c r="V1432" i="21"/>
  <c r="U1432" i="21"/>
  <c r="T1432" i="21"/>
  <c r="S1432" i="21"/>
  <c r="R1432" i="21"/>
  <c r="Q1432" i="21"/>
  <c r="P1432" i="21"/>
  <c r="O1432" i="21"/>
  <c r="O1432" i="21" a="1"/>
  <c r="V1431" i="21"/>
  <c r="U1431" i="21"/>
  <c r="T1431" i="21"/>
  <c r="S1431" i="21"/>
  <c r="R1431" i="21"/>
  <c r="Q1431" i="21"/>
  <c r="P1431" i="21"/>
  <c r="O1431" i="21"/>
  <c r="O1431" i="21" a="1"/>
  <c r="V1430" i="21"/>
  <c r="U1430" i="21"/>
  <c r="T1430" i="21"/>
  <c r="S1430" i="21"/>
  <c r="R1430" i="21"/>
  <c r="Q1430" i="21"/>
  <c r="P1430" i="21"/>
  <c r="O1430" i="21"/>
  <c r="O1430" i="21" a="1"/>
  <c r="V1429" i="21"/>
  <c r="U1429" i="21"/>
  <c r="T1429" i="21"/>
  <c r="S1429" i="21"/>
  <c r="R1429" i="21"/>
  <c r="Q1429" i="21"/>
  <c r="P1429" i="21"/>
  <c r="O1429" i="21"/>
  <c r="O1429" i="21" a="1"/>
  <c r="V1428" i="21"/>
  <c r="U1428" i="21"/>
  <c r="T1428" i="21"/>
  <c r="S1428" i="21"/>
  <c r="R1428" i="21"/>
  <c r="Q1428" i="21"/>
  <c r="P1428" i="21"/>
  <c r="O1428" i="21"/>
  <c r="O1428" i="21" a="1"/>
  <c r="V1427" i="21"/>
  <c r="U1427" i="21"/>
  <c r="T1427" i="21"/>
  <c r="S1427" i="21"/>
  <c r="R1427" i="21"/>
  <c r="Q1427" i="21"/>
  <c r="P1427" i="21"/>
  <c r="O1427" i="21"/>
  <c r="O1427" i="21" a="1"/>
  <c r="V1426" i="21"/>
  <c r="U1426" i="21"/>
  <c r="T1426" i="21"/>
  <c r="S1426" i="21"/>
  <c r="R1426" i="21"/>
  <c r="Q1426" i="21"/>
  <c r="P1426" i="21"/>
  <c r="O1426" i="21"/>
  <c r="O1426" i="21" a="1"/>
  <c r="V1425" i="21"/>
  <c r="U1425" i="21"/>
  <c r="T1425" i="21"/>
  <c r="S1425" i="21"/>
  <c r="R1425" i="21"/>
  <c r="Q1425" i="21"/>
  <c r="P1425" i="21"/>
  <c r="O1425" i="21"/>
  <c r="O1425" i="21" a="1"/>
  <c r="V1424" i="21"/>
  <c r="U1424" i="21"/>
  <c r="T1424" i="21"/>
  <c r="S1424" i="21"/>
  <c r="R1424" i="21"/>
  <c r="Q1424" i="21"/>
  <c r="P1424" i="21"/>
  <c r="O1424" i="21"/>
  <c r="O1424" i="21" a="1"/>
  <c r="V1423" i="21"/>
  <c r="U1423" i="21"/>
  <c r="T1423" i="21"/>
  <c r="S1423" i="21"/>
  <c r="R1423" i="21"/>
  <c r="Q1423" i="21"/>
  <c r="P1423" i="21"/>
  <c r="O1423" i="21"/>
  <c r="O1423" i="21" a="1"/>
  <c r="V1422" i="21"/>
  <c r="U1422" i="21"/>
  <c r="T1422" i="21"/>
  <c r="S1422" i="21"/>
  <c r="R1422" i="21"/>
  <c r="Q1422" i="21"/>
  <c r="P1422" i="21"/>
  <c r="O1422" i="21"/>
  <c r="O1422" i="21" a="1"/>
  <c r="V1421" i="21"/>
  <c r="U1421" i="21"/>
  <c r="T1421" i="21"/>
  <c r="S1421" i="21"/>
  <c r="R1421" i="21"/>
  <c r="Q1421" i="21"/>
  <c r="P1421" i="21"/>
  <c r="O1421" i="21"/>
  <c r="O1421" i="21" a="1"/>
  <c r="V1420" i="21"/>
  <c r="U1420" i="21"/>
  <c r="T1420" i="21"/>
  <c r="S1420" i="21"/>
  <c r="R1420" i="21"/>
  <c r="Q1420" i="21"/>
  <c r="P1420" i="21"/>
  <c r="O1420" i="21"/>
  <c r="O1420" i="21" a="1"/>
  <c r="V1419" i="21"/>
  <c r="U1419" i="21"/>
  <c r="T1419" i="21"/>
  <c r="S1419" i="21"/>
  <c r="R1419" i="21"/>
  <c r="Q1419" i="21"/>
  <c r="P1419" i="21"/>
  <c r="O1419" i="21"/>
  <c r="O1419" i="21" a="1"/>
  <c r="V1418" i="21"/>
  <c r="U1418" i="21"/>
  <c r="T1418" i="21"/>
  <c r="S1418" i="21"/>
  <c r="R1418" i="21"/>
  <c r="Q1418" i="21"/>
  <c r="P1418" i="21"/>
  <c r="O1418" i="21"/>
  <c r="O1418" i="21" a="1"/>
  <c r="V1417" i="21"/>
  <c r="U1417" i="21"/>
  <c r="T1417" i="21"/>
  <c r="S1417" i="21"/>
  <c r="R1417" i="21"/>
  <c r="Q1417" i="21"/>
  <c r="P1417" i="21"/>
  <c r="O1417" i="21"/>
  <c r="O1417" i="21" a="1"/>
  <c r="V1416" i="21"/>
  <c r="U1416" i="21"/>
  <c r="T1416" i="21"/>
  <c r="S1416" i="21"/>
  <c r="R1416" i="21"/>
  <c r="Q1416" i="21"/>
  <c r="P1416" i="21"/>
  <c r="O1416" i="21"/>
  <c r="O1416" i="21" a="1"/>
  <c r="V1415" i="21"/>
  <c r="U1415" i="21"/>
  <c r="T1415" i="21"/>
  <c r="S1415" i="21"/>
  <c r="R1415" i="21"/>
  <c r="Q1415" i="21"/>
  <c r="P1415" i="21"/>
  <c r="O1415" i="21"/>
  <c r="O1415" i="21" a="1"/>
  <c r="V1414" i="21"/>
  <c r="U1414" i="21"/>
  <c r="T1414" i="21"/>
  <c r="S1414" i="21"/>
  <c r="R1414" i="21"/>
  <c r="Q1414" i="21"/>
  <c r="P1414" i="21"/>
  <c r="O1414" i="21"/>
  <c r="O1414" i="21" a="1"/>
  <c r="V1413" i="21"/>
  <c r="U1413" i="21"/>
  <c r="T1413" i="21"/>
  <c r="S1413" i="21"/>
  <c r="R1413" i="21"/>
  <c r="Q1413" i="21"/>
  <c r="P1413" i="21"/>
  <c r="O1413" i="21"/>
  <c r="O1413" i="21" a="1"/>
  <c r="V1412" i="21"/>
  <c r="U1412" i="21"/>
  <c r="T1412" i="21"/>
  <c r="S1412" i="21"/>
  <c r="R1412" i="21"/>
  <c r="Q1412" i="21"/>
  <c r="P1412" i="21"/>
  <c r="O1412" i="21"/>
  <c r="O1412" i="21" a="1"/>
  <c r="V1411" i="21"/>
  <c r="U1411" i="21"/>
  <c r="T1411" i="21"/>
  <c r="S1411" i="21"/>
  <c r="R1411" i="21"/>
  <c r="Q1411" i="21"/>
  <c r="P1411" i="21"/>
  <c r="O1411" i="21"/>
  <c r="O1411" i="21" a="1"/>
  <c r="V1410" i="21"/>
  <c r="U1410" i="21"/>
  <c r="T1410" i="21"/>
  <c r="S1410" i="21"/>
  <c r="R1410" i="21"/>
  <c r="Q1410" i="21"/>
  <c r="P1410" i="21"/>
  <c r="O1410" i="21"/>
  <c r="O1410" i="21" a="1"/>
  <c r="V1409" i="21"/>
  <c r="U1409" i="21"/>
  <c r="T1409" i="21"/>
  <c r="S1409" i="21"/>
  <c r="R1409" i="21"/>
  <c r="Q1409" i="21"/>
  <c r="P1409" i="21"/>
  <c r="O1409" i="21"/>
  <c r="O1409" i="21" a="1"/>
  <c r="V1408" i="21"/>
  <c r="U1408" i="21"/>
  <c r="T1408" i="21"/>
  <c r="S1408" i="21"/>
  <c r="R1408" i="21"/>
  <c r="Q1408" i="21"/>
  <c r="P1408" i="21"/>
  <c r="O1408" i="21"/>
  <c r="O1408" i="21" a="1"/>
  <c r="V1407" i="21"/>
  <c r="U1407" i="21"/>
  <c r="T1407" i="21"/>
  <c r="S1407" i="21"/>
  <c r="R1407" i="21"/>
  <c r="Q1407" i="21"/>
  <c r="P1407" i="21"/>
  <c r="O1407" i="21"/>
  <c r="O1407" i="21" a="1"/>
  <c r="V1406" i="21"/>
  <c r="U1406" i="21"/>
  <c r="T1406" i="21"/>
  <c r="S1406" i="21"/>
  <c r="R1406" i="21"/>
  <c r="Q1406" i="21"/>
  <c r="P1406" i="21"/>
  <c r="O1406" i="21"/>
  <c r="O1406" i="21" a="1"/>
  <c r="V1405" i="21"/>
  <c r="U1405" i="21"/>
  <c r="T1405" i="21"/>
  <c r="S1405" i="21"/>
  <c r="R1405" i="21"/>
  <c r="Q1405" i="21"/>
  <c r="P1405" i="21"/>
  <c r="O1405" i="21"/>
  <c r="O1405" i="21" a="1"/>
  <c r="V1404" i="21"/>
  <c r="U1404" i="21"/>
  <c r="T1404" i="21"/>
  <c r="S1404" i="21"/>
  <c r="R1404" i="21"/>
  <c r="Q1404" i="21"/>
  <c r="P1404" i="21"/>
  <c r="O1404" i="21"/>
  <c r="O1404" i="21" a="1"/>
  <c r="V1403" i="21"/>
  <c r="U1403" i="21"/>
  <c r="T1403" i="21"/>
  <c r="S1403" i="21"/>
  <c r="R1403" i="21"/>
  <c r="Q1403" i="21"/>
  <c r="P1403" i="21"/>
  <c r="O1403" i="21"/>
  <c r="O1403" i="21" a="1"/>
  <c r="V1402" i="21"/>
  <c r="U1402" i="21"/>
  <c r="T1402" i="21"/>
  <c r="S1402" i="21"/>
  <c r="R1402" i="21"/>
  <c r="Q1402" i="21"/>
  <c r="P1402" i="21"/>
  <c r="O1402" i="21"/>
  <c r="O1402" i="21" a="1"/>
  <c r="V1401" i="21"/>
  <c r="U1401" i="21"/>
  <c r="T1401" i="21"/>
  <c r="S1401" i="21"/>
  <c r="R1401" i="21"/>
  <c r="Q1401" i="21"/>
  <c r="P1401" i="21"/>
  <c r="O1401" i="21"/>
  <c r="O1401" i="21" a="1"/>
  <c r="V1400" i="21"/>
  <c r="U1400" i="21"/>
  <c r="T1400" i="21"/>
  <c r="S1400" i="21"/>
  <c r="R1400" i="21"/>
  <c r="Q1400" i="21"/>
  <c r="P1400" i="21"/>
  <c r="O1400" i="21"/>
  <c r="O1400" i="21" a="1"/>
  <c r="V1399" i="21"/>
  <c r="U1399" i="21"/>
  <c r="T1399" i="21"/>
  <c r="S1399" i="21"/>
  <c r="R1399" i="21"/>
  <c r="Q1399" i="21"/>
  <c r="P1399" i="21"/>
  <c r="O1399" i="21"/>
  <c r="O1399" i="21" a="1"/>
  <c r="V1398" i="21"/>
  <c r="U1398" i="21"/>
  <c r="T1398" i="21"/>
  <c r="S1398" i="21"/>
  <c r="R1398" i="21"/>
  <c r="Q1398" i="21"/>
  <c r="P1398" i="21"/>
  <c r="O1398" i="21"/>
  <c r="O1398" i="21" a="1"/>
  <c r="V1397" i="21"/>
  <c r="U1397" i="21"/>
  <c r="T1397" i="21"/>
  <c r="S1397" i="21"/>
  <c r="R1397" i="21"/>
  <c r="Q1397" i="21"/>
  <c r="P1397" i="21"/>
  <c r="O1397" i="21"/>
  <c r="O1397" i="21" a="1"/>
  <c r="V1396" i="21"/>
  <c r="U1396" i="21"/>
  <c r="T1396" i="21"/>
  <c r="S1396" i="21"/>
  <c r="R1396" i="21"/>
  <c r="Q1396" i="21"/>
  <c r="P1396" i="21"/>
  <c r="O1396" i="21"/>
  <c r="O1396" i="21" a="1"/>
  <c r="V1395" i="21"/>
  <c r="U1395" i="21"/>
  <c r="T1395" i="21"/>
  <c r="S1395" i="21"/>
  <c r="R1395" i="21"/>
  <c r="Q1395" i="21"/>
  <c r="P1395" i="21"/>
  <c r="O1395" i="21"/>
  <c r="O1395" i="21" a="1"/>
  <c r="V1394" i="21"/>
  <c r="U1394" i="21"/>
  <c r="T1394" i="21"/>
  <c r="S1394" i="21"/>
  <c r="R1394" i="21"/>
  <c r="Q1394" i="21"/>
  <c r="P1394" i="21"/>
  <c r="O1394" i="21"/>
  <c r="O1394" i="21" a="1"/>
  <c r="V1393" i="21"/>
  <c r="U1393" i="21"/>
  <c r="T1393" i="21"/>
  <c r="S1393" i="21"/>
  <c r="R1393" i="21"/>
  <c r="Q1393" i="21"/>
  <c r="P1393" i="21"/>
  <c r="O1393" i="21"/>
  <c r="O1393" i="21" a="1"/>
  <c r="V1392" i="21"/>
  <c r="U1392" i="21"/>
  <c r="T1392" i="21"/>
  <c r="S1392" i="21"/>
  <c r="R1392" i="21"/>
  <c r="Q1392" i="21"/>
  <c r="P1392" i="21"/>
  <c r="O1392" i="21"/>
  <c r="O1392" i="21" a="1"/>
  <c r="V1391" i="21"/>
  <c r="U1391" i="21"/>
  <c r="T1391" i="21"/>
  <c r="S1391" i="21"/>
  <c r="R1391" i="21"/>
  <c r="Q1391" i="21"/>
  <c r="P1391" i="21"/>
  <c r="O1391" i="21"/>
  <c r="O1391" i="21" a="1"/>
  <c r="V1390" i="21"/>
  <c r="U1390" i="21"/>
  <c r="T1390" i="21"/>
  <c r="S1390" i="21"/>
  <c r="R1390" i="21"/>
  <c r="Q1390" i="21"/>
  <c r="P1390" i="21"/>
  <c r="O1390" i="21"/>
  <c r="O1390" i="21" a="1"/>
  <c r="V1389" i="21"/>
  <c r="U1389" i="21"/>
  <c r="T1389" i="21"/>
  <c r="S1389" i="21"/>
  <c r="R1389" i="21"/>
  <c r="Q1389" i="21"/>
  <c r="P1389" i="21"/>
  <c r="O1389" i="21"/>
  <c r="O1389" i="21" a="1"/>
  <c r="V1388" i="21"/>
  <c r="U1388" i="21"/>
  <c r="T1388" i="21"/>
  <c r="S1388" i="21"/>
  <c r="R1388" i="21"/>
  <c r="Q1388" i="21"/>
  <c r="P1388" i="21"/>
  <c r="O1388" i="21"/>
  <c r="O1388" i="21" a="1"/>
  <c r="V1387" i="21"/>
  <c r="U1387" i="21"/>
  <c r="T1387" i="21"/>
  <c r="S1387" i="21"/>
  <c r="R1387" i="21"/>
  <c r="Q1387" i="21"/>
  <c r="P1387" i="21"/>
  <c r="O1387" i="21"/>
  <c r="O1387" i="21" a="1"/>
  <c r="V1386" i="21"/>
  <c r="U1386" i="21"/>
  <c r="T1386" i="21"/>
  <c r="S1386" i="21"/>
  <c r="R1386" i="21"/>
  <c r="Q1386" i="21"/>
  <c r="P1386" i="21"/>
  <c r="O1386" i="21"/>
  <c r="O1386" i="21" a="1"/>
  <c r="V1385" i="21"/>
  <c r="U1385" i="21"/>
  <c r="T1385" i="21"/>
  <c r="S1385" i="21"/>
  <c r="R1385" i="21"/>
  <c r="Q1385" i="21"/>
  <c r="P1385" i="21"/>
  <c r="O1385" i="21"/>
  <c r="O1385" i="21" a="1"/>
  <c r="V1384" i="21"/>
  <c r="U1384" i="21"/>
  <c r="T1384" i="21"/>
  <c r="S1384" i="21"/>
  <c r="R1384" i="21"/>
  <c r="Q1384" i="21"/>
  <c r="P1384" i="21"/>
  <c r="O1384" i="21"/>
  <c r="O1384" i="21" a="1"/>
  <c r="V1383" i="21"/>
  <c r="U1383" i="21"/>
  <c r="T1383" i="21"/>
  <c r="S1383" i="21"/>
  <c r="R1383" i="21"/>
  <c r="Q1383" i="21"/>
  <c r="P1383" i="21"/>
  <c r="O1383" i="21"/>
  <c r="O1383" i="21" a="1"/>
  <c r="V1382" i="21"/>
  <c r="U1382" i="21"/>
  <c r="T1382" i="21"/>
  <c r="S1382" i="21"/>
  <c r="R1382" i="21"/>
  <c r="Q1382" i="21"/>
  <c r="P1382" i="21"/>
  <c r="O1382" i="21"/>
  <c r="O1382" i="21" a="1"/>
  <c r="V1381" i="21"/>
  <c r="U1381" i="21"/>
  <c r="T1381" i="21"/>
  <c r="S1381" i="21"/>
  <c r="R1381" i="21"/>
  <c r="Q1381" i="21"/>
  <c r="P1381" i="21"/>
  <c r="O1381" i="21"/>
  <c r="O1381" i="21" a="1"/>
  <c r="V1380" i="21"/>
  <c r="U1380" i="21"/>
  <c r="T1380" i="21"/>
  <c r="S1380" i="21"/>
  <c r="R1380" i="21"/>
  <c r="Q1380" i="21"/>
  <c r="P1380" i="21"/>
  <c r="O1380" i="21"/>
  <c r="O1380" i="21" a="1"/>
  <c r="V1379" i="21"/>
  <c r="U1379" i="21"/>
  <c r="T1379" i="21"/>
  <c r="S1379" i="21"/>
  <c r="R1379" i="21"/>
  <c r="Q1379" i="21"/>
  <c r="P1379" i="21"/>
  <c r="O1379" i="21"/>
  <c r="O1379" i="21" a="1"/>
  <c r="V1378" i="21"/>
  <c r="U1378" i="21"/>
  <c r="T1378" i="21"/>
  <c r="S1378" i="21"/>
  <c r="R1378" i="21"/>
  <c r="Q1378" i="21"/>
  <c r="P1378" i="21"/>
  <c r="O1378" i="21"/>
  <c r="O1378" i="21" a="1"/>
  <c r="V1377" i="21"/>
  <c r="U1377" i="21"/>
  <c r="T1377" i="21"/>
  <c r="S1377" i="21"/>
  <c r="R1377" i="21"/>
  <c r="Q1377" i="21"/>
  <c r="P1377" i="21"/>
  <c r="O1377" i="21"/>
  <c r="O1377" i="21" a="1"/>
  <c r="V1376" i="21"/>
  <c r="U1376" i="21"/>
  <c r="T1376" i="21"/>
  <c r="S1376" i="21"/>
  <c r="R1376" i="21"/>
  <c r="Q1376" i="21"/>
  <c r="P1376" i="21"/>
  <c r="O1376" i="21"/>
  <c r="O1376" i="21" a="1"/>
  <c r="V1375" i="21"/>
  <c r="U1375" i="21"/>
  <c r="T1375" i="21"/>
  <c r="S1375" i="21"/>
  <c r="R1375" i="21"/>
  <c r="Q1375" i="21"/>
  <c r="P1375" i="21"/>
  <c r="O1375" i="21"/>
  <c r="O1375" i="21" a="1"/>
  <c r="V1374" i="21"/>
  <c r="U1374" i="21"/>
  <c r="T1374" i="21"/>
  <c r="S1374" i="21"/>
  <c r="R1374" i="21"/>
  <c r="Q1374" i="21"/>
  <c r="P1374" i="21"/>
  <c r="O1374" i="21"/>
  <c r="O1374" i="21" a="1"/>
  <c r="V1373" i="21"/>
  <c r="U1373" i="21"/>
  <c r="T1373" i="21"/>
  <c r="S1373" i="21"/>
  <c r="R1373" i="21"/>
  <c r="Q1373" i="21"/>
  <c r="P1373" i="21"/>
  <c r="O1373" i="21"/>
  <c r="O1373" i="21" a="1"/>
  <c r="V1372" i="21"/>
  <c r="U1372" i="21"/>
  <c r="T1372" i="21"/>
  <c r="S1372" i="21"/>
  <c r="R1372" i="21"/>
  <c r="Q1372" i="21"/>
  <c r="P1372" i="21"/>
  <c r="O1372" i="21"/>
  <c r="O1372" i="21" a="1"/>
  <c r="V1371" i="21"/>
  <c r="U1371" i="21"/>
  <c r="T1371" i="21"/>
  <c r="S1371" i="21"/>
  <c r="R1371" i="21"/>
  <c r="Q1371" i="21"/>
  <c r="P1371" i="21"/>
  <c r="O1371" i="21"/>
  <c r="O1371" i="21" a="1"/>
  <c r="V1370" i="21"/>
  <c r="U1370" i="21"/>
  <c r="T1370" i="21"/>
  <c r="S1370" i="21"/>
  <c r="R1370" i="21"/>
  <c r="Q1370" i="21"/>
  <c r="P1370" i="21"/>
  <c r="O1370" i="21"/>
  <c r="O1370" i="21" a="1"/>
  <c r="V1369" i="21"/>
  <c r="U1369" i="21"/>
  <c r="T1369" i="21"/>
  <c r="S1369" i="21"/>
  <c r="R1369" i="21"/>
  <c r="Q1369" i="21"/>
  <c r="P1369" i="21"/>
  <c r="O1369" i="21"/>
  <c r="O1369" i="21" a="1"/>
  <c r="V1368" i="21"/>
  <c r="U1368" i="21"/>
  <c r="T1368" i="21"/>
  <c r="S1368" i="21"/>
  <c r="R1368" i="21"/>
  <c r="Q1368" i="21"/>
  <c r="P1368" i="21"/>
  <c r="O1368" i="21"/>
  <c r="O1368" i="21" a="1"/>
  <c r="V1367" i="21"/>
  <c r="U1367" i="21"/>
  <c r="T1367" i="21"/>
  <c r="S1367" i="21"/>
  <c r="R1367" i="21"/>
  <c r="Q1367" i="21"/>
  <c r="P1367" i="21"/>
  <c r="O1367" i="21"/>
  <c r="O1367" i="21" a="1"/>
  <c r="V1366" i="21"/>
  <c r="U1366" i="21"/>
  <c r="T1366" i="21"/>
  <c r="S1366" i="21"/>
  <c r="R1366" i="21"/>
  <c r="Q1366" i="21"/>
  <c r="P1366" i="21"/>
  <c r="O1366" i="21"/>
  <c r="O1366" i="21" a="1"/>
  <c r="V1365" i="21"/>
  <c r="U1365" i="21"/>
  <c r="T1365" i="21"/>
  <c r="S1365" i="21"/>
  <c r="R1365" i="21"/>
  <c r="Q1365" i="21"/>
  <c r="P1365" i="21"/>
  <c r="O1365" i="21"/>
  <c r="O1365" i="21" a="1"/>
  <c r="V1364" i="21"/>
  <c r="U1364" i="21"/>
  <c r="T1364" i="21"/>
  <c r="S1364" i="21"/>
  <c r="R1364" i="21"/>
  <c r="Q1364" i="21"/>
  <c r="P1364" i="21"/>
  <c r="O1364" i="21"/>
  <c r="O1364" i="21" a="1"/>
  <c r="V1363" i="21"/>
  <c r="U1363" i="21"/>
  <c r="T1363" i="21"/>
  <c r="S1363" i="21"/>
  <c r="R1363" i="21"/>
  <c r="Q1363" i="21"/>
  <c r="P1363" i="21"/>
  <c r="O1363" i="21"/>
  <c r="O1363" i="21" a="1"/>
  <c r="V1362" i="21"/>
  <c r="U1362" i="21"/>
  <c r="T1362" i="21"/>
  <c r="S1362" i="21"/>
  <c r="R1362" i="21"/>
  <c r="Q1362" i="21"/>
  <c r="P1362" i="21"/>
  <c r="O1362" i="21"/>
  <c r="O1362" i="21" a="1"/>
  <c r="V1361" i="21"/>
  <c r="U1361" i="21"/>
  <c r="T1361" i="21"/>
  <c r="S1361" i="21"/>
  <c r="R1361" i="21"/>
  <c r="Q1361" i="21"/>
  <c r="P1361" i="21"/>
  <c r="O1361" i="21"/>
  <c r="O1361" i="21" a="1"/>
  <c r="V1360" i="21"/>
  <c r="U1360" i="21"/>
  <c r="T1360" i="21"/>
  <c r="S1360" i="21"/>
  <c r="R1360" i="21"/>
  <c r="Q1360" i="21"/>
  <c r="P1360" i="21"/>
  <c r="O1360" i="21"/>
  <c r="O1360" i="21" a="1"/>
  <c r="V1359" i="21"/>
  <c r="U1359" i="21"/>
  <c r="T1359" i="21"/>
  <c r="S1359" i="21"/>
  <c r="R1359" i="21"/>
  <c r="Q1359" i="21"/>
  <c r="P1359" i="21"/>
  <c r="O1359" i="21"/>
  <c r="O1359" i="21" a="1"/>
  <c r="V1358" i="21"/>
  <c r="U1358" i="21"/>
  <c r="T1358" i="21"/>
  <c r="S1358" i="21"/>
  <c r="R1358" i="21"/>
  <c r="Q1358" i="21"/>
  <c r="P1358" i="21"/>
  <c r="O1358" i="21"/>
  <c r="O1358" i="21" a="1"/>
  <c r="V1357" i="21"/>
  <c r="U1357" i="21"/>
  <c r="T1357" i="21"/>
  <c r="S1357" i="21"/>
  <c r="R1357" i="21"/>
  <c r="Q1357" i="21"/>
  <c r="P1357" i="21"/>
  <c r="O1357" i="21"/>
  <c r="O1357" i="21" a="1"/>
  <c r="V1356" i="21"/>
  <c r="U1356" i="21"/>
  <c r="T1356" i="21"/>
  <c r="S1356" i="21"/>
  <c r="R1356" i="21"/>
  <c r="Q1356" i="21"/>
  <c r="P1356" i="21"/>
  <c r="O1356" i="21"/>
  <c r="O1356" i="21" a="1"/>
  <c r="V1355" i="21"/>
  <c r="U1355" i="21"/>
  <c r="T1355" i="21"/>
  <c r="S1355" i="21"/>
  <c r="R1355" i="21"/>
  <c r="Q1355" i="21"/>
  <c r="P1355" i="21"/>
  <c r="O1355" i="21"/>
  <c r="O1355" i="21" a="1"/>
  <c r="V1354" i="21"/>
  <c r="U1354" i="21"/>
  <c r="T1354" i="21"/>
  <c r="S1354" i="21"/>
  <c r="R1354" i="21"/>
  <c r="Q1354" i="21"/>
  <c r="P1354" i="21"/>
  <c r="O1354" i="21"/>
  <c r="O1354" i="21" a="1"/>
  <c r="V1353" i="21"/>
  <c r="U1353" i="21"/>
  <c r="T1353" i="21"/>
  <c r="S1353" i="21"/>
  <c r="R1353" i="21"/>
  <c r="Q1353" i="21"/>
  <c r="P1353" i="21"/>
  <c r="O1353" i="21"/>
  <c r="O1353" i="21" a="1"/>
  <c r="V1352" i="21"/>
  <c r="U1352" i="21"/>
  <c r="T1352" i="21"/>
  <c r="S1352" i="21"/>
  <c r="R1352" i="21"/>
  <c r="Q1352" i="21"/>
  <c r="P1352" i="21"/>
  <c r="O1352" i="21"/>
  <c r="O1352" i="21" a="1"/>
  <c r="V1351" i="21"/>
  <c r="U1351" i="21"/>
  <c r="T1351" i="21"/>
  <c r="S1351" i="21"/>
  <c r="R1351" i="21"/>
  <c r="Q1351" i="21"/>
  <c r="P1351" i="21"/>
  <c r="O1351" i="21"/>
  <c r="O1351" i="21" a="1"/>
  <c r="V1350" i="21"/>
  <c r="U1350" i="21"/>
  <c r="T1350" i="21"/>
  <c r="S1350" i="21"/>
  <c r="R1350" i="21"/>
  <c r="Q1350" i="21"/>
  <c r="P1350" i="21"/>
  <c r="O1350" i="21"/>
  <c r="O1350" i="21" a="1"/>
  <c r="V1349" i="21"/>
  <c r="U1349" i="21"/>
  <c r="T1349" i="21"/>
  <c r="S1349" i="21"/>
  <c r="R1349" i="21"/>
  <c r="Q1349" i="21"/>
  <c r="P1349" i="21"/>
  <c r="O1349" i="21"/>
  <c r="O1349" i="21" a="1"/>
  <c r="V1348" i="21"/>
  <c r="U1348" i="21"/>
  <c r="T1348" i="21"/>
  <c r="S1348" i="21"/>
  <c r="R1348" i="21"/>
  <c r="Q1348" i="21"/>
  <c r="P1348" i="21"/>
  <c r="O1348" i="21"/>
  <c r="O1348" i="21" a="1"/>
  <c r="V1347" i="21"/>
  <c r="U1347" i="21"/>
  <c r="T1347" i="21"/>
  <c r="S1347" i="21"/>
  <c r="R1347" i="21"/>
  <c r="Q1347" i="21"/>
  <c r="P1347" i="21"/>
  <c r="O1347" i="21"/>
  <c r="O1347" i="21" a="1"/>
  <c r="V1346" i="21"/>
  <c r="U1346" i="21"/>
  <c r="T1346" i="21"/>
  <c r="S1346" i="21"/>
  <c r="R1346" i="21"/>
  <c r="Q1346" i="21"/>
  <c r="P1346" i="21"/>
  <c r="O1346" i="21"/>
  <c r="O1346" i="21" a="1"/>
  <c r="V1345" i="21"/>
  <c r="U1345" i="21"/>
  <c r="T1345" i="21"/>
  <c r="S1345" i="21"/>
  <c r="R1345" i="21"/>
  <c r="Q1345" i="21"/>
  <c r="P1345" i="21"/>
  <c r="O1345" i="21"/>
  <c r="O1345" i="21" a="1"/>
  <c r="V1344" i="21"/>
  <c r="U1344" i="21"/>
  <c r="T1344" i="21"/>
  <c r="S1344" i="21"/>
  <c r="R1344" i="21"/>
  <c r="Q1344" i="21"/>
  <c r="P1344" i="21"/>
  <c r="O1344" i="21"/>
  <c r="O1344" i="21" a="1"/>
  <c r="V1343" i="21"/>
  <c r="U1343" i="21"/>
  <c r="T1343" i="21"/>
  <c r="S1343" i="21"/>
  <c r="R1343" i="21"/>
  <c r="Q1343" i="21"/>
  <c r="P1343" i="21"/>
  <c r="O1343" i="21"/>
  <c r="O1343" i="21" a="1"/>
  <c r="V1342" i="21"/>
  <c r="U1342" i="21"/>
  <c r="T1342" i="21"/>
  <c r="S1342" i="21"/>
  <c r="R1342" i="21"/>
  <c r="Q1342" i="21"/>
  <c r="P1342" i="21"/>
  <c r="O1342" i="21"/>
  <c r="O1342" i="21" a="1"/>
  <c r="V1341" i="21"/>
  <c r="U1341" i="21"/>
  <c r="T1341" i="21"/>
  <c r="S1341" i="21"/>
  <c r="R1341" i="21"/>
  <c r="Q1341" i="21"/>
  <c r="P1341" i="21"/>
  <c r="O1341" i="21"/>
  <c r="O1341" i="21" a="1"/>
  <c r="V1340" i="21"/>
  <c r="U1340" i="21"/>
  <c r="T1340" i="21"/>
  <c r="S1340" i="21"/>
  <c r="R1340" i="21"/>
  <c r="Q1340" i="21"/>
  <c r="P1340" i="21"/>
  <c r="O1340" i="21"/>
  <c r="O1340" i="21" a="1"/>
  <c r="V1339" i="21"/>
  <c r="U1339" i="21"/>
  <c r="T1339" i="21"/>
  <c r="S1339" i="21"/>
  <c r="R1339" i="21"/>
  <c r="Q1339" i="21"/>
  <c r="P1339" i="21"/>
  <c r="O1339" i="21"/>
  <c r="O1339" i="21" a="1"/>
  <c r="V1338" i="21"/>
  <c r="U1338" i="21"/>
  <c r="T1338" i="21"/>
  <c r="S1338" i="21"/>
  <c r="R1338" i="21"/>
  <c r="Q1338" i="21"/>
  <c r="P1338" i="21"/>
  <c r="O1338" i="21"/>
  <c r="O1338" i="21" a="1"/>
  <c r="V1337" i="21"/>
  <c r="U1337" i="21"/>
  <c r="T1337" i="21"/>
  <c r="S1337" i="21"/>
  <c r="R1337" i="21"/>
  <c r="Q1337" i="21"/>
  <c r="P1337" i="21"/>
  <c r="O1337" i="21"/>
  <c r="O1337" i="21" a="1"/>
  <c r="V1336" i="21"/>
  <c r="U1336" i="21"/>
  <c r="T1336" i="21"/>
  <c r="S1336" i="21"/>
  <c r="R1336" i="21"/>
  <c r="Q1336" i="21"/>
  <c r="P1336" i="21"/>
  <c r="O1336" i="21"/>
  <c r="O1336" i="21" a="1"/>
  <c r="V1335" i="21"/>
  <c r="U1335" i="21"/>
  <c r="T1335" i="21"/>
  <c r="S1335" i="21"/>
  <c r="R1335" i="21"/>
  <c r="Q1335" i="21"/>
  <c r="P1335" i="21"/>
  <c r="O1335" i="21"/>
  <c r="O1335" i="21" a="1"/>
  <c r="V1334" i="21"/>
  <c r="U1334" i="21"/>
  <c r="T1334" i="21"/>
  <c r="S1334" i="21"/>
  <c r="R1334" i="21"/>
  <c r="Q1334" i="21"/>
  <c r="P1334" i="21"/>
  <c r="O1334" i="21"/>
  <c r="O1334" i="21" a="1"/>
  <c r="V1333" i="21"/>
  <c r="U1333" i="21"/>
  <c r="T1333" i="21"/>
  <c r="S1333" i="21"/>
  <c r="R1333" i="21"/>
  <c r="Q1333" i="21"/>
  <c r="P1333" i="21"/>
  <c r="O1333" i="21"/>
  <c r="O1333" i="21" a="1"/>
  <c r="V1332" i="21"/>
  <c r="U1332" i="21"/>
  <c r="T1332" i="21"/>
  <c r="S1332" i="21"/>
  <c r="R1332" i="21"/>
  <c r="Q1332" i="21"/>
  <c r="P1332" i="21"/>
  <c r="O1332" i="21"/>
  <c r="O1332" i="21" a="1"/>
  <c r="V1331" i="21"/>
  <c r="U1331" i="21"/>
  <c r="T1331" i="21"/>
  <c r="S1331" i="21"/>
  <c r="R1331" i="21"/>
  <c r="Q1331" i="21"/>
  <c r="P1331" i="21"/>
  <c r="O1331" i="21"/>
  <c r="O1331" i="21" a="1"/>
  <c r="V1330" i="21"/>
  <c r="U1330" i="21"/>
  <c r="T1330" i="21"/>
  <c r="S1330" i="21"/>
  <c r="R1330" i="21"/>
  <c r="Q1330" i="21"/>
  <c r="P1330" i="21"/>
  <c r="O1330" i="21"/>
  <c r="O1330" i="21" a="1"/>
  <c r="V1329" i="21"/>
  <c r="U1329" i="21"/>
  <c r="T1329" i="21"/>
  <c r="S1329" i="21"/>
  <c r="R1329" i="21"/>
  <c r="Q1329" i="21"/>
  <c r="P1329" i="21"/>
  <c r="O1329" i="21"/>
  <c r="O1329" i="21" a="1"/>
  <c r="V1328" i="21"/>
  <c r="U1328" i="21"/>
  <c r="T1328" i="21"/>
  <c r="S1328" i="21"/>
  <c r="R1328" i="21"/>
  <c r="Q1328" i="21"/>
  <c r="P1328" i="21"/>
  <c r="O1328" i="21"/>
  <c r="O1328" i="21" a="1"/>
  <c r="V1327" i="21"/>
  <c r="U1327" i="21"/>
  <c r="T1327" i="21"/>
  <c r="S1327" i="21"/>
  <c r="R1327" i="21"/>
  <c r="Q1327" i="21"/>
  <c r="P1327" i="21"/>
  <c r="O1327" i="21"/>
  <c r="O1327" i="21" a="1"/>
  <c r="V1326" i="21"/>
  <c r="U1326" i="21"/>
  <c r="T1326" i="21"/>
  <c r="S1326" i="21"/>
  <c r="R1326" i="21"/>
  <c r="Q1326" i="21"/>
  <c r="P1326" i="21"/>
  <c r="O1326" i="21"/>
  <c r="O1326" i="21" a="1"/>
  <c r="V1325" i="21"/>
  <c r="U1325" i="21"/>
  <c r="T1325" i="21"/>
  <c r="S1325" i="21"/>
  <c r="R1325" i="21"/>
  <c r="Q1325" i="21"/>
  <c r="P1325" i="21"/>
  <c r="O1325" i="21"/>
  <c r="O1325" i="21" a="1"/>
  <c r="V1324" i="21"/>
  <c r="U1324" i="21"/>
  <c r="T1324" i="21"/>
  <c r="S1324" i="21"/>
  <c r="R1324" i="21"/>
  <c r="Q1324" i="21"/>
  <c r="P1324" i="21"/>
  <c r="O1324" i="21"/>
  <c r="O1324" i="21" a="1"/>
  <c r="V1323" i="21"/>
  <c r="U1323" i="21"/>
  <c r="T1323" i="21"/>
  <c r="S1323" i="21"/>
  <c r="R1323" i="21"/>
  <c r="Q1323" i="21"/>
  <c r="P1323" i="21"/>
  <c r="O1323" i="21"/>
  <c r="O1323" i="21" a="1"/>
  <c r="V1322" i="21"/>
  <c r="U1322" i="21"/>
  <c r="T1322" i="21"/>
  <c r="S1322" i="21"/>
  <c r="R1322" i="21"/>
  <c r="Q1322" i="21"/>
  <c r="P1322" i="21"/>
  <c r="O1322" i="21"/>
  <c r="O1322" i="21" a="1"/>
  <c r="V1321" i="21"/>
  <c r="U1321" i="21"/>
  <c r="T1321" i="21"/>
  <c r="S1321" i="21"/>
  <c r="R1321" i="21"/>
  <c r="Q1321" i="21"/>
  <c r="P1321" i="21"/>
  <c r="O1321" i="21"/>
  <c r="O1321" i="21" a="1"/>
  <c r="V1320" i="21"/>
  <c r="U1320" i="21"/>
  <c r="T1320" i="21"/>
  <c r="S1320" i="21"/>
  <c r="R1320" i="21"/>
  <c r="Q1320" i="21"/>
  <c r="P1320" i="21"/>
  <c r="O1320" i="21"/>
  <c r="O1320" i="21" a="1"/>
  <c r="V1319" i="21"/>
  <c r="U1319" i="21"/>
  <c r="T1319" i="21"/>
  <c r="S1319" i="21"/>
  <c r="R1319" i="21"/>
  <c r="Q1319" i="21"/>
  <c r="P1319" i="21"/>
  <c r="O1319" i="21"/>
  <c r="O1319" i="21" a="1"/>
  <c r="V1318" i="21"/>
  <c r="U1318" i="21"/>
  <c r="T1318" i="21"/>
  <c r="S1318" i="21"/>
  <c r="R1318" i="21"/>
  <c r="Q1318" i="21"/>
  <c r="P1318" i="21"/>
  <c r="O1318" i="21"/>
  <c r="O1318" i="21" a="1"/>
  <c r="V1317" i="21"/>
  <c r="U1317" i="21"/>
  <c r="T1317" i="21"/>
  <c r="S1317" i="21"/>
  <c r="R1317" i="21"/>
  <c r="Q1317" i="21"/>
  <c r="P1317" i="21"/>
  <c r="O1317" i="21"/>
  <c r="O1317" i="21" a="1"/>
  <c r="V1316" i="21"/>
  <c r="U1316" i="21"/>
  <c r="T1316" i="21"/>
  <c r="S1316" i="21"/>
  <c r="R1316" i="21"/>
  <c r="Q1316" i="21"/>
  <c r="P1316" i="21"/>
  <c r="O1316" i="21"/>
  <c r="O1316" i="21" a="1"/>
  <c r="V1315" i="21"/>
  <c r="U1315" i="21"/>
  <c r="T1315" i="21"/>
  <c r="S1315" i="21"/>
  <c r="R1315" i="21"/>
  <c r="Q1315" i="21"/>
  <c r="P1315" i="21"/>
  <c r="O1315" i="21"/>
  <c r="O1315" i="21" a="1"/>
  <c r="V1314" i="21"/>
  <c r="U1314" i="21"/>
  <c r="T1314" i="21"/>
  <c r="S1314" i="21"/>
  <c r="R1314" i="21"/>
  <c r="Q1314" i="21"/>
  <c r="P1314" i="21"/>
  <c r="O1314" i="21"/>
  <c r="O1314" i="21" a="1"/>
  <c r="V1313" i="21"/>
  <c r="U1313" i="21"/>
  <c r="T1313" i="21"/>
  <c r="S1313" i="21"/>
  <c r="R1313" i="21"/>
  <c r="Q1313" i="21"/>
  <c r="P1313" i="21"/>
  <c r="O1313" i="21"/>
  <c r="O1313" i="21" a="1"/>
  <c r="V1312" i="21"/>
  <c r="U1312" i="21"/>
  <c r="T1312" i="21"/>
  <c r="S1312" i="21"/>
  <c r="R1312" i="21"/>
  <c r="Q1312" i="21"/>
  <c r="P1312" i="21"/>
  <c r="O1312" i="21"/>
  <c r="O1312" i="21" a="1"/>
  <c r="V1311" i="21"/>
  <c r="U1311" i="21"/>
  <c r="T1311" i="21"/>
  <c r="S1311" i="21"/>
  <c r="R1311" i="21"/>
  <c r="Q1311" i="21"/>
  <c r="P1311" i="21"/>
  <c r="O1311" i="21"/>
  <c r="O1311" i="21" a="1"/>
  <c r="V1310" i="21"/>
  <c r="U1310" i="21"/>
  <c r="T1310" i="21"/>
  <c r="S1310" i="21"/>
  <c r="R1310" i="21"/>
  <c r="Q1310" i="21"/>
  <c r="P1310" i="21"/>
  <c r="O1310" i="21"/>
  <c r="O1310" i="21" a="1"/>
  <c r="V1309" i="21"/>
  <c r="U1309" i="21"/>
  <c r="T1309" i="21"/>
  <c r="S1309" i="21"/>
  <c r="R1309" i="21"/>
  <c r="Q1309" i="21"/>
  <c r="P1309" i="21"/>
  <c r="O1309" i="21"/>
  <c r="O1309" i="21" a="1"/>
  <c r="V1308" i="21"/>
  <c r="U1308" i="21"/>
  <c r="T1308" i="21"/>
  <c r="S1308" i="21"/>
  <c r="R1308" i="21"/>
  <c r="Q1308" i="21"/>
  <c r="P1308" i="21"/>
  <c r="O1308" i="21"/>
  <c r="O1308" i="21" a="1"/>
  <c r="V1307" i="21"/>
  <c r="U1307" i="21"/>
  <c r="T1307" i="21"/>
  <c r="S1307" i="21"/>
  <c r="R1307" i="21"/>
  <c r="Q1307" i="21"/>
  <c r="P1307" i="21"/>
  <c r="O1307" i="21"/>
  <c r="O1307" i="21" a="1"/>
  <c r="V1306" i="21"/>
  <c r="U1306" i="21"/>
  <c r="T1306" i="21"/>
  <c r="S1306" i="21"/>
  <c r="R1306" i="21"/>
  <c r="Q1306" i="21"/>
  <c r="P1306" i="21"/>
  <c r="O1306" i="21"/>
  <c r="O1306" i="21" a="1"/>
  <c r="V1305" i="21"/>
  <c r="U1305" i="21"/>
  <c r="T1305" i="21"/>
  <c r="S1305" i="21"/>
  <c r="R1305" i="21"/>
  <c r="Q1305" i="21"/>
  <c r="P1305" i="21"/>
  <c r="O1305" i="21"/>
  <c r="O1305" i="21" a="1"/>
  <c r="V1304" i="21"/>
  <c r="U1304" i="21"/>
  <c r="T1304" i="21"/>
  <c r="S1304" i="21"/>
  <c r="R1304" i="21"/>
  <c r="Q1304" i="21"/>
  <c r="P1304" i="21"/>
  <c r="O1304" i="21"/>
  <c r="O1304" i="21" a="1"/>
  <c r="V1303" i="21"/>
  <c r="U1303" i="21"/>
  <c r="T1303" i="21"/>
  <c r="S1303" i="21"/>
  <c r="R1303" i="21"/>
  <c r="Q1303" i="21"/>
  <c r="P1303" i="21"/>
  <c r="O1303" i="21"/>
  <c r="O1303" i="21" a="1"/>
  <c r="V1302" i="21"/>
  <c r="U1302" i="21"/>
  <c r="T1302" i="21"/>
  <c r="S1302" i="21"/>
  <c r="R1302" i="21"/>
  <c r="Q1302" i="21"/>
  <c r="P1302" i="21"/>
  <c r="O1302" i="21"/>
  <c r="O1302" i="21" a="1"/>
  <c r="V1301" i="21"/>
  <c r="U1301" i="21"/>
  <c r="T1301" i="21"/>
  <c r="S1301" i="21"/>
  <c r="R1301" i="21"/>
  <c r="Q1301" i="21"/>
  <c r="P1301" i="21"/>
  <c r="O1301" i="21"/>
  <c r="O1301" i="21" a="1"/>
  <c r="V1300" i="21"/>
  <c r="U1300" i="21"/>
  <c r="T1300" i="21"/>
  <c r="S1300" i="21"/>
  <c r="R1300" i="21"/>
  <c r="Q1300" i="21"/>
  <c r="P1300" i="21"/>
  <c r="O1300" i="21"/>
  <c r="O1300" i="21" a="1"/>
  <c r="V1299" i="21"/>
  <c r="U1299" i="21"/>
  <c r="T1299" i="21"/>
  <c r="S1299" i="21"/>
  <c r="R1299" i="21"/>
  <c r="Q1299" i="21"/>
  <c r="P1299" i="21"/>
  <c r="O1299" i="21"/>
  <c r="O1299" i="21" a="1"/>
  <c r="V1298" i="21"/>
  <c r="U1298" i="21"/>
  <c r="T1298" i="21"/>
  <c r="S1298" i="21"/>
  <c r="R1298" i="21"/>
  <c r="Q1298" i="21"/>
  <c r="P1298" i="21"/>
  <c r="O1298" i="21"/>
  <c r="O1298" i="21" a="1"/>
  <c r="V1297" i="21"/>
  <c r="U1297" i="21"/>
  <c r="T1297" i="21"/>
  <c r="S1297" i="21"/>
  <c r="R1297" i="21"/>
  <c r="Q1297" i="21"/>
  <c r="P1297" i="21"/>
  <c r="O1297" i="21"/>
  <c r="O1297" i="21" a="1"/>
  <c r="V1296" i="21"/>
  <c r="U1296" i="21"/>
  <c r="T1296" i="21"/>
  <c r="S1296" i="21"/>
  <c r="R1296" i="21"/>
  <c r="Q1296" i="21"/>
  <c r="P1296" i="21"/>
  <c r="O1296" i="21"/>
  <c r="O1296" i="21" a="1"/>
  <c r="V1295" i="21"/>
  <c r="U1295" i="21"/>
  <c r="T1295" i="21"/>
  <c r="S1295" i="21"/>
  <c r="R1295" i="21"/>
  <c r="Q1295" i="21"/>
  <c r="P1295" i="21"/>
  <c r="O1295" i="21"/>
  <c r="O1295" i="21" a="1"/>
  <c r="V1294" i="21"/>
  <c r="U1294" i="21"/>
  <c r="T1294" i="21"/>
  <c r="S1294" i="21"/>
  <c r="R1294" i="21"/>
  <c r="Q1294" i="21"/>
  <c r="P1294" i="21"/>
  <c r="O1294" i="21"/>
  <c r="O1294" i="21" a="1"/>
  <c r="V1293" i="21"/>
  <c r="U1293" i="21"/>
  <c r="T1293" i="21"/>
  <c r="S1293" i="21"/>
  <c r="R1293" i="21"/>
  <c r="Q1293" i="21"/>
  <c r="P1293" i="21"/>
  <c r="O1293" i="21"/>
  <c r="O1293" i="21" a="1"/>
  <c r="V1292" i="21"/>
  <c r="U1292" i="21"/>
  <c r="T1292" i="21"/>
  <c r="S1292" i="21"/>
  <c r="R1292" i="21"/>
  <c r="Q1292" i="21"/>
  <c r="P1292" i="21"/>
  <c r="O1292" i="21"/>
  <c r="O1292" i="21" a="1"/>
  <c r="V1291" i="21"/>
  <c r="U1291" i="21"/>
  <c r="T1291" i="21"/>
  <c r="S1291" i="21"/>
  <c r="R1291" i="21"/>
  <c r="Q1291" i="21"/>
  <c r="P1291" i="21"/>
  <c r="O1291" i="21"/>
  <c r="O1291" i="21" a="1"/>
  <c r="V1290" i="21"/>
  <c r="U1290" i="21"/>
  <c r="T1290" i="21"/>
  <c r="S1290" i="21"/>
  <c r="R1290" i="21"/>
  <c r="Q1290" i="21"/>
  <c r="P1290" i="21"/>
  <c r="O1290" i="21"/>
  <c r="O1290" i="21" a="1"/>
  <c r="V1289" i="21"/>
  <c r="U1289" i="21"/>
  <c r="T1289" i="21"/>
  <c r="S1289" i="21"/>
  <c r="R1289" i="21"/>
  <c r="Q1289" i="21"/>
  <c r="P1289" i="21"/>
  <c r="O1289" i="21"/>
  <c r="O1289" i="21" a="1"/>
  <c r="V1288" i="21"/>
  <c r="U1288" i="21"/>
  <c r="T1288" i="21"/>
  <c r="S1288" i="21"/>
  <c r="R1288" i="21"/>
  <c r="Q1288" i="21"/>
  <c r="P1288" i="21"/>
  <c r="O1288" i="21"/>
  <c r="O1288" i="21" a="1"/>
  <c r="V1287" i="21"/>
  <c r="U1287" i="21"/>
  <c r="T1287" i="21"/>
  <c r="S1287" i="21"/>
  <c r="R1287" i="21"/>
  <c r="Q1287" i="21"/>
  <c r="P1287" i="21"/>
  <c r="O1287" i="21"/>
  <c r="O1287" i="21" a="1"/>
  <c r="V1286" i="21"/>
  <c r="U1286" i="21"/>
  <c r="T1286" i="21"/>
  <c r="S1286" i="21"/>
  <c r="R1286" i="21"/>
  <c r="Q1286" i="21"/>
  <c r="P1286" i="21"/>
  <c r="O1286" i="21"/>
  <c r="O1286" i="21" a="1"/>
  <c r="V1285" i="21"/>
  <c r="U1285" i="21"/>
  <c r="T1285" i="21"/>
  <c r="S1285" i="21"/>
  <c r="R1285" i="21"/>
  <c r="Q1285" i="21"/>
  <c r="P1285" i="21"/>
  <c r="O1285" i="21"/>
  <c r="O1285" i="21" a="1"/>
  <c r="V1284" i="21"/>
  <c r="U1284" i="21"/>
  <c r="T1284" i="21"/>
  <c r="S1284" i="21"/>
  <c r="R1284" i="21"/>
  <c r="Q1284" i="21"/>
  <c r="P1284" i="21"/>
  <c r="O1284" i="21"/>
  <c r="O1284" i="21" a="1"/>
  <c r="V1283" i="21"/>
  <c r="U1283" i="21"/>
  <c r="T1283" i="21"/>
  <c r="S1283" i="21"/>
  <c r="R1283" i="21"/>
  <c r="Q1283" i="21"/>
  <c r="P1283" i="21"/>
  <c r="O1283" i="21"/>
  <c r="O1283" i="21" a="1"/>
  <c r="V1282" i="21"/>
  <c r="U1282" i="21"/>
  <c r="T1282" i="21"/>
  <c r="S1282" i="21"/>
  <c r="R1282" i="21"/>
  <c r="Q1282" i="21"/>
  <c r="P1282" i="21"/>
  <c r="O1282" i="21"/>
  <c r="O1282" i="21" a="1"/>
  <c r="V1281" i="21"/>
  <c r="U1281" i="21"/>
  <c r="T1281" i="21"/>
  <c r="S1281" i="21"/>
  <c r="R1281" i="21"/>
  <c r="Q1281" i="21"/>
  <c r="P1281" i="21"/>
  <c r="O1281" i="21"/>
  <c r="O1281" i="21" a="1"/>
  <c r="V1280" i="21"/>
  <c r="U1280" i="21"/>
  <c r="T1280" i="21"/>
  <c r="S1280" i="21"/>
  <c r="R1280" i="21"/>
  <c r="Q1280" i="21"/>
  <c r="P1280" i="21"/>
  <c r="O1280" i="21"/>
  <c r="O1280" i="21" a="1"/>
  <c r="V1279" i="21"/>
  <c r="U1279" i="21"/>
  <c r="T1279" i="21"/>
  <c r="S1279" i="21"/>
  <c r="R1279" i="21"/>
  <c r="Q1279" i="21"/>
  <c r="P1279" i="21"/>
  <c r="O1279" i="21"/>
  <c r="O1279" i="21" a="1"/>
  <c r="V1278" i="21"/>
  <c r="U1278" i="21"/>
  <c r="T1278" i="21"/>
  <c r="S1278" i="21"/>
  <c r="R1278" i="21"/>
  <c r="Q1278" i="21"/>
  <c r="P1278" i="21"/>
  <c r="O1278" i="21"/>
  <c r="O1278" i="21" a="1"/>
  <c r="V1277" i="21"/>
  <c r="U1277" i="21"/>
  <c r="T1277" i="21"/>
  <c r="S1277" i="21"/>
  <c r="R1277" i="21"/>
  <c r="Q1277" i="21"/>
  <c r="P1277" i="21"/>
  <c r="O1277" i="21"/>
  <c r="O1277" i="21" a="1"/>
  <c r="V1276" i="21"/>
  <c r="U1276" i="21"/>
  <c r="T1276" i="21"/>
  <c r="S1276" i="21"/>
  <c r="R1276" i="21"/>
  <c r="Q1276" i="21"/>
  <c r="P1276" i="21"/>
  <c r="O1276" i="21"/>
  <c r="O1276" i="21" a="1"/>
  <c r="V1275" i="21"/>
  <c r="U1275" i="21"/>
  <c r="T1275" i="21"/>
  <c r="S1275" i="21"/>
  <c r="R1275" i="21"/>
  <c r="Q1275" i="21"/>
  <c r="P1275" i="21"/>
  <c r="O1275" i="21"/>
  <c r="O1275" i="21" a="1"/>
  <c r="V1274" i="21"/>
  <c r="U1274" i="21"/>
  <c r="T1274" i="21"/>
  <c r="S1274" i="21"/>
  <c r="R1274" i="21"/>
  <c r="Q1274" i="21"/>
  <c r="P1274" i="21"/>
  <c r="O1274" i="21"/>
  <c r="O1274" i="21" a="1"/>
  <c r="V1273" i="21"/>
  <c r="U1273" i="21"/>
  <c r="T1273" i="21"/>
  <c r="S1273" i="21"/>
  <c r="R1273" i="21"/>
  <c r="Q1273" i="21"/>
  <c r="P1273" i="21"/>
  <c r="O1273" i="21"/>
  <c r="O1273" i="21" a="1"/>
  <c r="V1272" i="21"/>
  <c r="U1272" i="21"/>
  <c r="T1272" i="21"/>
  <c r="S1272" i="21"/>
  <c r="R1272" i="21"/>
  <c r="Q1272" i="21"/>
  <c r="P1272" i="21"/>
  <c r="O1272" i="21"/>
  <c r="O1272" i="21" a="1"/>
  <c r="V1271" i="21"/>
  <c r="U1271" i="21"/>
  <c r="T1271" i="21"/>
  <c r="S1271" i="21"/>
  <c r="R1271" i="21"/>
  <c r="Q1271" i="21"/>
  <c r="P1271" i="21"/>
  <c r="O1271" i="21"/>
  <c r="O1271" i="21" a="1"/>
  <c r="V1270" i="21"/>
  <c r="U1270" i="21"/>
  <c r="T1270" i="21"/>
  <c r="S1270" i="21"/>
  <c r="R1270" i="21"/>
  <c r="Q1270" i="21"/>
  <c r="P1270" i="21"/>
  <c r="O1270" i="21"/>
  <c r="O1270" i="21" a="1"/>
  <c r="V1269" i="21"/>
  <c r="U1269" i="21"/>
  <c r="T1269" i="21"/>
  <c r="S1269" i="21"/>
  <c r="R1269" i="21"/>
  <c r="Q1269" i="21"/>
  <c r="P1269" i="21"/>
  <c r="O1269" i="21"/>
  <c r="O1269" i="21" a="1"/>
  <c r="V1268" i="21"/>
  <c r="U1268" i="21"/>
  <c r="T1268" i="21"/>
  <c r="S1268" i="21"/>
  <c r="R1268" i="21"/>
  <c r="Q1268" i="21"/>
  <c r="P1268" i="21"/>
  <c r="O1268" i="21"/>
  <c r="O1268" i="21" a="1"/>
  <c r="V1267" i="21"/>
  <c r="U1267" i="21"/>
  <c r="T1267" i="21"/>
  <c r="S1267" i="21"/>
  <c r="R1267" i="21"/>
  <c r="Q1267" i="21"/>
  <c r="P1267" i="21"/>
  <c r="O1267" i="21"/>
  <c r="O1267" i="21" a="1"/>
  <c r="V1266" i="21"/>
  <c r="U1266" i="21"/>
  <c r="T1266" i="21"/>
  <c r="S1266" i="21"/>
  <c r="R1266" i="21"/>
  <c r="Q1266" i="21"/>
  <c r="P1266" i="21"/>
  <c r="O1266" i="21"/>
  <c r="O1266" i="21" a="1"/>
  <c r="V1265" i="21"/>
  <c r="U1265" i="21"/>
  <c r="T1265" i="21"/>
  <c r="S1265" i="21"/>
  <c r="R1265" i="21"/>
  <c r="Q1265" i="21"/>
  <c r="P1265" i="21"/>
  <c r="O1265" i="21"/>
  <c r="O1265" i="21" a="1"/>
  <c r="V1264" i="21"/>
  <c r="U1264" i="21"/>
  <c r="T1264" i="21"/>
  <c r="S1264" i="21"/>
  <c r="R1264" i="21"/>
  <c r="Q1264" i="21"/>
  <c r="P1264" i="21"/>
  <c r="O1264" i="21"/>
  <c r="O1264" i="21" a="1"/>
  <c r="V1263" i="21"/>
  <c r="U1263" i="21"/>
  <c r="T1263" i="21"/>
  <c r="S1263" i="21"/>
  <c r="R1263" i="21"/>
  <c r="Q1263" i="21"/>
  <c r="P1263" i="21"/>
  <c r="O1263" i="21"/>
  <c r="O1263" i="21" a="1"/>
  <c r="V1262" i="21"/>
  <c r="U1262" i="21"/>
  <c r="T1262" i="21"/>
  <c r="S1262" i="21"/>
  <c r="R1262" i="21"/>
  <c r="Q1262" i="21"/>
  <c r="P1262" i="21"/>
  <c r="O1262" i="21"/>
  <c r="O1262" i="21" a="1"/>
  <c r="V1261" i="21"/>
  <c r="U1261" i="21"/>
  <c r="T1261" i="21"/>
  <c r="S1261" i="21"/>
  <c r="R1261" i="21"/>
  <c r="Q1261" i="21"/>
  <c r="P1261" i="21"/>
  <c r="O1261" i="21"/>
  <c r="O1261" i="21" a="1"/>
  <c r="V1260" i="21"/>
  <c r="U1260" i="21"/>
  <c r="T1260" i="21"/>
  <c r="S1260" i="21"/>
  <c r="R1260" i="21"/>
  <c r="Q1260" i="21"/>
  <c r="P1260" i="21"/>
  <c r="O1260" i="21"/>
  <c r="O1260" i="21" a="1"/>
  <c r="V1259" i="21"/>
  <c r="U1259" i="21"/>
  <c r="T1259" i="21"/>
  <c r="S1259" i="21"/>
  <c r="R1259" i="21"/>
  <c r="Q1259" i="21"/>
  <c r="P1259" i="21"/>
  <c r="O1259" i="21"/>
  <c r="O1259" i="21" a="1"/>
  <c r="V1258" i="21"/>
  <c r="U1258" i="21"/>
  <c r="T1258" i="21"/>
  <c r="S1258" i="21"/>
  <c r="R1258" i="21"/>
  <c r="Q1258" i="21"/>
  <c r="P1258" i="21"/>
  <c r="O1258" i="21"/>
  <c r="O1258" i="21" a="1"/>
  <c r="V1257" i="21"/>
  <c r="U1257" i="21"/>
  <c r="T1257" i="21"/>
  <c r="S1257" i="21"/>
  <c r="R1257" i="21"/>
  <c r="Q1257" i="21"/>
  <c r="P1257" i="21"/>
  <c r="O1257" i="21"/>
  <c r="O1257" i="21" a="1"/>
  <c r="V1256" i="21"/>
  <c r="U1256" i="21"/>
  <c r="T1256" i="21"/>
  <c r="S1256" i="21"/>
  <c r="R1256" i="21"/>
  <c r="Q1256" i="21"/>
  <c r="P1256" i="21"/>
  <c r="O1256" i="21"/>
  <c r="O1256" i="21" a="1"/>
  <c r="V1255" i="21"/>
  <c r="U1255" i="21"/>
  <c r="T1255" i="21"/>
  <c r="S1255" i="21"/>
  <c r="R1255" i="21"/>
  <c r="Q1255" i="21"/>
  <c r="P1255" i="21"/>
  <c r="O1255" i="21"/>
  <c r="O1255" i="21" a="1"/>
  <c r="V1254" i="21"/>
  <c r="U1254" i="21"/>
  <c r="T1254" i="21"/>
  <c r="S1254" i="21"/>
  <c r="R1254" i="21"/>
  <c r="Q1254" i="21"/>
  <c r="P1254" i="21"/>
  <c r="O1254" i="21"/>
  <c r="O1254" i="21" a="1"/>
  <c r="V1253" i="21"/>
  <c r="U1253" i="21"/>
  <c r="T1253" i="21"/>
  <c r="S1253" i="21"/>
  <c r="R1253" i="21"/>
  <c r="Q1253" i="21"/>
  <c r="P1253" i="21"/>
  <c r="O1253" i="21"/>
  <c r="O1253" i="21" a="1"/>
  <c r="V1252" i="21"/>
  <c r="U1252" i="21"/>
  <c r="T1252" i="21"/>
  <c r="S1252" i="21"/>
  <c r="R1252" i="21"/>
  <c r="Q1252" i="21"/>
  <c r="P1252" i="21"/>
  <c r="O1252" i="21"/>
  <c r="O1252" i="21" a="1"/>
  <c r="V1251" i="21"/>
  <c r="U1251" i="21"/>
  <c r="T1251" i="21"/>
  <c r="S1251" i="21"/>
  <c r="R1251" i="21"/>
  <c r="Q1251" i="21"/>
  <c r="P1251" i="21"/>
  <c r="O1251" i="21"/>
  <c r="O1251" i="21" a="1"/>
  <c r="V1250" i="21"/>
  <c r="U1250" i="21"/>
  <c r="T1250" i="21"/>
  <c r="S1250" i="21"/>
  <c r="R1250" i="21"/>
  <c r="Q1250" i="21"/>
  <c r="P1250" i="21"/>
  <c r="O1250" i="21"/>
  <c r="O1250" i="21" a="1"/>
  <c r="V1249" i="21"/>
  <c r="U1249" i="21"/>
  <c r="T1249" i="21"/>
  <c r="S1249" i="21"/>
  <c r="R1249" i="21"/>
  <c r="Q1249" i="21"/>
  <c r="P1249" i="21"/>
  <c r="O1249" i="21"/>
  <c r="O1249" i="21" a="1"/>
  <c r="V1248" i="21"/>
  <c r="U1248" i="21"/>
  <c r="T1248" i="21"/>
  <c r="S1248" i="21"/>
  <c r="R1248" i="21"/>
  <c r="Q1248" i="21"/>
  <c r="P1248" i="21"/>
  <c r="O1248" i="21"/>
  <c r="O1248" i="21" a="1"/>
  <c r="V1247" i="21"/>
  <c r="U1247" i="21"/>
  <c r="T1247" i="21"/>
  <c r="S1247" i="21"/>
  <c r="R1247" i="21"/>
  <c r="Q1247" i="21"/>
  <c r="P1247" i="21"/>
  <c r="O1247" i="21"/>
  <c r="O1247" i="21" a="1"/>
  <c r="V1246" i="21"/>
  <c r="U1246" i="21"/>
  <c r="T1246" i="21"/>
  <c r="S1246" i="21"/>
  <c r="R1246" i="21"/>
  <c r="Q1246" i="21"/>
  <c r="P1246" i="21"/>
  <c r="O1246" i="21"/>
  <c r="O1246" i="21" a="1"/>
  <c r="V1245" i="21"/>
  <c r="U1245" i="21"/>
  <c r="T1245" i="21"/>
  <c r="S1245" i="21"/>
  <c r="R1245" i="21"/>
  <c r="Q1245" i="21"/>
  <c r="P1245" i="21"/>
  <c r="O1245" i="21"/>
  <c r="O1245" i="21" a="1"/>
  <c r="V1244" i="21"/>
  <c r="U1244" i="21"/>
  <c r="T1244" i="21"/>
  <c r="S1244" i="21"/>
  <c r="R1244" i="21"/>
  <c r="Q1244" i="21"/>
  <c r="P1244" i="21"/>
  <c r="O1244" i="21"/>
  <c r="O1244" i="21" a="1"/>
  <c r="V1243" i="21"/>
  <c r="U1243" i="21"/>
  <c r="T1243" i="21"/>
  <c r="S1243" i="21"/>
  <c r="R1243" i="21"/>
  <c r="Q1243" i="21"/>
  <c r="P1243" i="21"/>
  <c r="O1243" i="21"/>
  <c r="O1243" i="21" a="1"/>
  <c r="V1242" i="21"/>
  <c r="U1242" i="21"/>
  <c r="T1242" i="21"/>
  <c r="S1242" i="21"/>
  <c r="R1242" i="21"/>
  <c r="Q1242" i="21"/>
  <c r="P1242" i="21"/>
  <c r="O1242" i="21"/>
  <c r="O1242" i="21" a="1"/>
  <c r="V1241" i="21"/>
  <c r="U1241" i="21"/>
  <c r="T1241" i="21"/>
  <c r="S1241" i="21"/>
  <c r="R1241" i="21"/>
  <c r="Q1241" i="21"/>
  <c r="P1241" i="21"/>
  <c r="O1241" i="21"/>
  <c r="O1241" i="21" a="1"/>
  <c r="V1240" i="21"/>
  <c r="U1240" i="21"/>
  <c r="T1240" i="21"/>
  <c r="S1240" i="21"/>
  <c r="R1240" i="21"/>
  <c r="Q1240" i="21"/>
  <c r="P1240" i="21"/>
  <c r="O1240" i="21"/>
  <c r="O1240" i="21" a="1"/>
  <c r="V1239" i="21"/>
  <c r="U1239" i="21"/>
  <c r="T1239" i="21"/>
  <c r="S1239" i="21"/>
  <c r="R1239" i="21"/>
  <c r="Q1239" i="21"/>
  <c r="P1239" i="21"/>
  <c r="O1239" i="21"/>
  <c r="O1239" i="21" a="1"/>
  <c r="V1238" i="21"/>
  <c r="U1238" i="21"/>
  <c r="T1238" i="21"/>
  <c r="S1238" i="21"/>
  <c r="R1238" i="21"/>
  <c r="Q1238" i="21"/>
  <c r="P1238" i="21"/>
  <c r="O1238" i="21"/>
  <c r="O1238" i="21" a="1"/>
  <c r="V1237" i="21"/>
  <c r="U1237" i="21"/>
  <c r="T1237" i="21"/>
  <c r="S1237" i="21"/>
  <c r="R1237" i="21"/>
  <c r="Q1237" i="21"/>
  <c r="P1237" i="21"/>
  <c r="O1237" i="21"/>
  <c r="O1237" i="21" a="1"/>
  <c r="V1236" i="21"/>
  <c r="U1236" i="21"/>
  <c r="T1236" i="21"/>
  <c r="S1236" i="21"/>
  <c r="R1236" i="21"/>
  <c r="Q1236" i="21"/>
  <c r="P1236" i="21"/>
  <c r="O1236" i="21"/>
  <c r="O1236" i="21" a="1"/>
  <c r="V1235" i="21"/>
  <c r="U1235" i="21"/>
  <c r="T1235" i="21"/>
  <c r="S1235" i="21"/>
  <c r="R1235" i="21"/>
  <c r="Q1235" i="21"/>
  <c r="P1235" i="21"/>
  <c r="O1235" i="21"/>
  <c r="O1235" i="21" a="1"/>
  <c r="V1234" i="21"/>
  <c r="U1234" i="21"/>
  <c r="T1234" i="21"/>
  <c r="S1234" i="21"/>
  <c r="R1234" i="21"/>
  <c r="Q1234" i="21"/>
  <c r="P1234" i="21"/>
  <c r="O1234" i="21"/>
  <c r="O1234" i="21" a="1"/>
  <c r="V1233" i="21"/>
  <c r="U1233" i="21"/>
  <c r="T1233" i="21"/>
  <c r="S1233" i="21"/>
  <c r="R1233" i="21"/>
  <c r="Q1233" i="21"/>
  <c r="P1233" i="21"/>
  <c r="O1233" i="21"/>
  <c r="O1233" i="21" a="1"/>
  <c r="V1232" i="21"/>
  <c r="U1232" i="21"/>
  <c r="T1232" i="21"/>
  <c r="S1232" i="21"/>
  <c r="R1232" i="21"/>
  <c r="Q1232" i="21"/>
  <c r="P1232" i="21"/>
  <c r="O1232" i="21"/>
  <c r="O1232" i="21" a="1"/>
  <c r="V1231" i="21"/>
  <c r="U1231" i="21"/>
  <c r="T1231" i="21"/>
  <c r="S1231" i="21"/>
  <c r="R1231" i="21"/>
  <c r="Q1231" i="21"/>
  <c r="P1231" i="21"/>
  <c r="O1231" i="21"/>
  <c r="O1231" i="21" a="1"/>
  <c r="V1230" i="21"/>
  <c r="U1230" i="21"/>
  <c r="T1230" i="21"/>
  <c r="S1230" i="21"/>
  <c r="R1230" i="21"/>
  <c r="Q1230" i="21"/>
  <c r="P1230" i="21"/>
  <c r="O1230" i="21"/>
  <c r="O1230" i="21" a="1"/>
  <c r="V1229" i="21"/>
  <c r="U1229" i="21"/>
  <c r="T1229" i="21"/>
  <c r="S1229" i="21"/>
  <c r="R1229" i="21"/>
  <c r="Q1229" i="21"/>
  <c r="P1229" i="21"/>
  <c r="O1229" i="21"/>
  <c r="O1229" i="21" a="1"/>
  <c r="V1228" i="21"/>
  <c r="U1228" i="21"/>
  <c r="T1228" i="21"/>
  <c r="S1228" i="21"/>
  <c r="R1228" i="21"/>
  <c r="Q1228" i="21"/>
  <c r="P1228" i="21"/>
  <c r="O1228" i="21"/>
  <c r="O1228" i="21" a="1"/>
  <c r="V1227" i="21"/>
  <c r="U1227" i="21"/>
  <c r="T1227" i="21"/>
  <c r="S1227" i="21"/>
  <c r="R1227" i="21"/>
  <c r="Q1227" i="21"/>
  <c r="P1227" i="21"/>
  <c r="O1227" i="21"/>
  <c r="O1227" i="21" a="1"/>
  <c r="V1226" i="21"/>
  <c r="U1226" i="21"/>
  <c r="T1226" i="21"/>
  <c r="S1226" i="21"/>
  <c r="R1226" i="21"/>
  <c r="Q1226" i="21"/>
  <c r="P1226" i="21"/>
  <c r="O1226" i="21"/>
  <c r="O1226" i="21" a="1"/>
  <c r="V1225" i="21"/>
  <c r="U1225" i="21"/>
  <c r="T1225" i="21"/>
  <c r="S1225" i="21"/>
  <c r="R1225" i="21"/>
  <c r="Q1225" i="21"/>
  <c r="P1225" i="21"/>
  <c r="O1225" i="21"/>
  <c r="O1225" i="21" a="1"/>
  <c r="V1224" i="21"/>
  <c r="U1224" i="21"/>
  <c r="T1224" i="21"/>
  <c r="S1224" i="21"/>
  <c r="R1224" i="21"/>
  <c r="Q1224" i="21"/>
  <c r="P1224" i="21"/>
  <c r="O1224" i="21"/>
  <c r="O1224" i="21" a="1"/>
  <c r="V1223" i="21"/>
  <c r="U1223" i="21"/>
  <c r="T1223" i="21"/>
  <c r="S1223" i="21"/>
  <c r="R1223" i="21"/>
  <c r="Q1223" i="21"/>
  <c r="P1223" i="21"/>
  <c r="O1223" i="21"/>
  <c r="O1223" i="21" a="1"/>
  <c r="V1222" i="21"/>
  <c r="U1222" i="21"/>
  <c r="T1222" i="21"/>
  <c r="S1222" i="21"/>
  <c r="R1222" i="21"/>
  <c r="Q1222" i="21"/>
  <c r="P1222" i="21"/>
  <c r="O1222" i="21"/>
  <c r="O1222" i="21" a="1"/>
  <c r="V1221" i="21"/>
  <c r="U1221" i="21"/>
  <c r="T1221" i="21"/>
  <c r="S1221" i="21"/>
  <c r="R1221" i="21"/>
  <c r="Q1221" i="21"/>
  <c r="P1221" i="21"/>
  <c r="O1221" i="21"/>
  <c r="O1221" i="21" a="1"/>
  <c r="V1220" i="21"/>
  <c r="U1220" i="21"/>
  <c r="T1220" i="21"/>
  <c r="S1220" i="21"/>
  <c r="R1220" i="21"/>
  <c r="Q1220" i="21"/>
  <c r="P1220" i="21"/>
  <c r="O1220" i="21"/>
  <c r="O1220" i="21" a="1"/>
  <c r="V1219" i="21"/>
  <c r="U1219" i="21"/>
  <c r="T1219" i="21"/>
  <c r="S1219" i="21"/>
  <c r="R1219" i="21"/>
  <c r="Q1219" i="21"/>
  <c r="P1219" i="21"/>
  <c r="O1219" i="21"/>
  <c r="O1219" i="21" a="1"/>
  <c r="V1218" i="21"/>
  <c r="U1218" i="21"/>
  <c r="T1218" i="21"/>
  <c r="S1218" i="21"/>
  <c r="R1218" i="21"/>
  <c r="Q1218" i="21"/>
  <c r="P1218" i="21"/>
  <c r="O1218" i="21"/>
  <c r="O1218" i="21" a="1"/>
  <c r="V1217" i="21"/>
  <c r="U1217" i="21"/>
  <c r="T1217" i="21"/>
  <c r="S1217" i="21"/>
  <c r="R1217" i="21"/>
  <c r="Q1217" i="21"/>
  <c r="P1217" i="21"/>
  <c r="O1217" i="21"/>
  <c r="O1217" i="21" a="1"/>
  <c r="V1216" i="21"/>
  <c r="U1216" i="21"/>
  <c r="T1216" i="21"/>
  <c r="S1216" i="21"/>
  <c r="R1216" i="21"/>
  <c r="Q1216" i="21"/>
  <c r="P1216" i="21"/>
  <c r="O1216" i="21"/>
  <c r="O1216" i="21" a="1"/>
  <c r="V1215" i="21"/>
  <c r="U1215" i="21"/>
  <c r="T1215" i="21"/>
  <c r="S1215" i="21"/>
  <c r="R1215" i="21"/>
  <c r="Q1215" i="21"/>
  <c r="P1215" i="21"/>
  <c r="O1215" i="21"/>
  <c r="O1215" i="21" a="1"/>
  <c r="V1214" i="21"/>
  <c r="U1214" i="21"/>
  <c r="T1214" i="21"/>
  <c r="S1214" i="21"/>
  <c r="R1214" i="21"/>
  <c r="Q1214" i="21"/>
  <c r="P1214" i="21"/>
  <c r="O1214" i="21"/>
  <c r="O1214" i="21" a="1"/>
  <c r="V1213" i="21"/>
  <c r="U1213" i="21"/>
  <c r="T1213" i="21"/>
  <c r="S1213" i="21"/>
  <c r="R1213" i="21"/>
  <c r="Q1213" i="21"/>
  <c r="P1213" i="21"/>
  <c r="O1213" i="21"/>
  <c r="O1213" i="21" a="1"/>
  <c r="V1212" i="21"/>
  <c r="U1212" i="21"/>
  <c r="T1212" i="21"/>
  <c r="S1212" i="21"/>
  <c r="R1212" i="21"/>
  <c r="Q1212" i="21"/>
  <c r="P1212" i="21"/>
  <c r="O1212" i="21"/>
  <c r="O1212" i="21" a="1"/>
  <c r="V1211" i="21"/>
  <c r="U1211" i="21"/>
  <c r="T1211" i="21"/>
  <c r="S1211" i="21"/>
  <c r="R1211" i="21"/>
  <c r="Q1211" i="21"/>
  <c r="P1211" i="21"/>
  <c r="O1211" i="21"/>
  <c r="O1211" i="21" a="1"/>
  <c r="V1210" i="21"/>
  <c r="U1210" i="21"/>
  <c r="T1210" i="21"/>
  <c r="S1210" i="21"/>
  <c r="R1210" i="21"/>
  <c r="Q1210" i="21"/>
  <c r="P1210" i="21"/>
  <c r="O1210" i="21"/>
  <c r="O1210" i="21" a="1"/>
  <c r="V1209" i="21"/>
  <c r="U1209" i="21"/>
  <c r="T1209" i="21"/>
  <c r="S1209" i="21"/>
  <c r="R1209" i="21"/>
  <c r="Q1209" i="21"/>
  <c r="P1209" i="21"/>
  <c r="O1209" i="21"/>
  <c r="O1209" i="21" a="1"/>
  <c r="V1208" i="21"/>
  <c r="U1208" i="21"/>
  <c r="T1208" i="21"/>
  <c r="S1208" i="21"/>
  <c r="R1208" i="21"/>
  <c r="Q1208" i="21"/>
  <c r="P1208" i="21"/>
  <c r="O1208" i="21"/>
  <c r="O1208" i="21" a="1"/>
  <c r="V1207" i="21"/>
  <c r="U1207" i="21"/>
  <c r="T1207" i="21"/>
  <c r="S1207" i="21"/>
  <c r="R1207" i="21"/>
  <c r="Q1207" i="21"/>
  <c r="P1207" i="21"/>
  <c r="O1207" i="21"/>
  <c r="O1207" i="21" a="1"/>
  <c r="V1206" i="21"/>
  <c r="U1206" i="21"/>
  <c r="T1206" i="21"/>
  <c r="S1206" i="21"/>
  <c r="R1206" i="21"/>
  <c r="Q1206" i="21"/>
  <c r="P1206" i="21"/>
  <c r="O1206" i="21"/>
  <c r="O1206" i="21" a="1"/>
  <c r="V1205" i="21"/>
  <c r="U1205" i="21"/>
  <c r="T1205" i="21"/>
  <c r="S1205" i="21"/>
  <c r="R1205" i="21"/>
  <c r="Q1205" i="21"/>
  <c r="P1205" i="21"/>
  <c r="O1205" i="21"/>
  <c r="O1205" i="21" a="1"/>
  <c r="V1204" i="21"/>
  <c r="U1204" i="21"/>
  <c r="T1204" i="21"/>
  <c r="S1204" i="21"/>
  <c r="R1204" i="21"/>
  <c r="Q1204" i="21"/>
  <c r="P1204" i="21"/>
  <c r="O1204" i="21"/>
  <c r="O1204" i="21" a="1"/>
  <c r="V1203" i="21"/>
  <c r="U1203" i="21"/>
  <c r="T1203" i="21"/>
  <c r="S1203" i="21"/>
  <c r="R1203" i="21"/>
  <c r="Q1203" i="21"/>
  <c r="P1203" i="21"/>
  <c r="O1203" i="21"/>
  <c r="O1203" i="21" a="1"/>
  <c r="V1202" i="21"/>
  <c r="U1202" i="21"/>
  <c r="T1202" i="21"/>
  <c r="S1202" i="21"/>
  <c r="R1202" i="21"/>
  <c r="Q1202" i="21"/>
  <c r="P1202" i="21"/>
  <c r="O1202" i="21"/>
  <c r="O1202" i="21" a="1"/>
  <c r="V1201" i="21"/>
  <c r="U1201" i="21"/>
  <c r="T1201" i="21"/>
  <c r="S1201" i="21"/>
  <c r="R1201" i="21"/>
  <c r="Q1201" i="21"/>
  <c r="P1201" i="21"/>
  <c r="O1201" i="21"/>
  <c r="O1201" i="21" a="1"/>
  <c r="V1200" i="21"/>
  <c r="U1200" i="21"/>
  <c r="T1200" i="21"/>
  <c r="S1200" i="21"/>
  <c r="R1200" i="21"/>
  <c r="Q1200" i="21"/>
  <c r="P1200" i="21"/>
  <c r="O1200" i="21"/>
  <c r="O1200" i="21" a="1"/>
  <c r="V1199" i="21"/>
  <c r="U1199" i="21"/>
  <c r="T1199" i="21"/>
  <c r="S1199" i="21"/>
  <c r="R1199" i="21"/>
  <c r="Q1199" i="21"/>
  <c r="P1199" i="21"/>
  <c r="O1199" i="21"/>
  <c r="O1199" i="21" a="1"/>
  <c r="V1198" i="21"/>
  <c r="U1198" i="21"/>
  <c r="T1198" i="21"/>
  <c r="S1198" i="21"/>
  <c r="R1198" i="21"/>
  <c r="Q1198" i="21"/>
  <c r="P1198" i="21"/>
  <c r="O1198" i="21"/>
  <c r="O1198" i="21" a="1"/>
  <c r="V1197" i="21"/>
  <c r="U1197" i="21"/>
  <c r="T1197" i="21"/>
  <c r="S1197" i="21"/>
  <c r="R1197" i="21"/>
  <c r="Q1197" i="21"/>
  <c r="P1197" i="21"/>
  <c r="O1197" i="21"/>
  <c r="O1197" i="21" a="1"/>
  <c r="V1196" i="21"/>
  <c r="U1196" i="21"/>
  <c r="T1196" i="21"/>
  <c r="S1196" i="21"/>
  <c r="R1196" i="21"/>
  <c r="Q1196" i="21"/>
  <c r="P1196" i="21"/>
  <c r="O1196" i="21"/>
  <c r="O1196" i="21" a="1"/>
  <c r="V1195" i="21"/>
  <c r="U1195" i="21"/>
  <c r="T1195" i="21"/>
  <c r="S1195" i="21"/>
  <c r="R1195" i="21"/>
  <c r="Q1195" i="21"/>
  <c r="P1195" i="21"/>
  <c r="O1195" i="21"/>
  <c r="O1195" i="21" a="1"/>
  <c r="V1194" i="21"/>
  <c r="U1194" i="21"/>
  <c r="T1194" i="21"/>
  <c r="S1194" i="21"/>
  <c r="R1194" i="21"/>
  <c r="Q1194" i="21"/>
  <c r="P1194" i="21"/>
  <c r="O1194" i="21"/>
  <c r="O1194" i="21" a="1"/>
  <c r="V1193" i="21"/>
  <c r="U1193" i="21"/>
  <c r="T1193" i="21"/>
  <c r="S1193" i="21"/>
  <c r="R1193" i="21"/>
  <c r="Q1193" i="21"/>
  <c r="P1193" i="21"/>
  <c r="O1193" i="21"/>
  <c r="O1193" i="21" a="1"/>
  <c r="V1192" i="21"/>
  <c r="U1192" i="21"/>
  <c r="T1192" i="21"/>
  <c r="S1192" i="21"/>
  <c r="R1192" i="21"/>
  <c r="Q1192" i="21"/>
  <c r="P1192" i="21"/>
  <c r="O1192" i="21"/>
  <c r="O1192" i="21" a="1"/>
  <c r="V1191" i="21"/>
  <c r="U1191" i="21"/>
  <c r="T1191" i="21"/>
  <c r="S1191" i="21"/>
  <c r="R1191" i="21"/>
  <c r="Q1191" i="21"/>
  <c r="P1191" i="21"/>
  <c r="O1191" i="21"/>
  <c r="O1191" i="21" a="1"/>
  <c r="V1190" i="21"/>
  <c r="U1190" i="21"/>
  <c r="T1190" i="21"/>
  <c r="S1190" i="21"/>
  <c r="R1190" i="21"/>
  <c r="Q1190" i="21"/>
  <c r="P1190" i="21"/>
  <c r="O1190" i="21"/>
  <c r="O1190" i="21" a="1"/>
  <c r="V1189" i="21"/>
  <c r="U1189" i="21"/>
  <c r="T1189" i="21"/>
  <c r="S1189" i="21"/>
  <c r="R1189" i="21"/>
  <c r="Q1189" i="21"/>
  <c r="P1189" i="21"/>
  <c r="O1189" i="21"/>
  <c r="O1189" i="21" a="1"/>
  <c r="V1188" i="21"/>
  <c r="U1188" i="21"/>
  <c r="T1188" i="21"/>
  <c r="S1188" i="21"/>
  <c r="R1188" i="21"/>
  <c r="Q1188" i="21"/>
  <c r="P1188" i="21"/>
  <c r="O1188" i="21"/>
  <c r="O1188" i="21" a="1"/>
  <c r="V1187" i="21"/>
  <c r="U1187" i="21"/>
  <c r="T1187" i="21"/>
  <c r="S1187" i="21"/>
  <c r="R1187" i="21"/>
  <c r="Q1187" i="21"/>
  <c r="P1187" i="21"/>
  <c r="O1187" i="21"/>
  <c r="O1187" i="21" a="1"/>
  <c r="V1186" i="21"/>
  <c r="U1186" i="21"/>
  <c r="T1186" i="21"/>
  <c r="S1186" i="21"/>
  <c r="R1186" i="21"/>
  <c r="Q1186" i="21"/>
  <c r="P1186" i="21"/>
  <c r="O1186" i="21"/>
  <c r="O1186" i="21" a="1"/>
  <c r="V1185" i="21"/>
  <c r="U1185" i="21"/>
  <c r="T1185" i="21"/>
  <c r="S1185" i="21"/>
  <c r="R1185" i="21"/>
  <c r="Q1185" i="21"/>
  <c r="P1185" i="21"/>
  <c r="O1185" i="21"/>
  <c r="O1185" i="21" a="1"/>
  <c r="V1184" i="21"/>
  <c r="U1184" i="21"/>
  <c r="T1184" i="21"/>
  <c r="S1184" i="21"/>
  <c r="R1184" i="21"/>
  <c r="Q1184" i="21"/>
  <c r="P1184" i="21"/>
  <c r="O1184" i="21"/>
  <c r="O1184" i="21" a="1"/>
  <c r="V1183" i="21"/>
  <c r="U1183" i="21"/>
  <c r="T1183" i="21"/>
  <c r="S1183" i="21"/>
  <c r="R1183" i="21"/>
  <c r="Q1183" i="21"/>
  <c r="P1183" i="21"/>
  <c r="O1183" i="21"/>
  <c r="O1183" i="21" a="1"/>
  <c r="V1182" i="21"/>
  <c r="U1182" i="21"/>
  <c r="T1182" i="21"/>
  <c r="S1182" i="21"/>
  <c r="R1182" i="21"/>
  <c r="Q1182" i="21"/>
  <c r="P1182" i="21"/>
  <c r="O1182" i="21"/>
  <c r="O1182" i="21" a="1"/>
  <c r="V1181" i="21"/>
  <c r="U1181" i="21"/>
  <c r="T1181" i="21"/>
  <c r="S1181" i="21"/>
  <c r="R1181" i="21"/>
  <c r="Q1181" i="21"/>
  <c r="P1181" i="21"/>
  <c r="O1181" i="21"/>
  <c r="O1181" i="21" a="1"/>
  <c r="V1180" i="21"/>
  <c r="U1180" i="21"/>
  <c r="T1180" i="21"/>
  <c r="S1180" i="21"/>
  <c r="R1180" i="21"/>
  <c r="Q1180" i="21"/>
  <c r="P1180" i="21"/>
  <c r="O1180" i="21"/>
  <c r="O1180" i="21" a="1"/>
  <c r="V1179" i="21"/>
  <c r="U1179" i="21"/>
  <c r="T1179" i="21"/>
  <c r="S1179" i="21"/>
  <c r="R1179" i="21"/>
  <c r="Q1179" i="21"/>
  <c r="P1179" i="21"/>
  <c r="O1179" i="21"/>
  <c r="O1179" i="21" a="1"/>
  <c r="V1178" i="21"/>
  <c r="U1178" i="21"/>
  <c r="T1178" i="21"/>
  <c r="S1178" i="21"/>
  <c r="R1178" i="21"/>
  <c r="Q1178" i="21"/>
  <c r="P1178" i="21"/>
  <c r="O1178" i="21"/>
  <c r="O1178" i="21" a="1"/>
  <c r="V1177" i="21"/>
  <c r="U1177" i="21"/>
  <c r="T1177" i="21"/>
  <c r="S1177" i="21"/>
  <c r="R1177" i="21"/>
  <c r="Q1177" i="21"/>
  <c r="P1177" i="21"/>
  <c r="O1177" i="21"/>
  <c r="O1177" i="21" a="1"/>
  <c r="V1176" i="21"/>
  <c r="U1176" i="21"/>
  <c r="T1176" i="21"/>
  <c r="S1176" i="21"/>
  <c r="R1176" i="21"/>
  <c r="Q1176" i="21"/>
  <c r="P1176" i="21"/>
  <c r="O1176" i="21"/>
  <c r="O1176" i="21" a="1"/>
  <c r="V1175" i="21"/>
  <c r="U1175" i="21"/>
  <c r="T1175" i="21"/>
  <c r="S1175" i="21"/>
  <c r="R1175" i="21"/>
  <c r="Q1175" i="21"/>
  <c r="P1175" i="21"/>
  <c r="O1175" i="21"/>
  <c r="O1175" i="21" a="1"/>
  <c r="V1174" i="21"/>
  <c r="U1174" i="21"/>
  <c r="T1174" i="21"/>
  <c r="S1174" i="21"/>
  <c r="R1174" i="21"/>
  <c r="Q1174" i="21"/>
  <c r="P1174" i="21"/>
  <c r="O1174" i="21"/>
  <c r="O1174" i="21" a="1"/>
  <c r="V1173" i="21"/>
  <c r="U1173" i="21"/>
  <c r="T1173" i="21"/>
  <c r="S1173" i="21"/>
  <c r="R1173" i="21"/>
  <c r="Q1173" i="21"/>
  <c r="P1173" i="21"/>
  <c r="O1173" i="21"/>
  <c r="O1173" i="21" a="1"/>
  <c r="V1172" i="21"/>
  <c r="U1172" i="21"/>
  <c r="T1172" i="21"/>
  <c r="S1172" i="21"/>
  <c r="R1172" i="21"/>
  <c r="Q1172" i="21"/>
  <c r="P1172" i="21"/>
  <c r="O1172" i="21"/>
  <c r="O1172" i="21" a="1"/>
  <c r="V1171" i="21"/>
  <c r="U1171" i="21"/>
  <c r="T1171" i="21"/>
  <c r="S1171" i="21"/>
  <c r="R1171" i="21"/>
  <c r="Q1171" i="21"/>
  <c r="P1171" i="21"/>
  <c r="O1171" i="21"/>
  <c r="O1171" i="21" a="1"/>
  <c r="V1170" i="21"/>
  <c r="U1170" i="21"/>
  <c r="T1170" i="21"/>
  <c r="S1170" i="21"/>
  <c r="R1170" i="21"/>
  <c r="Q1170" i="21"/>
  <c r="P1170" i="21"/>
  <c r="O1170" i="21"/>
  <c r="O1170" i="21" a="1"/>
  <c r="V1169" i="21"/>
  <c r="U1169" i="21"/>
  <c r="T1169" i="21"/>
  <c r="S1169" i="21"/>
  <c r="R1169" i="21"/>
  <c r="Q1169" i="21"/>
  <c r="P1169" i="21"/>
  <c r="O1169" i="21"/>
  <c r="O1169" i="21" a="1"/>
  <c r="V1168" i="21"/>
  <c r="U1168" i="21"/>
  <c r="T1168" i="21"/>
  <c r="S1168" i="21"/>
  <c r="R1168" i="21"/>
  <c r="Q1168" i="21"/>
  <c r="P1168" i="21"/>
  <c r="O1168" i="21"/>
  <c r="O1168" i="21" a="1"/>
  <c r="V1167" i="21"/>
  <c r="U1167" i="21"/>
  <c r="T1167" i="21"/>
  <c r="S1167" i="21"/>
  <c r="R1167" i="21"/>
  <c r="Q1167" i="21"/>
  <c r="P1167" i="21"/>
  <c r="O1167" i="21"/>
  <c r="O1167" i="21" a="1"/>
  <c r="V1166" i="21"/>
  <c r="U1166" i="21"/>
  <c r="T1166" i="21"/>
  <c r="S1166" i="21"/>
  <c r="R1166" i="21"/>
  <c r="Q1166" i="21"/>
  <c r="P1166" i="21"/>
  <c r="O1166" i="21"/>
  <c r="O1166" i="21" a="1"/>
  <c r="V1165" i="21"/>
  <c r="U1165" i="21"/>
  <c r="T1165" i="21"/>
  <c r="S1165" i="21"/>
  <c r="R1165" i="21"/>
  <c r="Q1165" i="21"/>
  <c r="P1165" i="21"/>
  <c r="O1165" i="21"/>
  <c r="O1165" i="21" a="1"/>
  <c r="V1164" i="21"/>
  <c r="U1164" i="21"/>
  <c r="T1164" i="21"/>
  <c r="S1164" i="21"/>
  <c r="R1164" i="21"/>
  <c r="Q1164" i="21"/>
  <c r="P1164" i="21"/>
  <c r="O1164" i="21"/>
  <c r="O1164" i="21" a="1"/>
  <c r="V1163" i="21"/>
  <c r="U1163" i="21"/>
  <c r="T1163" i="21"/>
  <c r="S1163" i="21"/>
  <c r="R1163" i="21"/>
  <c r="Q1163" i="21"/>
  <c r="P1163" i="21"/>
  <c r="O1163" i="21"/>
  <c r="O1163" i="21" a="1"/>
  <c r="V1162" i="21"/>
  <c r="U1162" i="21"/>
  <c r="T1162" i="21"/>
  <c r="S1162" i="21"/>
  <c r="R1162" i="21"/>
  <c r="Q1162" i="21"/>
  <c r="P1162" i="21"/>
  <c r="O1162" i="21"/>
  <c r="O1162" i="21" a="1"/>
  <c r="V1161" i="21"/>
  <c r="U1161" i="21"/>
  <c r="T1161" i="21"/>
  <c r="S1161" i="21"/>
  <c r="R1161" i="21"/>
  <c r="Q1161" i="21"/>
  <c r="P1161" i="21"/>
  <c r="O1161" i="21"/>
  <c r="O1161" i="21" a="1"/>
  <c r="V1160" i="21"/>
  <c r="U1160" i="21"/>
  <c r="T1160" i="21"/>
  <c r="S1160" i="21"/>
  <c r="R1160" i="21"/>
  <c r="Q1160" i="21"/>
  <c r="P1160" i="21"/>
  <c r="O1160" i="21"/>
  <c r="O1160" i="21" a="1"/>
  <c r="V1159" i="21"/>
  <c r="U1159" i="21"/>
  <c r="T1159" i="21"/>
  <c r="S1159" i="21"/>
  <c r="R1159" i="21"/>
  <c r="Q1159" i="21"/>
  <c r="P1159" i="21"/>
  <c r="O1159" i="21"/>
  <c r="O1159" i="21" a="1"/>
  <c r="V1158" i="21"/>
  <c r="U1158" i="21"/>
  <c r="T1158" i="21"/>
  <c r="S1158" i="21"/>
  <c r="R1158" i="21"/>
  <c r="Q1158" i="21"/>
  <c r="P1158" i="21"/>
  <c r="O1158" i="21"/>
  <c r="O1158" i="21" a="1"/>
  <c r="V1157" i="21"/>
  <c r="U1157" i="21"/>
  <c r="T1157" i="21"/>
  <c r="S1157" i="21"/>
  <c r="R1157" i="21"/>
  <c r="Q1157" i="21"/>
  <c r="P1157" i="21"/>
  <c r="O1157" i="21"/>
  <c r="O1157" i="21" a="1"/>
  <c r="V1156" i="21"/>
  <c r="U1156" i="21"/>
  <c r="T1156" i="21"/>
  <c r="S1156" i="21"/>
  <c r="R1156" i="21"/>
  <c r="Q1156" i="21"/>
  <c r="P1156" i="21"/>
  <c r="O1156" i="21"/>
  <c r="O1156" i="21" a="1"/>
  <c r="V1155" i="21"/>
  <c r="U1155" i="21"/>
  <c r="T1155" i="21"/>
  <c r="S1155" i="21"/>
  <c r="R1155" i="21"/>
  <c r="Q1155" i="21"/>
  <c r="P1155" i="21"/>
  <c r="O1155" i="21"/>
  <c r="O1155" i="21" a="1"/>
  <c r="V1154" i="21"/>
  <c r="U1154" i="21"/>
  <c r="T1154" i="21"/>
  <c r="S1154" i="21"/>
  <c r="R1154" i="21"/>
  <c r="Q1154" i="21"/>
  <c r="P1154" i="21"/>
  <c r="O1154" i="21"/>
  <c r="O1154" i="21" a="1"/>
  <c r="V1153" i="21"/>
  <c r="U1153" i="21"/>
  <c r="T1153" i="21"/>
  <c r="S1153" i="21"/>
  <c r="R1153" i="21"/>
  <c r="Q1153" i="21"/>
  <c r="P1153" i="21"/>
  <c r="O1153" i="21"/>
  <c r="O1153" i="21" a="1"/>
  <c r="V1152" i="21"/>
  <c r="U1152" i="21"/>
  <c r="T1152" i="21"/>
  <c r="S1152" i="21"/>
  <c r="R1152" i="21"/>
  <c r="Q1152" i="21"/>
  <c r="P1152" i="21"/>
  <c r="O1152" i="21"/>
  <c r="O1152" i="21" a="1"/>
  <c r="V1151" i="21"/>
  <c r="U1151" i="21"/>
  <c r="T1151" i="21"/>
  <c r="S1151" i="21"/>
  <c r="R1151" i="21"/>
  <c r="Q1151" i="21"/>
  <c r="P1151" i="21"/>
  <c r="O1151" i="21"/>
  <c r="O1151" i="21" a="1"/>
  <c r="V1150" i="21"/>
  <c r="U1150" i="21"/>
  <c r="T1150" i="21"/>
  <c r="S1150" i="21"/>
  <c r="R1150" i="21"/>
  <c r="Q1150" i="21"/>
  <c r="P1150" i="21"/>
  <c r="O1150" i="21"/>
  <c r="O1150" i="21" a="1"/>
  <c r="V1149" i="21"/>
  <c r="U1149" i="21"/>
  <c r="T1149" i="21"/>
  <c r="S1149" i="21"/>
  <c r="R1149" i="21"/>
  <c r="Q1149" i="21"/>
  <c r="P1149" i="21"/>
  <c r="O1149" i="21"/>
  <c r="O1149" i="21" a="1"/>
  <c r="V1148" i="21"/>
  <c r="U1148" i="21"/>
  <c r="T1148" i="21"/>
  <c r="S1148" i="21"/>
  <c r="R1148" i="21"/>
  <c r="Q1148" i="21"/>
  <c r="P1148" i="21"/>
  <c r="O1148" i="21"/>
  <c r="O1148" i="21" a="1"/>
  <c r="V1147" i="21"/>
  <c r="U1147" i="21"/>
  <c r="T1147" i="21"/>
  <c r="S1147" i="21"/>
  <c r="R1147" i="21"/>
  <c r="Q1147" i="21"/>
  <c r="P1147" i="21"/>
  <c r="O1147" i="21"/>
  <c r="O1147" i="21" a="1"/>
  <c r="V1146" i="21"/>
  <c r="U1146" i="21"/>
  <c r="T1146" i="21"/>
  <c r="S1146" i="21"/>
  <c r="R1146" i="21"/>
  <c r="Q1146" i="21"/>
  <c r="P1146" i="21"/>
  <c r="O1146" i="21"/>
  <c r="O1146" i="21" a="1"/>
  <c r="V1145" i="21"/>
  <c r="U1145" i="21"/>
  <c r="T1145" i="21"/>
  <c r="S1145" i="21"/>
  <c r="R1145" i="21"/>
  <c r="Q1145" i="21"/>
  <c r="P1145" i="21"/>
  <c r="O1145" i="21"/>
  <c r="O1145" i="21" a="1"/>
  <c r="V1144" i="21"/>
  <c r="U1144" i="21"/>
  <c r="T1144" i="21"/>
  <c r="S1144" i="21"/>
  <c r="R1144" i="21"/>
  <c r="Q1144" i="21"/>
  <c r="P1144" i="21"/>
  <c r="O1144" i="21"/>
  <c r="O1144" i="21" a="1"/>
  <c r="V1143" i="21"/>
  <c r="U1143" i="21"/>
  <c r="T1143" i="21"/>
  <c r="S1143" i="21"/>
  <c r="R1143" i="21"/>
  <c r="Q1143" i="21"/>
  <c r="P1143" i="21"/>
  <c r="O1143" i="21"/>
  <c r="O1143" i="21" a="1"/>
  <c r="V1142" i="21"/>
  <c r="U1142" i="21"/>
  <c r="T1142" i="21"/>
  <c r="S1142" i="21"/>
  <c r="R1142" i="21"/>
  <c r="Q1142" i="21"/>
  <c r="P1142" i="21"/>
  <c r="O1142" i="21"/>
  <c r="O1142" i="21" a="1"/>
  <c r="V1141" i="21"/>
  <c r="U1141" i="21"/>
  <c r="T1141" i="21"/>
  <c r="S1141" i="21"/>
  <c r="R1141" i="21"/>
  <c r="Q1141" i="21"/>
  <c r="P1141" i="21"/>
  <c r="O1141" i="21"/>
  <c r="O1141" i="21" a="1"/>
  <c r="V1140" i="21"/>
  <c r="U1140" i="21"/>
  <c r="T1140" i="21"/>
  <c r="S1140" i="21"/>
  <c r="R1140" i="21"/>
  <c r="Q1140" i="21"/>
  <c r="P1140" i="21"/>
  <c r="O1140" i="21"/>
  <c r="O1140" i="21" a="1"/>
  <c r="V1139" i="21"/>
  <c r="U1139" i="21"/>
  <c r="T1139" i="21"/>
  <c r="S1139" i="21"/>
  <c r="R1139" i="21"/>
  <c r="Q1139" i="21"/>
  <c r="P1139" i="21"/>
  <c r="O1139" i="21"/>
  <c r="O1139" i="21" a="1"/>
  <c r="V1138" i="21"/>
  <c r="U1138" i="21"/>
  <c r="T1138" i="21"/>
  <c r="S1138" i="21"/>
  <c r="R1138" i="21"/>
  <c r="Q1138" i="21"/>
  <c r="P1138" i="21"/>
  <c r="O1138" i="21"/>
  <c r="O1138" i="21" a="1"/>
  <c r="V1137" i="21"/>
  <c r="U1137" i="21"/>
  <c r="T1137" i="21"/>
  <c r="S1137" i="21"/>
  <c r="R1137" i="21"/>
  <c r="Q1137" i="21"/>
  <c r="P1137" i="21"/>
  <c r="O1137" i="21"/>
  <c r="O1137" i="21" a="1"/>
  <c r="V1136" i="21"/>
  <c r="U1136" i="21"/>
  <c r="T1136" i="21"/>
  <c r="S1136" i="21"/>
  <c r="R1136" i="21"/>
  <c r="Q1136" i="21"/>
  <c r="P1136" i="21"/>
  <c r="O1136" i="21"/>
  <c r="O1136" i="21" a="1"/>
  <c r="V1135" i="21"/>
  <c r="U1135" i="21"/>
  <c r="T1135" i="21"/>
  <c r="S1135" i="21"/>
  <c r="R1135" i="21"/>
  <c r="Q1135" i="21"/>
  <c r="P1135" i="21"/>
  <c r="O1135" i="21"/>
  <c r="O1135" i="21" a="1"/>
  <c r="V1134" i="21"/>
  <c r="U1134" i="21"/>
  <c r="T1134" i="21"/>
  <c r="S1134" i="21"/>
  <c r="R1134" i="21"/>
  <c r="Q1134" i="21"/>
  <c r="P1134" i="21"/>
  <c r="O1134" i="21"/>
  <c r="O1134" i="21" a="1"/>
  <c r="V1133" i="21"/>
  <c r="U1133" i="21"/>
  <c r="T1133" i="21"/>
  <c r="S1133" i="21"/>
  <c r="R1133" i="21"/>
  <c r="Q1133" i="21"/>
  <c r="P1133" i="21"/>
  <c r="O1133" i="21"/>
  <c r="O1133" i="21" a="1"/>
  <c r="V1132" i="21"/>
  <c r="U1132" i="21"/>
  <c r="T1132" i="21"/>
  <c r="S1132" i="21"/>
  <c r="R1132" i="21"/>
  <c r="Q1132" i="21"/>
  <c r="P1132" i="21"/>
  <c r="O1132" i="21"/>
  <c r="O1132" i="21" a="1"/>
  <c r="V1131" i="21"/>
  <c r="U1131" i="21"/>
  <c r="T1131" i="21"/>
  <c r="S1131" i="21"/>
  <c r="R1131" i="21"/>
  <c r="Q1131" i="21"/>
  <c r="P1131" i="21"/>
  <c r="O1131" i="21"/>
  <c r="O1131" i="21" a="1"/>
  <c r="V1130" i="21"/>
  <c r="U1130" i="21"/>
  <c r="T1130" i="21"/>
  <c r="S1130" i="21"/>
  <c r="R1130" i="21"/>
  <c r="Q1130" i="21"/>
  <c r="P1130" i="21"/>
  <c r="O1130" i="21"/>
  <c r="O1130" i="21" a="1"/>
  <c r="V1129" i="21"/>
  <c r="U1129" i="21"/>
  <c r="T1129" i="21"/>
  <c r="S1129" i="21"/>
  <c r="R1129" i="21"/>
  <c r="Q1129" i="21"/>
  <c r="P1129" i="21"/>
  <c r="O1129" i="21"/>
  <c r="O1129" i="21" a="1"/>
  <c r="V1128" i="21"/>
  <c r="U1128" i="21"/>
  <c r="T1128" i="21"/>
  <c r="S1128" i="21"/>
  <c r="R1128" i="21"/>
  <c r="Q1128" i="21"/>
  <c r="P1128" i="21"/>
  <c r="O1128" i="21"/>
  <c r="O1128" i="21" a="1"/>
  <c r="V1127" i="21"/>
  <c r="U1127" i="21"/>
  <c r="T1127" i="21"/>
  <c r="S1127" i="21"/>
  <c r="R1127" i="21"/>
  <c r="Q1127" i="21"/>
  <c r="P1127" i="21"/>
  <c r="O1127" i="21"/>
  <c r="O1127" i="21" a="1"/>
  <c r="V1126" i="21"/>
  <c r="U1126" i="21"/>
  <c r="T1126" i="21"/>
  <c r="S1126" i="21"/>
  <c r="R1126" i="21"/>
  <c r="Q1126" i="21"/>
  <c r="P1126" i="21"/>
  <c r="O1126" i="21"/>
  <c r="O1126" i="21" a="1"/>
  <c r="V1125" i="21"/>
  <c r="U1125" i="21"/>
  <c r="T1125" i="21"/>
  <c r="S1125" i="21"/>
  <c r="R1125" i="21"/>
  <c r="Q1125" i="21"/>
  <c r="P1125" i="21"/>
  <c r="O1125" i="21"/>
  <c r="O1125" i="21" a="1"/>
  <c r="V1124" i="21"/>
  <c r="U1124" i="21"/>
  <c r="T1124" i="21"/>
  <c r="S1124" i="21"/>
  <c r="R1124" i="21"/>
  <c r="Q1124" i="21"/>
  <c r="P1124" i="21"/>
  <c r="O1124" i="21"/>
  <c r="O1124" i="21" a="1"/>
  <c r="V1123" i="21"/>
  <c r="U1123" i="21"/>
  <c r="T1123" i="21"/>
  <c r="S1123" i="21"/>
  <c r="R1123" i="21"/>
  <c r="Q1123" i="21"/>
  <c r="P1123" i="21"/>
  <c r="O1123" i="21"/>
  <c r="O1123" i="21" a="1"/>
  <c r="V1122" i="21"/>
  <c r="U1122" i="21"/>
  <c r="T1122" i="21"/>
  <c r="S1122" i="21"/>
  <c r="R1122" i="21"/>
  <c r="Q1122" i="21"/>
  <c r="P1122" i="21"/>
  <c r="O1122" i="21"/>
  <c r="O1122" i="21" a="1"/>
  <c r="V1121" i="21"/>
  <c r="U1121" i="21"/>
  <c r="T1121" i="21"/>
  <c r="S1121" i="21"/>
  <c r="R1121" i="21"/>
  <c r="Q1121" i="21"/>
  <c r="P1121" i="21"/>
  <c r="O1121" i="21"/>
  <c r="O1121" i="21" a="1"/>
  <c r="V1120" i="21"/>
  <c r="U1120" i="21"/>
  <c r="T1120" i="21"/>
  <c r="S1120" i="21"/>
  <c r="R1120" i="21"/>
  <c r="Q1120" i="21"/>
  <c r="P1120" i="21"/>
  <c r="O1120" i="21"/>
  <c r="O1120" i="21" a="1"/>
  <c r="V1119" i="21"/>
  <c r="U1119" i="21"/>
  <c r="T1119" i="21"/>
  <c r="S1119" i="21"/>
  <c r="R1119" i="21"/>
  <c r="Q1119" i="21"/>
  <c r="P1119" i="21"/>
  <c r="O1119" i="21"/>
  <c r="O1119" i="21" a="1"/>
  <c r="V1118" i="21"/>
  <c r="U1118" i="21"/>
  <c r="T1118" i="21"/>
  <c r="S1118" i="21"/>
  <c r="R1118" i="21"/>
  <c r="Q1118" i="21"/>
  <c r="P1118" i="21"/>
  <c r="O1118" i="21"/>
  <c r="O1118" i="21" a="1"/>
  <c r="V1117" i="21"/>
  <c r="U1117" i="21"/>
  <c r="T1117" i="21"/>
  <c r="S1117" i="21"/>
  <c r="R1117" i="21"/>
  <c r="Q1117" i="21"/>
  <c r="P1117" i="21"/>
  <c r="O1117" i="21"/>
  <c r="O1117" i="21" a="1"/>
  <c r="V1116" i="21"/>
  <c r="U1116" i="21"/>
  <c r="T1116" i="21"/>
  <c r="S1116" i="21"/>
  <c r="R1116" i="21"/>
  <c r="Q1116" i="21"/>
  <c r="P1116" i="21"/>
  <c r="O1116" i="21"/>
  <c r="O1116" i="21" a="1"/>
  <c r="V1115" i="21"/>
  <c r="U1115" i="21"/>
  <c r="T1115" i="21"/>
  <c r="S1115" i="21"/>
  <c r="R1115" i="21"/>
  <c r="Q1115" i="21"/>
  <c r="P1115" i="21"/>
  <c r="O1115" i="21"/>
  <c r="O1115" i="21" a="1"/>
  <c r="V1114" i="21"/>
  <c r="U1114" i="21"/>
  <c r="T1114" i="21"/>
  <c r="S1114" i="21"/>
  <c r="R1114" i="21"/>
  <c r="Q1114" i="21"/>
  <c r="P1114" i="21"/>
  <c r="O1114" i="21"/>
  <c r="O1114" i="21" a="1"/>
  <c r="V1113" i="21"/>
  <c r="U1113" i="21"/>
  <c r="T1113" i="21"/>
  <c r="S1113" i="21"/>
  <c r="R1113" i="21"/>
  <c r="Q1113" i="21"/>
  <c r="P1113" i="21"/>
  <c r="O1113" i="21"/>
  <c r="O1113" i="21" a="1"/>
  <c r="V1112" i="21"/>
  <c r="U1112" i="21"/>
  <c r="T1112" i="21"/>
  <c r="S1112" i="21"/>
  <c r="R1112" i="21"/>
  <c r="Q1112" i="21"/>
  <c r="P1112" i="21"/>
  <c r="O1112" i="21"/>
  <c r="O1112" i="21" a="1"/>
  <c r="V1111" i="21"/>
  <c r="U1111" i="21"/>
  <c r="T1111" i="21"/>
  <c r="S1111" i="21"/>
  <c r="R1111" i="21"/>
  <c r="Q1111" i="21"/>
  <c r="P1111" i="21"/>
  <c r="O1111" i="21"/>
  <c r="O1111" i="21" a="1"/>
  <c r="V1110" i="21"/>
  <c r="U1110" i="21"/>
  <c r="T1110" i="21"/>
  <c r="S1110" i="21"/>
  <c r="R1110" i="21"/>
  <c r="Q1110" i="21"/>
  <c r="P1110" i="21"/>
  <c r="O1110" i="21"/>
  <c r="O1110" i="21" a="1"/>
  <c r="V1109" i="21"/>
  <c r="U1109" i="21"/>
  <c r="T1109" i="21"/>
  <c r="S1109" i="21"/>
  <c r="R1109" i="21"/>
  <c r="Q1109" i="21"/>
  <c r="P1109" i="21"/>
  <c r="O1109" i="21"/>
  <c r="O1109" i="21" a="1"/>
  <c r="V1108" i="21"/>
  <c r="U1108" i="21"/>
  <c r="T1108" i="21"/>
  <c r="S1108" i="21"/>
  <c r="R1108" i="21"/>
  <c r="Q1108" i="21"/>
  <c r="P1108" i="21"/>
  <c r="O1108" i="21"/>
  <c r="O1108" i="21" a="1"/>
  <c r="V1107" i="21"/>
  <c r="U1107" i="21"/>
  <c r="T1107" i="21"/>
  <c r="S1107" i="21"/>
  <c r="R1107" i="21"/>
  <c r="Q1107" i="21"/>
  <c r="P1107" i="21"/>
  <c r="O1107" i="21"/>
  <c r="O1107" i="21" a="1"/>
  <c r="V1106" i="21"/>
  <c r="U1106" i="21"/>
  <c r="T1106" i="21"/>
  <c r="S1106" i="21"/>
  <c r="R1106" i="21"/>
  <c r="Q1106" i="21"/>
  <c r="P1106" i="21"/>
  <c r="O1106" i="21"/>
  <c r="O1106" i="21" a="1"/>
  <c r="V1105" i="21"/>
  <c r="U1105" i="21"/>
  <c r="T1105" i="21"/>
  <c r="S1105" i="21"/>
  <c r="R1105" i="21"/>
  <c r="Q1105" i="21"/>
  <c r="P1105" i="21"/>
  <c r="O1105" i="21"/>
  <c r="O1105" i="21" a="1"/>
  <c r="V1104" i="21"/>
  <c r="U1104" i="21"/>
  <c r="T1104" i="21"/>
  <c r="S1104" i="21"/>
  <c r="R1104" i="21"/>
  <c r="Q1104" i="21"/>
  <c r="P1104" i="21"/>
  <c r="O1104" i="21"/>
  <c r="O1104" i="21" a="1"/>
  <c r="V1103" i="21"/>
  <c r="U1103" i="21"/>
  <c r="T1103" i="21"/>
  <c r="S1103" i="21"/>
  <c r="R1103" i="21"/>
  <c r="Q1103" i="21"/>
  <c r="P1103" i="21"/>
  <c r="O1103" i="21"/>
  <c r="O1103" i="21" a="1"/>
  <c r="V1102" i="21"/>
  <c r="U1102" i="21"/>
  <c r="T1102" i="21"/>
  <c r="S1102" i="21"/>
  <c r="R1102" i="21"/>
  <c r="Q1102" i="21"/>
  <c r="P1102" i="21"/>
  <c r="O1102" i="21"/>
  <c r="O1102" i="21" a="1"/>
  <c r="V1101" i="21"/>
  <c r="U1101" i="21"/>
  <c r="T1101" i="21"/>
  <c r="S1101" i="21"/>
  <c r="R1101" i="21"/>
  <c r="Q1101" i="21"/>
  <c r="P1101" i="21"/>
  <c r="O1101" i="21"/>
  <c r="O1101" i="21" a="1"/>
  <c r="V1100" i="21"/>
  <c r="U1100" i="21"/>
  <c r="T1100" i="21"/>
  <c r="S1100" i="21"/>
  <c r="R1100" i="21"/>
  <c r="Q1100" i="21"/>
  <c r="P1100" i="21"/>
  <c r="O1100" i="21"/>
  <c r="O1100" i="21" a="1"/>
  <c r="V1099" i="21"/>
  <c r="U1099" i="21"/>
  <c r="T1099" i="21"/>
  <c r="S1099" i="21"/>
  <c r="R1099" i="21"/>
  <c r="Q1099" i="21"/>
  <c r="P1099" i="21"/>
  <c r="O1099" i="21"/>
  <c r="O1099" i="21" a="1"/>
  <c r="V1098" i="21"/>
  <c r="U1098" i="21"/>
  <c r="T1098" i="21"/>
  <c r="S1098" i="21"/>
  <c r="R1098" i="21"/>
  <c r="Q1098" i="21"/>
  <c r="P1098" i="21"/>
  <c r="O1098" i="21"/>
  <c r="O1098" i="21" a="1"/>
  <c r="V1097" i="21"/>
  <c r="U1097" i="21"/>
  <c r="T1097" i="21"/>
  <c r="S1097" i="21"/>
  <c r="R1097" i="21"/>
  <c r="Q1097" i="21"/>
  <c r="P1097" i="21"/>
  <c r="O1097" i="21"/>
  <c r="O1097" i="21" a="1"/>
  <c r="V1096" i="21"/>
  <c r="U1096" i="21"/>
  <c r="T1096" i="21"/>
  <c r="S1096" i="21"/>
  <c r="R1096" i="21"/>
  <c r="Q1096" i="21"/>
  <c r="P1096" i="21"/>
  <c r="O1096" i="21"/>
  <c r="O1096" i="21" a="1"/>
  <c r="V1095" i="21"/>
  <c r="U1095" i="21"/>
  <c r="T1095" i="21"/>
  <c r="S1095" i="21"/>
  <c r="R1095" i="21"/>
  <c r="Q1095" i="21"/>
  <c r="P1095" i="21"/>
  <c r="O1095" i="21"/>
  <c r="O1095" i="21" a="1"/>
  <c r="V1094" i="21"/>
  <c r="U1094" i="21"/>
  <c r="T1094" i="21"/>
  <c r="S1094" i="21"/>
  <c r="R1094" i="21"/>
  <c r="Q1094" i="21"/>
  <c r="P1094" i="21"/>
  <c r="O1094" i="21"/>
  <c r="O1094" i="21" a="1"/>
  <c r="V1093" i="21"/>
  <c r="U1093" i="21"/>
  <c r="T1093" i="21"/>
  <c r="S1093" i="21"/>
  <c r="R1093" i="21"/>
  <c r="Q1093" i="21"/>
  <c r="P1093" i="21"/>
  <c r="O1093" i="21"/>
  <c r="O1093" i="21" a="1"/>
  <c r="V1092" i="21"/>
  <c r="U1092" i="21"/>
  <c r="T1092" i="21"/>
  <c r="S1092" i="21"/>
  <c r="R1092" i="21"/>
  <c r="Q1092" i="21"/>
  <c r="P1092" i="21"/>
  <c r="O1092" i="21"/>
  <c r="O1092" i="21" a="1"/>
  <c r="V1091" i="21"/>
  <c r="U1091" i="21"/>
  <c r="T1091" i="21"/>
  <c r="S1091" i="21"/>
  <c r="R1091" i="21"/>
  <c r="Q1091" i="21"/>
  <c r="P1091" i="21"/>
  <c r="O1091" i="21"/>
  <c r="O1091" i="21" a="1"/>
  <c r="V1090" i="21"/>
  <c r="U1090" i="21"/>
  <c r="T1090" i="21"/>
  <c r="S1090" i="21"/>
  <c r="R1090" i="21"/>
  <c r="Q1090" i="21"/>
  <c r="P1090" i="21"/>
  <c r="O1090" i="21"/>
  <c r="O1090" i="21" a="1"/>
  <c r="V1089" i="21"/>
  <c r="U1089" i="21"/>
  <c r="T1089" i="21"/>
  <c r="S1089" i="21"/>
  <c r="R1089" i="21"/>
  <c r="Q1089" i="21"/>
  <c r="P1089" i="21"/>
  <c r="O1089" i="21"/>
  <c r="O1089" i="21" a="1"/>
  <c r="V1088" i="21"/>
  <c r="U1088" i="21"/>
  <c r="T1088" i="21"/>
  <c r="S1088" i="21"/>
  <c r="R1088" i="21"/>
  <c r="Q1088" i="21"/>
  <c r="P1088" i="21"/>
  <c r="O1088" i="21"/>
  <c r="O1088" i="21" a="1"/>
  <c r="V1087" i="21"/>
  <c r="U1087" i="21"/>
  <c r="T1087" i="21"/>
  <c r="S1087" i="21"/>
  <c r="R1087" i="21"/>
  <c r="Q1087" i="21"/>
  <c r="P1087" i="21"/>
  <c r="O1087" i="21"/>
  <c r="O1087" i="21" a="1"/>
  <c r="V1086" i="21"/>
  <c r="U1086" i="21"/>
  <c r="T1086" i="21"/>
  <c r="S1086" i="21"/>
  <c r="R1086" i="21"/>
  <c r="Q1086" i="21"/>
  <c r="P1086" i="21"/>
  <c r="O1086" i="21"/>
  <c r="O1086" i="21" a="1"/>
  <c r="V1085" i="21"/>
  <c r="U1085" i="21"/>
  <c r="T1085" i="21"/>
  <c r="S1085" i="21"/>
  <c r="R1085" i="21"/>
  <c r="Q1085" i="21"/>
  <c r="P1085" i="21"/>
  <c r="O1085" i="21"/>
  <c r="O1085" i="21" a="1"/>
  <c r="V1084" i="21"/>
  <c r="U1084" i="21"/>
  <c r="T1084" i="21"/>
  <c r="S1084" i="21"/>
  <c r="R1084" i="21"/>
  <c r="Q1084" i="21"/>
  <c r="P1084" i="21"/>
  <c r="O1084" i="21"/>
  <c r="O1084" i="21" a="1"/>
  <c r="V1083" i="21"/>
  <c r="U1083" i="21"/>
  <c r="T1083" i="21"/>
  <c r="S1083" i="21"/>
  <c r="R1083" i="21"/>
  <c r="Q1083" i="21"/>
  <c r="P1083" i="21"/>
  <c r="O1083" i="21"/>
  <c r="O1083" i="21" a="1"/>
  <c r="V1082" i="21"/>
  <c r="U1082" i="21"/>
  <c r="T1082" i="21"/>
  <c r="S1082" i="21"/>
  <c r="R1082" i="21"/>
  <c r="Q1082" i="21"/>
  <c r="P1082" i="21"/>
  <c r="O1082" i="21"/>
  <c r="O1082" i="21" a="1"/>
  <c r="V1081" i="21"/>
  <c r="U1081" i="21"/>
  <c r="T1081" i="21"/>
  <c r="S1081" i="21"/>
  <c r="R1081" i="21"/>
  <c r="Q1081" i="21"/>
  <c r="P1081" i="21"/>
  <c r="O1081" i="21"/>
  <c r="O1081" i="21" a="1"/>
  <c r="V1080" i="21"/>
  <c r="U1080" i="21"/>
  <c r="T1080" i="21"/>
  <c r="S1080" i="21"/>
  <c r="R1080" i="21"/>
  <c r="Q1080" i="21"/>
  <c r="P1080" i="21"/>
  <c r="O1080" i="21"/>
  <c r="O1080" i="21" a="1"/>
  <c r="V1079" i="21"/>
  <c r="U1079" i="21"/>
  <c r="T1079" i="21"/>
  <c r="S1079" i="21"/>
  <c r="R1079" i="21"/>
  <c r="Q1079" i="21"/>
  <c r="P1079" i="21"/>
  <c r="O1079" i="21"/>
  <c r="O1079" i="21" a="1"/>
  <c r="V1078" i="21"/>
  <c r="U1078" i="21"/>
  <c r="T1078" i="21"/>
  <c r="S1078" i="21"/>
  <c r="R1078" i="21"/>
  <c r="Q1078" i="21"/>
  <c r="P1078" i="21"/>
  <c r="O1078" i="21"/>
  <c r="O1078" i="21" a="1"/>
  <c r="V1077" i="21"/>
  <c r="U1077" i="21"/>
  <c r="T1077" i="21"/>
  <c r="S1077" i="21"/>
  <c r="R1077" i="21"/>
  <c r="Q1077" i="21"/>
  <c r="P1077" i="21"/>
  <c r="O1077" i="21"/>
  <c r="O1077" i="21" a="1"/>
  <c r="V1076" i="21"/>
  <c r="U1076" i="21"/>
  <c r="T1076" i="21"/>
  <c r="S1076" i="21"/>
  <c r="R1076" i="21"/>
  <c r="Q1076" i="21"/>
  <c r="P1076" i="21"/>
  <c r="O1076" i="21"/>
  <c r="O1076" i="21" a="1"/>
  <c r="V1075" i="21"/>
  <c r="U1075" i="21"/>
  <c r="T1075" i="21"/>
  <c r="S1075" i="21"/>
  <c r="R1075" i="21"/>
  <c r="Q1075" i="21"/>
  <c r="P1075" i="21"/>
  <c r="O1075" i="21"/>
  <c r="O1075" i="21" a="1"/>
  <c r="V1074" i="21"/>
  <c r="U1074" i="21"/>
  <c r="T1074" i="21"/>
  <c r="S1074" i="21"/>
  <c r="R1074" i="21"/>
  <c r="Q1074" i="21"/>
  <c r="P1074" i="21"/>
  <c r="O1074" i="21"/>
  <c r="O1074" i="21" a="1"/>
  <c r="V1073" i="21"/>
  <c r="U1073" i="21"/>
  <c r="T1073" i="21"/>
  <c r="S1073" i="21"/>
  <c r="R1073" i="21"/>
  <c r="Q1073" i="21"/>
  <c r="P1073" i="21"/>
  <c r="O1073" i="21"/>
  <c r="O1073" i="21" a="1"/>
  <c r="V1072" i="21"/>
  <c r="U1072" i="21"/>
  <c r="T1072" i="21"/>
  <c r="S1072" i="21"/>
  <c r="R1072" i="21"/>
  <c r="Q1072" i="21"/>
  <c r="P1072" i="21"/>
  <c r="O1072" i="21"/>
  <c r="O1072" i="21" a="1"/>
  <c r="V1071" i="21"/>
  <c r="U1071" i="21"/>
  <c r="T1071" i="21"/>
  <c r="S1071" i="21"/>
  <c r="R1071" i="21"/>
  <c r="Q1071" i="21"/>
  <c r="P1071" i="21"/>
  <c r="O1071" i="21"/>
  <c r="O1071" i="21" a="1"/>
  <c r="V1070" i="21"/>
  <c r="U1070" i="21"/>
  <c r="T1070" i="21"/>
  <c r="S1070" i="21"/>
  <c r="R1070" i="21"/>
  <c r="Q1070" i="21"/>
  <c r="P1070" i="21"/>
  <c r="O1070" i="21"/>
  <c r="O1070" i="21" a="1"/>
  <c r="V1069" i="21"/>
  <c r="U1069" i="21"/>
  <c r="T1069" i="21"/>
  <c r="S1069" i="21"/>
  <c r="R1069" i="21"/>
  <c r="Q1069" i="21"/>
  <c r="P1069" i="21"/>
  <c r="O1069" i="21"/>
  <c r="O1069" i="21" a="1"/>
  <c r="V1068" i="21"/>
  <c r="U1068" i="21"/>
  <c r="T1068" i="21"/>
  <c r="S1068" i="21"/>
  <c r="R1068" i="21"/>
  <c r="Q1068" i="21"/>
  <c r="P1068" i="21"/>
  <c r="O1068" i="21"/>
  <c r="O1068" i="21" a="1"/>
  <c r="V1067" i="21"/>
  <c r="U1067" i="21"/>
  <c r="T1067" i="21"/>
  <c r="S1067" i="21"/>
  <c r="R1067" i="21"/>
  <c r="Q1067" i="21"/>
  <c r="P1067" i="21"/>
  <c r="O1067" i="21"/>
  <c r="O1067" i="21" a="1"/>
  <c r="V1066" i="21"/>
  <c r="U1066" i="21"/>
  <c r="T1066" i="21"/>
  <c r="S1066" i="21"/>
  <c r="R1066" i="21"/>
  <c r="Q1066" i="21"/>
  <c r="P1066" i="21"/>
  <c r="O1066" i="21"/>
  <c r="O1066" i="21" a="1"/>
  <c r="V1065" i="21"/>
  <c r="U1065" i="21"/>
  <c r="T1065" i="21"/>
  <c r="S1065" i="21"/>
  <c r="R1065" i="21"/>
  <c r="Q1065" i="21"/>
  <c r="P1065" i="21"/>
  <c r="O1065" i="21"/>
  <c r="O1065" i="21" a="1"/>
  <c r="V1064" i="21"/>
  <c r="U1064" i="21"/>
  <c r="T1064" i="21"/>
  <c r="S1064" i="21"/>
  <c r="R1064" i="21"/>
  <c r="Q1064" i="21"/>
  <c r="P1064" i="21"/>
  <c r="O1064" i="21"/>
  <c r="O1064" i="21" a="1"/>
  <c r="V1063" i="21"/>
  <c r="U1063" i="21"/>
  <c r="T1063" i="21"/>
  <c r="S1063" i="21"/>
  <c r="R1063" i="21"/>
  <c r="Q1063" i="21"/>
  <c r="P1063" i="21"/>
  <c r="O1063" i="21"/>
  <c r="O1063" i="21" a="1"/>
  <c r="V1062" i="21"/>
  <c r="U1062" i="21"/>
  <c r="T1062" i="21"/>
  <c r="S1062" i="21"/>
  <c r="R1062" i="21"/>
  <c r="Q1062" i="21"/>
  <c r="P1062" i="21"/>
  <c r="O1062" i="21"/>
  <c r="O1062" i="21" a="1"/>
  <c r="V1061" i="21"/>
  <c r="U1061" i="21"/>
  <c r="T1061" i="21"/>
  <c r="S1061" i="21"/>
  <c r="R1061" i="21"/>
  <c r="Q1061" i="21"/>
  <c r="P1061" i="21"/>
  <c r="O1061" i="21"/>
  <c r="O1061" i="21" a="1"/>
  <c r="V1060" i="21"/>
  <c r="U1060" i="21"/>
  <c r="T1060" i="21"/>
  <c r="S1060" i="21"/>
  <c r="R1060" i="21"/>
  <c r="Q1060" i="21"/>
  <c r="P1060" i="21"/>
  <c r="O1060" i="21"/>
  <c r="O1060" i="21" a="1"/>
  <c r="V1059" i="21"/>
  <c r="U1059" i="21"/>
  <c r="T1059" i="21"/>
  <c r="S1059" i="21"/>
  <c r="R1059" i="21"/>
  <c r="Q1059" i="21"/>
  <c r="P1059" i="21"/>
  <c r="O1059" i="21"/>
  <c r="O1059" i="21" a="1"/>
  <c r="V1058" i="21"/>
  <c r="U1058" i="21"/>
  <c r="T1058" i="21"/>
  <c r="S1058" i="21"/>
  <c r="R1058" i="21"/>
  <c r="Q1058" i="21"/>
  <c r="P1058" i="21"/>
  <c r="O1058" i="21"/>
  <c r="O1058" i="21" a="1"/>
  <c r="V1057" i="21"/>
  <c r="U1057" i="21"/>
  <c r="T1057" i="21"/>
  <c r="S1057" i="21"/>
  <c r="R1057" i="21"/>
  <c r="Q1057" i="21"/>
  <c r="P1057" i="21"/>
  <c r="O1057" i="21"/>
  <c r="O1057" i="21" a="1"/>
  <c r="V1056" i="21"/>
  <c r="U1056" i="21"/>
  <c r="T1056" i="21"/>
  <c r="S1056" i="21"/>
  <c r="R1056" i="21"/>
  <c r="Q1056" i="21"/>
  <c r="P1056" i="21"/>
  <c r="O1056" i="21"/>
  <c r="O1056" i="21" a="1"/>
  <c r="V1055" i="21"/>
  <c r="U1055" i="21"/>
  <c r="T1055" i="21"/>
  <c r="S1055" i="21"/>
  <c r="R1055" i="21"/>
  <c r="Q1055" i="21"/>
  <c r="P1055" i="21"/>
  <c r="O1055" i="21"/>
  <c r="O1055" i="21" a="1"/>
  <c r="V1054" i="21"/>
  <c r="U1054" i="21"/>
  <c r="T1054" i="21"/>
  <c r="S1054" i="21"/>
  <c r="R1054" i="21"/>
  <c r="Q1054" i="21"/>
  <c r="P1054" i="21"/>
  <c r="O1054" i="21"/>
  <c r="O1054" i="21" a="1"/>
  <c r="V1053" i="21"/>
  <c r="U1053" i="21"/>
  <c r="T1053" i="21"/>
  <c r="S1053" i="21"/>
  <c r="R1053" i="21"/>
  <c r="Q1053" i="21"/>
  <c r="P1053" i="21"/>
  <c r="O1053" i="21"/>
  <c r="O1053" i="21" a="1"/>
  <c r="V1052" i="21"/>
  <c r="U1052" i="21"/>
  <c r="T1052" i="21"/>
  <c r="S1052" i="21"/>
  <c r="R1052" i="21"/>
  <c r="Q1052" i="21"/>
  <c r="P1052" i="21"/>
  <c r="O1052" i="21"/>
  <c r="O1052" i="21" a="1"/>
  <c r="V1051" i="21"/>
  <c r="U1051" i="21"/>
  <c r="T1051" i="21"/>
  <c r="S1051" i="21"/>
  <c r="R1051" i="21"/>
  <c r="Q1051" i="21"/>
  <c r="P1051" i="21"/>
  <c r="O1051" i="21"/>
  <c r="O1051" i="21" a="1"/>
  <c r="V1050" i="21"/>
  <c r="U1050" i="21"/>
  <c r="T1050" i="21"/>
  <c r="S1050" i="21"/>
  <c r="R1050" i="21"/>
  <c r="Q1050" i="21"/>
  <c r="P1050" i="21"/>
  <c r="O1050" i="21"/>
  <c r="O1050" i="21" a="1"/>
  <c r="V1049" i="21"/>
  <c r="U1049" i="21"/>
  <c r="T1049" i="21"/>
  <c r="S1049" i="21"/>
  <c r="R1049" i="21"/>
  <c r="Q1049" i="21"/>
  <c r="P1049" i="21"/>
  <c r="O1049" i="21"/>
  <c r="O1049" i="21" a="1"/>
  <c r="V1048" i="21"/>
  <c r="U1048" i="21"/>
  <c r="T1048" i="21"/>
  <c r="S1048" i="21"/>
  <c r="R1048" i="21"/>
  <c r="Q1048" i="21"/>
  <c r="P1048" i="21"/>
  <c r="O1048" i="21"/>
  <c r="O1048" i="21" a="1"/>
  <c r="V1047" i="21"/>
  <c r="U1047" i="21"/>
  <c r="T1047" i="21"/>
  <c r="S1047" i="21"/>
  <c r="R1047" i="21"/>
  <c r="Q1047" i="21"/>
  <c r="P1047" i="21"/>
  <c r="O1047" i="21"/>
  <c r="O1047" i="21" a="1"/>
  <c r="V1046" i="21"/>
  <c r="U1046" i="21"/>
  <c r="T1046" i="21"/>
  <c r="S1046" i="21"/>
  <c r="R1046" i="21"/>
  <c r="Q1046" i="21"/>
  <c r="P1046" i="21"/>
  <c r="O1046" i="21"/>
  <c r="O1046" i="21" a="1"/>
  <c r="V1045" i="21"/>
  <c r="U1045" i="21"/>
  <c r="T1045" i="21"/>
  <c r="S1045" i="21"/>
  <c r="R1045" i="21"/>
  <c r="Q1045" i="21"/>
  <c r="P1045" i="21"/>
  <c r="O1045" i="21"/>
  <c r="O1045" i="21" a="1"/>
  <c r="V1044" i="21"/>
  <c r="U1044" i="21"/>
  <c r="T1044" i="21"/>
  <c r="S1044" i="21"/>
  <c r="R1044" i="21"/>
  <c r="Q1044" i="21"/>
  <c r="P1044" i="21"/>
  <c r="O1044" i="21"/>
  <c r="O1044" i="21" a="1"/>
  <c r="V1043" i="21"/>
  <c r="U1043" i="21"/>
  <c r="T1043" i="21"/>
  <c r="S1043" i="21"/>
  <c r="R1043" i="21"/>
  <c r="Q1043" i="21"/>
  <c r="P1043" i="21"/>
  <c r="O1043" i="21"/>
  <c r="O1043" i="21" a="1"/>
  <c r="V1042" i="21"/>
  <c r="U1042" i="21"/>
  <c r="T1042" i="21"/>
  <c r="S1042" i="21"/>
  <c r="R1042" i="21"/>
  <c r="Q1042" i="21"/>
  <c r="P1042" i="21"/>
  <c r="O1042" i="21"/>
  <c r="O1042" i="21" a="1"/>
  <c r="V1041" i="21"/>
  <c r="U1041" i="21"/>
  <c r="T1041" i="21"/>
  <c r="S1041" i="21"/>
  <c r="R1041" i="21"/>
  <c r="Q1041" i="21"/>
  <c r="P1041" i="21"/>
  <c r="O1041" i="21"/>
  <c r="O1041" i="21" a="1"/>
  <c r="V1040" i="21"/>
  <c r="U1040" i="21"/>
  <c r="T1040" i="21"/>
  <c r="S1040" i="21"/>
  <c r="R1040" i="21"/>
  <c r="Q1040" i="21"/>
  <c r="P1040" i="21"/>
  <c r="O1040" i="21"/>
  <c r="O1040" i="21" a="1"/>
  <c r="V1039" i="21"/>
  <c r="U1039" i="21"/>
  <c r="T1039" i="21"/>
  <c r="S1039" i="21"/>
  <c r="R1039" i="21"/>
  <c r="Q1039" i="21"/>
  <c r="P1039" i="21"/>
  <c r="O1039" i="21"/>
  <c r="O1039" i="21" a="1"/>
  <c r="V1038" i="21"/>
  <c r="U1038" i="21"/>
  <c r="T1038" i="21"/>
  <c r="S1038" i="21"/>
  <c r="R1038" i="21"/>
  <c r="Q1038" i="21"/>
  <c r="P1038" i="21"/>
  <c r="O1038" i="21"/>
  <c r="O1038" i="21" a="1"/>
  <c r="V1037" i="21"/>
  <c r="U1037" i="21"/>
  <c r="T1037" i="21"/>
  <c r="S1037" i="21"/>
  <c r="R1037" i="21"/>
  <c r="Q1037" i="21"/>
  <c r="P1037" i="21"/>
  <c r="O1037" i="21"/>
  <c r="O1037" i="21" a="1"/>
  <c r="V1036" i="21"/>
  <c r="U1036" i="21"/>
  <c r="T1036" i="21"/>
  <c r="S1036" i="21"/>
  <c r="R1036" i="21"/>
  <c r="Q1036" i="21"/>
  <c r="P1036" i="21"/>
  <c r="O1036" i="21"/>
  <c r="O1036" i="21" a="1"/>
  <c r="V1035" i="21"/>
  <c r="U1035" i="21"/>
  <c r="T1035" i="21"/>
  <c r="S1035" i="21"/>
  <c r="R1035" i="21"/>
  <c r="Q1035" i="21"/>
  <c r="P1035" i="21"/>
  <c r="O1035" i="21"/>
  <c r="O1035" i="21" a="1"/>
  <c r="V1034" i="21"/>
  <c r="U1034" i="21"/>
  <c r="T1034" i="21"/>
  <c r="S1034" i="21"/>
  <c r="R1034" i="21"/>
  <c r="Q1034" i="21"/>
  <c r="P1034" i="21"/>
  <c r="O1034" i="21"/>
  <c r="O1034" i="21" a="1"/>
  <c r="V1033" i="21"/>
  <c r="U1033" i="21"/>
  <c r="T1033" i="21"/>
  <c r="S1033" i="21"/>
  <c r="R1033" i="21"/>
  <c r="Q1033" i="21"/>
  <c r="P1033" i="21"/>
  <c r="O1033" i="21"/>
  <c r="O1033" i="21" a="1"/>
  <c r="V1032" i="21"/>
  <c r="U1032" i="21"/>
  <c r="T1032" i="21"/>
  <c r="S1032" i="21"/>
  <c r="R1032" i="21"/>
  <c r="Q1032" i="21"/>
  <c r="P1032" i="21"/>
  <c r="O1032" i="21"/>
  <c r="O1032" i="21" a="1"/>
  <c r="V1031" i="21"/>
  <c r="U1031" i="21"/>
  <c r="T1031" i="21"/>
  <c r="S1031" i="21"/>
  <c r="R1031" i="21"/>
  <c r="Q1031" i="21"/>
  <c r="P1031" i="21"/>
  <c r="O1031" i="21"/>
  <c r="O1031" i="21" a="1"/>
  <c r="V1030" i="21"/>
  <c r="U1030" i="21"/>
  <c r="T1030" i="21"/>
  <c r="S1030" i="21"/>
  <c r="R1030" i="21"/>
  <c r="Q1030" i="21"/>
  <c r="P1030" i="21"/>
  <c r="O1030" i="21"/>
  <c r="O1030" i="21" a="1"/>
  <c r="V1029" i="21"/>
  <c r="U1029" i="21"/>
  <c r="T1029" i="21"/>
  <c r="S1029" i="21"/>
  <c r="R1029" i="21"/>
  <c r="Q1029" i="21"/>
  <c r="P1029" i="21"/>
  <c r="O1029" i="21"/>
  <c r="O1029" i="21" a="1"/>
  <c r="V1028" i="21"/>
  <c r="U1028" i="21"/>
  <c r="T1028" i="21"/>
  <c r="S1028" i="21"/>
  <c r="R1028" i="21"/>
  <c r="Q1028" i="21"/>
  <c r="P1028" i="21"/>
  <c r="O1028" i="21"/>
  <c r="O1028" i="21" a="1"/>
  <c r="V1027" i="21"/>
  <c r="U1027" i="21"/>
  <c r="T1027" i="21"/>
  <c r="S1027" i="21"/>
  <c r="R1027" i="21"/>
  <c r="Q1027" i="21"/>
  <c r="P1027" i="21"/>
  <c r="O1027" i="21"/>
  <c r="O1027" i="21" a="1"/>
  <c r="V1026" i="21"/>
  <c r="U1026" i="21"/>
  <c r="T1026" i="21"/>
  <c r="S1026" i="21"/>
  <c r="R1026" i="21"/>
  <c r="Q1026" i="21"/>
  <c r="P1026" i="21"/>
  <c r="O1026" i="21"/>
  <c r="O1026" i="21" a="1"/>
  <c r="V1025" i="21"/>
  <c r="U1025" i="21"/>
  <c r="T1025" i="21"/>
  <c r="S1025" i="21"/>
  <c r="R1025" i="21"/>
  <c r="Q1025" i="21"/>
  <c r="P1025" i="21"/>
  <c r="O1025" i="21"/>
  <c r="O1025" i="21" a="1"/>
  <c r="V1024" i="21"/>
  <c r="U1024" i="21"/>
  <c r="T1024" i="21"/>
  <c r="S1024" i="21"/>
  <c r="R1024" i="21"/>
  <c r="Q1024" i="21"/>
  <c r="P1024" i="21"/>
  <c r="O1024" i="21"/>
  <c r="O1024" i="21" a="1"/>
  <c r="V1023" i="21"/>
  <c r="U1023" i="21"/>
  <c r="T1023" i="21"/>
  <c r="S1023" i="21"/>
  <c r="R1023" i="21"/>
  <c r="Q1023" i="21"/>
  <c r="P1023" i="21"/>
  <c r="O1023" i="21"/>
  <c r="O1023" i="21" a="1"/>
  <c r="V1022" i="21"/>
  <c r="U1022" i="21"/>
  <c r="T1022" i="21"/>
  <c r="S1022" i="21"/>
  <c r="R1022" i="21"/>
  <c r="Q1022" i="21"/>
  <c r="P1022" i="21"/>
  <c r="O1022" i="21"/>
  <c r="O1022" i="21" a="1"/>
  <c r="V1021" i="21"/>
  <c r="U1021" i="21"/>
  <c r="T1021" i="21"/>
  <c r="S1021" i="21"/>
  <c r="R1021" i="21"/>
  <c r="Q1021" i="21"/>
  <c r="P1021" i="21"/>
  <c r="O1021" i="21"/>
  <c r="O1021" i="21" a="1"/>
  <c r="V1020" i="21"/>
  <c r="U1020" i="21"/>
  <c r="T1020" i="21"/>
  <c r="S1020" i="21"/>
  <c r="R1020" i="21"/>
  <c r="Q1020" i="21"/>
  <c r="P1020" i="21"/>
  <c r="O1020" i="21"/>
  <c r="O1020" i="21" a="1"/>
  <c r="V1019" i="21"/>
  <c r="U1019" i="21"/>
  <c r="T1019" i="21"/>
  <c r="S1019" i="21"/>
  <c r="R1019" i="21"/>
  <c r="Q1019" i="21"/>
  <c r="P1019" i="21"/>
  <c r="O1019" i="21"/>
  <c r="O1019" i="21" a="1"/>
  <c r="V1018" i="21"/>
  <c r="U1018" i="21"/>
  <c r="T1018" i="21"/>
  <c r="S1018" i="21"/>
  <c r="R1018" i="21"/>
  <c r="Q1018" i="21"/>
  <c r="P1018" i="21"/>
  <c r="O1018" i="21"/>
  <c r="O1018" i="21" a="1"/>
  <c r="V1017" i="21"/>
  <c r="U1017" i="21"/>
  <c r="T1017" i="21"/>
  <c r="S1017" i="21"/>
  <c r="R1017" i="21"/>
  <c r="Q1017" i="21"/>
  <c r="P1017" i="21"/>
  <c r="O1017" i="21"/>
  <c r="O1017" i="21" a="1"/>
  <c r="V1016" i="21"/>
  <c r="U1016" i="21"/>
  <c r="T1016" i="21"/>
  <c r="S1016" i="21"/>
  <c r="R1016" i="21"/>
  <c r="Q1016" i="21"/>
  <c r="P1016" i="21"/>
  <c r="O1016" i="21"/>
  <c r="O1016" i="21" a="1"/>
  <c r="V1015" i="21"/>
  <c r="U1015" i="21"/>
  <c r="T1015" i="21"/>
  <c r="S1015" i="21"/>
  <c r="R1015" i="21"/>
  <c r="Q1015" i="21"/>
  <c r="P1015" i="21"/>
  <c r="O1015" i="21"/>
  <c r="O1015" i="21" a="1"/>
  <c r="V1014" i="21"/>
  <c r="U1014" i="21"/>
  <c r="T1014" i="21"/>
  <c r="S1014" i="21"/>
  <c r="R1014" i="21"/>
  <c r="Q1014" i="21"/>
  <c r="P1014" i="21"/>
  <c r="O1014" i="21"/>
  <c r="O1014" i="21" a="1"/>
  <c r="V1013" i="21"/>
  <c r="U1013" i="21"/>
  <c r="T1013" i="21"/>
  <c r="S1013" i="21"/>
  <c r="R1013" i="21"/>
  <c r="Q1013" i="21"/>
  <c r="P1013" i="21"/>
  <c r="O1013" i="21"/>
  <c r="O1013" i="21" a="1"/>
  <c r="V1012" i="21"/>
  <c r="U1012" i="21"/>
  <c r="T1012" i="21"/>
  <c r="S1012" i="21"/>
  <c r="R1012" i="21"/>
  <c r="Q1012" i="21"/>
  <c r="P1012" i="21"/>
  <c r="O1012" i="21"/>
  <c r="O1012" i="21" a="1"/>
  <c r="V1011" i="21"/>
  <c r="U1011" i="21"/>
  <c r="T1011" i="21"/>
  <c r="S1011" i="21"/>
  <c r="R1011" i="21"/>
  <c r="Q1011" i="21"/>
  <c r="P1011" i="21"/>
  <c r="O1011" i="21"/>
  <c r="O1011" i="21" a="1"/>
  <c r="V1010" i="21"/>
  <c r="U1010" i="21"/>
  <c r="T1010" i="21"/>
  <c r="S1010" i="21"/>
  <c r="R1010" i="21"/>
  <c r="Q1010" i="21"/>
  <c r="P1010" i="21"/>
  <c r="O1010" i="21"/>
  <c r="O1010" i="21" a="1"/>
  <c r="V1009" i="21"/>
  <c r="U1009" i="21"/>
  <c r="T1009" i="21"/>
  <c r="S1009" i="21"/>
  <c r="R1009" i="21"/>
  <c r="Q1009" i="21"/>
  <c r="P1009" i="21"/>
  <c r="O1009" i="21"/>
  <c r="O1009" i="21" a="1"/>
  <c r="V1008" i="21"/>
  <c r="U1008" i="21"/>
  <c r="T1008" i="21"/>
  <c r="S1008" i="21"/>
  <c r="R1008" i="21"/>
  <c r="Q1008" i="21"/>
  <c r="P1008" i="21"/>
  <c r="O1008" i="21"/>
  <c r="O1008" i="21" a="1"/>
  <c r="V1007" i="21"/>
  <c r="U1007" i="21"/>
  <c r="T1007" i="21"/>
  <c r="S1007" i="21"/>
  <c r="R1007" i="21"/>
  <c r="Q1007" i="21"/>
  <c r="P1007" i="21"/>
  <c r="O1007" i="21"/>
  <c r="O1007" i="21" a="1"/>
  <c r="V1006" i="21"/>
  <c r="U1006" i="21"/>
  <c r="T1006" i="21"/>
  <c r="S1006" i="21"/>
  <c r="R1006" i="21"/>
  <c r="Q1006" i="21"/>
  <c r="P1006" i="21"/>
  <c r="O1006" i="21"/>
  <c r="O1006" i="21" a="1"/>
  <c r="V1005" i="21"/>
  <c r="U1005" i="21"/>
  <c r="T1005" i="21"/>
  <c r="S1005" i="21"/>
  <c r="R1005" i="21"/>
  <c r="Q1005" i="21"/>
  <c r="P1005" i="21"/>
  <c r="O1005" i="21"/>
  <c r="O1005" i="21" a="1"/>
  <c r="V1004" i="21"/>
  <c r="U1004" i="21"/>
  <c r="T1004" i="21"/>
  <c r="S1004" i="21"/>
  <c r="R1004" i="21"/>
  <c r="Q1004" i="21"/>
  <c r="P1004" i="21"/>
  <c r="O1004" i="21"/>
  <c r="O1004" i="21" a="1"/>
  <c r="V1001" i="21"/>
  <c r="U1001" i="21"/>
  <c r="T1001" i="21"/>
  <c r="S1001" i="21"/>
  <c r="R1001" i="21"/>
  <c r="Q1001" i="21"/>
  <c r="P1001" i="21"/>
  <c r="O1001" i="21"/>
  <c r="O1001" i="21" a="1"/>
  <c r="V1000" i="21"/>
  <c r="U1000" i="21"/>
  <c r="T1000" i="21"/>
  <c r="S1000" i="21"/>
  <c r="R1000" i="21"/>
  <c r="Q1000" i="21"/>
  <c r="P1000" i="21"/>
  <c r="O1000" i="21"/>
  <c r="O1000" i="21" a="1"/>
  <c r="V999" i="21"/>
  <c r="U999" i="21"/>
  <c r="T999" i="21"/>
  <c r="S999" i="21"/>
  <c r="R999" i="21"/>
  <c r="Q999" i="21"/>
  <c r="P999" i="21"/>
  <c r="O999" i="21"/>
  <c r="O999" i="21" a="1"/>
  <c r="V998" i="21"/>
  <c r="U998" i="21"/>
  <c r="T998" i="21"/>
  <c r="S998" i="21"/>
  <c r="R998" i="21"/>
  <c r="Q998" i="21"/>
  <c r="P998" i="21"/>
  <c r="O998" i="21"/>
  <c r="O998" i="21" a="1"/>
  <c r="V997" i="21"/>
  <c r="U997" i="21"/>
  <c r="T997" i="21"/>
  <c r="S997" i="21"/>
  <c r="R997" i="21"/>
  <c r="Q997" i="21"/>
  <c r="P997" i="21"/>
  <c r="O997" i="21"/>
  <c r="O997" i="21" a="1"/>
  <c r="V996" i="21"/>
  <c r="U996" i="21"/>
  <c r="T996" i="21"/>
  <c r="S996" i="21"/>
  <c r="R996" i="21"/>
  <c r="Q996" i="21"/>
  <c r="P996" i="21"/>
  <c r="O996" i="21"/>
  <c r="O996" i="21" a="1"/>
  <c r="V995" i="21"/>
  <c r="U995" i="21"/>
  <c r="T995" i="21"/>
  <c r="S995" i="21"/>
  <c r="R995" i="21"/>
  <c r="Q995" i="21"/>
  <c r="P995" i="21"/>
  <c r="O995" i="21"/>
  <c r="O995" i="21" a="1"/>
  <c r="V994" i="21"/>
  <c r="U994" i="21"/>
  <c r="T994" i="21"/>
  <c r="S994" i="21"/>
  <c r="R994" i="21"/>
  <c r="Q994" i="21"/>
  <c r="P994" i="21"/>
  <c r="O994" i="21"/>
  <c r="O994" i="21" a="1"/>
  <c r="V993" i="21"/>
  <c r="U993" i="21"/>
  <c r="T993" i="21"/>
  <c r="S993" i="21"/>
  <c r="R993" i="21"/>
  <c r="Q993" i="21"/>
  <c r="P993" i="21"/>
  <c r="O993" i="21"/>
  <c r="O993" i="21" a="1"/>
  <c r="V992" i="21"/>
  <c r="U992" i="21"/>
  <c r="T992" i="21"/>
  <c r="S992" i="21"/>
  <c r="R992" i="21"/>
  <c r="Q992" i="21"/>
  <c r="P992" i="21"/>
  <c r="O992" i="21"/>
  <c r="O992" i="21" a="1"/>
  <c r="V991" i="21"/>
  <c r="U991" i="21"/>
  <c r="T991" i="21"/>
  <c r="S991" i="21"/>
  <c r="R991" i="21"/>
  <c r="Q991" i="21"/>
  <c r="P991" i="21"/>
  <c r="O991" i="21"/>
  <c r="O991" i="21" a="1"/>
  <c r="V990" i="21"/>
  <c r="U990" i="21"/>
  <c r="T990" i="21"/>
  <c r="S990" i="21"/>
  <c r="R990" i="21"/>
  <c r="Q990" i="21"/>
  <c r="P990" i="21"/>
  <c r="O990" i="21"/>
  <c r="O990" i="21" a="1"/>
  <c r="V989" i="21"/>
  <c r="U989" i="21"/>
  <c r="T989" i="21"/>
  <c r="S989" i="21"/>
  <c r="R989" i="21"/>
  <c r="Q989" i="21"/>
  <c r="P989" i="21"/>
  <c r="O989" i="21"/>
  <c r="O989" i="21" a="1"/>
  <c r="V988" i="21"/>
  <c r="U988" i="21"/>
  <c r="T988" i="21"/>
  <c r="S988" i="21"/>
  <c r="R988" i="21"/>
  <c r="Q988" i="21"/>
  <c r="P988" i="21"/>
  <c r="O988" i="21"/>
  <c r="O988" i="21" a="1"/>
  <c r="V987" i="21"/>
  <c r="U987" i="21"/>
  <c r="T987" i="21"/>
  <c r="S987" i="21"/>
  <c r="R987" i="21"/>
  <c r="Q987" i="21"/>
  <c r="P987" i="21"/>
  <c r="O987" i="21"/>
  <c r="O987" i="21" a="1"/>
  <c r="V986" i="21"/>
  <c r="U986" i="21"/>
  <c r="T986" i="21"/>
  <c r="S986" i="21"/>
  <c r="R986" i="21"/>
  <c r="Q986" i="21"/>
  <c r="P986" i="21"/>
  <c r="O986" i="21"/>
  <c r="O986" i="21" a="1"/>
  <c r="V985" i="21"/>
  <c r="U985" i="21"/>
  <c r="T985" i="21"/>
  <c r="S985" i="21"/>
  <c r="R985" i="21"/>
  <c r="Q985" i="21"/>
  <c r="P985" i="21"/>
  <c r="O985" i="21"/>
  <c r="O985" i="21" a="1"/>
  <c r="V984" i="21"/>
  <c r="U984" i="21"/>
  <c r="T984" i="21"/>
  <c r="S984" i="21"/>
  <c r="R984" i="21"/>
  <c r="Q984" i="21"/>
  <c r="P984" i="21"/>
  <c r="O984" i="21"/>
  <c r="O984" i="21" a="1"/>
  <c r="V983" i="21"/>
  <c r="U983" i="21"/>
  <c r="T983" i="21"/>
  <c r="S983" i="21"/>
  <c r="R983" i="21"/>
  <c r="Q983" i="21"/>
  <c r="P983" i="21"/>
  <c r="O983" i="21"/>
  <c r="O983" i="21" a="1"/>
  <c r="V982" i="21"/>
  <c r="U982" i="21"/>
  <c r="T982" i="21"/>
  <c r="S982" i="21"/>
  <c r="R982" i="21"/>
  <c r="Q982" i="21"/>
  <c r="P982" i="21"/>
  <c r="O982" i="21"/>
  <c r="O982" i="21" a="1"/>
  <c r="V981" i="21"/>
  <c r="U981" i="21"/>
  <c r="T981" i="21"/>
  <c r="S981" i="21"/>
  <c r="R981" i="21"/>
  <c r="Q981" i="21"/>
  <c r="P981" i="21"/>
  <c r="O981" i="21"/>
  <c r="O981" i="21" a="1"/>
  <c r="V980" i="21"/>
  <c r="U980" i="21"/>
  <c r="T980" i="21"/>
  <c r="S980" i="21"/>
  <c r="R980" i="21"/>
  <c r="Q980" i="21"/>
  <c r="P980" i="21"/>
  <c r="O980" i="21"/>
  <c r="O980" i="21" a="1"/>
  <c r="V979" i="21"/>
  <c r="U979" i="21"/>
  <c r="T979" i="21"/>
  <c r="S979" i="21"/>
  <c r="R979" i="21"/>
  <c r="Q979" i="21"/>
  <c r="P979" i="21"/>
  <c r="O979" i="21"/>
  <c r="O979" i="21" a="1"/>
  <c r="V978" i="21"/>
  <c r="U978" i="21"/>
  <c r="T978" i="21"/>
  <c r="S978" i="21"/>
  <c r="R978" i="21"/>
  <c r="Q978" i="21"/>
  <c r="P978" i="21"/>
  <c r="O978" i="21"/>
  <c r="O978" i="21" a="1"/>
  <c r="V977" i="21"/>
  <c r="U977" i="21"/>
  <c r="T977" i="21"/>
  <c r="S977" i="21"/>
  <c r="R977" i="21"/>
  <c r="Q977" i="21"/>
  <c r="P977" i="21"/>
  <c r="O977" i="21"/>
  <c r="O977" i="21" a="1"/>
  <c r="V976" i="21"/>
  <c r="U976" i="21"/>
  <c r="T976" i="21"/>
  <c r="S976" i="21"/>
  <c r="R976" i="21"/>
  <c r="Q976" i="21"/>
  <c r="P976" i="21"/>
  <c r="O976" i="21"/>
  <c r="O976" i="21" a="1"/>
  <c r="V975" i="21"/>
  <c r="U975" i="21"/>
  <c r="T975" i="21"/>
  <c r="S975" i="21"/>
  <c r="R975" i="21"/>
  <c r="Q975" i="21"/>
  <c r="P975" i="21"/>
  <c r="O975" i="21"/>
  <c r="O975" i="21" a="1"/>
  <c r="V974" i="21"/>
  <c r="U974" i="21"/>
  <c r="T974" i="21"/>
  <c r="S974" i="21"/>
  <c r="R974" i="21"/>
  <c r="Q974" i="21"/>
  <c r="P974" i="21"/>
  <c r="O974" i="21"/>
  <c r="O974" i="21" a="1"/>
  <c r="V973" i="21"/>
  <c r="U973" i="21"/>
  <c r="T973" i="21"/>
  <c r="S973" i="21"/>
  <c r="R973" i="21"/>
  <c r="Q973" i="21"/>
  <c r="P973" i="21"/>
  <c r="O973" i="21"/>
  <c r="O973" i="21" a="1"/>
  <c r="V972" i="21"/>
  <c r="U972" i="21"/>
  <c r="T972" i="21"/>
  <c r="S972" i="21"/>
  <c r="R972" i="21"/>
  <c r="Q972" i="21"/>
  <c r="P972" i="21"/>
  <c r="O972" i="21"/>
  <c r="O972" i="21" a="1"/>
  <c r="V971" i="21"/>
  <c r="U971" i="21"/>
  <c r="T971" i="21"/>
  <c r="S971" i="21"/>
  <c r="R971" i="21"/>
  <c r="Q971" i="21"/>
  <c r="P971" i="21"/>
  <c r="O971" i="21"/>
  <c r="O971" i="21" a="1"/>
  <c r="V970" i="21"/>
  <c r="U970" i="21"/>
  <c r="T970" i="21"/>
  <c r="S970" i="21"/>
  <c r="R970" i="21"/>
  <c r="Q970" i="21"/>
  <c r="P970" i="21"/>
  <c r="O970" i="21"/>
  <c r="O970" i="21" a="1"/>
  <c r="V969" i="21"/>
  <c r="U969" i="21"/>
  <c r="T969" i="21"/>
  <c r="S969" i="21"/>
  <c r="R969" i="21"/>
  <c r="Q969" i="21"/>
  <c r="P969" i="21"/>
  <c r="O969" i="21"/>
  <c r="O969" i="21" a="1"/>
  <c r="V968" i="21"/>
  <c r="U968" i="21"/>
  <c r="T968" i="21"/>
  <c r="S968" i="21"/>
  <c r="R968" i="21"/>
  <c r="Q968" i="21"/>
  <c r="P968" i="21"/>
  <c r="O968" i="21"/>
  <c r="O968" i="21" a="1"/>
  <c r="V967" i="21"/>
  <c r="U967" i="21"/>
  <c r="T967" i="21"/>
  <c r="S967" i="21"/>
  <c r="R967" i="21"/>
  <c r="Q967" i="21"/>
  <c r="P967" i="21"/>
  <c r="O967" i="21"/>
  <c r="O967" i="21" a="1"/>
  <c r="V966" i="21"/>
  <c r="U966" i="21"/>
  <c r="T966" i="21"/>
  <c r="S966" i="21"/>
  <c r="R966" i="21"/>
  <c r="Q966" i="21"/>
  <c r="P966" i="21"/>
  <c r="O966" i="21"/>
  <c r="O966" i="21" a="1"/>
  <c r="V965" i="21"/>
  <c r="U965" i="21"/>
  <c r="T965" i="21"/>
  <c r="S965" i="21"/>
  <c r="R965" i="21"/>
  <c r="Q965" i="21"/>
  <c r="P965" i="21"/>
  <c r="O965" i="21"/>
  <c r="O965" i="21" a="1"/>
  <c r="V964" i="21"/>
  <c r="U964" i="21"/>
  <c r="T964" i="21"/>
  <c r="S964" i="21"/>
  <c r="R964" i="21"/>
  <c r="Q964" i="21"/>
  <c r="P964" i="21"/>
  <c r="O964" i="21"/>
  <c r="O964" i="21" a="1"/>
  <c r="V963" i="21"/>
  <c r="U963" i="21"/>
  <c r="T963" i="21"/>
  <c r="S963" i="21"/>
  <c r="R963" i="21"/>
  <c r="Q963" i="21"/>
  <c r="P963" i="21"/>
  <c r="O963" i="21"/>
  <c r="O963" i="21" a="1"/>
  <c r="V962" i="21"/>
  <c r="U962" i="21"/>
  <c r="T962" i="21"/>
  <c r="S962" i="21"/>
  <c r="R962" i="21"/>
  <c r="Q962" i="21"/>
  <c r="P962" i="21"/>
  <c r="O962" i="21"/>
  <c r="O962" i="21" a="1"/>
  <c r="V961" i="21"/>
  <c r="U961" i="21"/>
  <c r="T961" i="21"/>
  <c r="S961" i="21"/>
  <c r="R961" i="21"/>
  <c r="Q961" i="21"/>
  <c r="P961" i="21"/>
  <c r="O961" i="21"/>
  <c r="O961" i="21" a="1"/>
  <c r="V960" i="21"/>
  <c r="U960" i="21"/>
  <c r="T960" i="21"/>
  <c r="S960" i="21"/>
  <c r="R960" i="21"/>
  <c r="Q960" i="21"/>
  <c r="P960" i="21"/>
  <c r="O960" i="21"/>
  <c r="O960" i="21" a="1"/>
  <c r="V959" i="21"/>
  <c r="U959" i="21"/>
  <c r="T959" i="21"/>
  <c r="S959" i="21"/>
  <c r="R959" i="21"/>
  <c r="Q959" i="21"/>
  <c r="P959" i="21"/>
  <c r="O959" i="21"/>
  <c r="O959" i="21" a="1"/>
  <c r="V958" i="21"/>
  <c r="U958" i="21"/>
  <c r="T958" i="21"/>
  <c r="S958" i="21"/>
  <c r="R958" i="21"/>
  <c r="Q958" i="21"/>
  <c r="P958" i="21"/>
  <c r="O958" i="21"/>
  <c r="O958" i="21" a="1"/>
  <c r="V957" i="21"/>
  <c r="U957" i="21"/>
  <c r="T957" i="21"/>
  <c r="S957" i="21"/>
  <c r="R957" i="21"/>
  <c r="Q957" i="21"/>
  <c r="P957" i="21"/>
  <c r="O957" i="21"/>
  <c r="O957" i="21" a="1"/>
  <c r="V956" i="21"/>
  <c r="U956" i="21"/>
  <c r="T956" i="21"/>
  <c r="S956" i="21"/>
  <c r="R956" i="21"/>
  <c r="Q956" i="21"/>
  <c r="P956" i="21"/>
  <c r="O956" i="21"/>
  <c r="O956" i="21" a="1"/>
  <c r="V955" i="21"/>
  <c r="U955" i="21"/>
  <c r="T955" i="21"/>
  <c r="S955" i="21"/>
  <c r="R955" i="21"/>
  <c r="Q955" i="21"/>
  <c r="P955" i="21"/>
  <c r="O955" i="21"/>
  <c r="O955" i="21" a="1"/>
  <c r="V954" i="21"/>
  <c r="U954" i="21"/>
  <c r="T954" i="21"/>
  <c r="S954" i="21"/>
  <c r="R954" i="21"/>
  <c r="Q954" i="21"/>
  <c r="P954" i="21"/>
  <c r="O954" i="21"/>
  <c r="O954" i="21" a="1"/>
  <c r="V953" i="21"/>
  <c r="U953" i="21"/>
  <c r="T953" i="21"/>
  <c r="S953" i="21"/>
  <c r="R953" i="21"/>
  <c r="Q953" i="21"/>
  <c r="P953" i="21"/>
  <c r="O953" i="21"/>
  <c r="O953" i="21" a="1"/>
  <c r="V952" i="21"/>
  <c r="U952" i="21"/>
  <c r="T952" i="21"/>
  <c r="S952" i="21"/>
  <c r="R952" i="21"/>
  <c r="Q952" i="21"/>
  <c r="P952" i="21"/>
  <c r="O952" i="21"/>
  <c r="O952" i="21" a="1"/>
  <c r="V951" i="21"/>
  <c r="U951" i="21"/>
  <c r="T951" i="21"/>
  <c r="S951" i="21"/>
  <c r="R951" i="21"/>
  <c r="Q951" i="21"/>
  <c r="P951" i="21"/>
  <c r="O951" i="21"/>
  <c r="O951" i="21" a="1"/>
  <c r="V950" i="21"/>
  <c r="U950" i="21"/>
  <c r="T950" i="21"/>
  <c r="S950" i="21"/>
  <c r="R950" i="21"/>
  <c r="Q950" i="21"/>
  <c r="P950" i="21"/>
  <c r="O950" i="21"/>
  <c r="O950" i="21" a="1"/>
  <c r="V949" i="21"/>
  <c r="U949" i="21"/>
  <c r="T949" i="21"/>
  <c r="S949" i="21"/>
  <c r="R949" i="21"/>
  <c r="Q949" i="21"/>
  <c r="P949" i="21"/>
  <c r="O949" i="21"/>
  <c r="O949" i="21" a="1"/>
  <c r="V948" i="21"/>
  <c r="U948" i="21"/>
  <c r="T948" i="21"/>
  <c r="S948" i="21"/>
  <c r="R948" i="21"/>
  <c r="Q948" i="21"/>
  <c r="P948" i="21"/>
  <c r="O948" i="21"/>
  <c r="O948" i="21" a="1"/>
  <c r="V947" i="21"/>
  <c r="U947" i="21"/>
  <c r="T947" i="21"/>
  <c r="S947" i="21"/>
  <c r="R947" i="21"/>
  <c r="Q947" i="21"/>
  <c r="P947" i="21"/>
  <c r="O947" i="21"/>
  <c r="O947" i="21" a="1"/>
  <c r="V946" i="21"/>
  <c r="U946" i="21"/>
  <c r="T946" i="21"/>
  <c r="S946" i="21"/>
  <c r="R946" i="21"/>
  <c r="Q946" i="21"/>
  <c r="P946" i="21"/>
  <c r="O946" i="21"/>
  <c r="O946" i="21" a="1"/>
  <c r="V945" i="21"/>
  <c r="U945" i="21"/>
  <c r="T945" i="21"/>
  <c r="S945" i="21"/>
  <c r="R945" i="21"/>
  <c r="Q945" i="21"/>
  <c r="P945" i="21"/>
  <c r="O945" i="21"/>
  <c r="O945" i="21" a="1"/>
  <c r="V944" i="21"/>
  <c r="U944" i="21"/>
  <c r="T944" i="21"/>
  <c r="S944" i="21"/>
  <c r="R944" i="21"/>
  <c r="Q944" i="21"/>
  <c r="P944" i="21"/>
  <c r="O944" i="21"/>
  <c r="O944" i="21" a="1"/>
  <c r="V943" i="21"/>
  <c r="U943" i="21"/>
  <c r="T943" i="21"/>
  <c r="S943" i="21"/>
  <c r="R943" i="21"/>
  <c r="Q943" i="21"/>
  <c r="P943" i="21"/>
  <c r="O943" i="21"/>
  <c r="O943" i="21" a="1"/>
  <c r="V942" i="21"/>
  <c r="U942" i="21"/>
  <c r="T942" i="21"/>
  <c r="S942" i="21"/>
  <c r="R942" i="21"/>
  <c r="Q942" i="21"/>
  <c r="P942" i="21"/>
  <c r="O942" i="21"/>
  <c r="O942" i="21" a="1"/>
  <c r="V941" i="21"/>
  <c r="U941" i="21"/>
  <c r="T941" i="21"/>
  <c r="S941" i="21"/>
  <c r="R941" i="21"/>
  <c r="Q941" i="21"/>
  <c r="P941" i="21"/>
  <c r="O941" i="21"/>
  <c r="O941" i="21" a="1"/>
  <c r="V940" i="21"/>
  <c r="U940" i="21"/>
  <c r="T940" i="21"/>
  <c r="S940" i="21"/>
  <c r="R940" i="21"/>
  <c r="Q940" i="21"/>
  <c r="P940" i="21"/>
  <c r="O940" i="21"/>
  <c r="O940" i="21" a="1"/>
  <c r="V939" i="21"/>
  <c r="U939" i="21"/>
  <c r="T939" i="21"/>
  <c r="S939" i="21"/>
  <c r="R939" i="21"/>
  <c r="Q939" i="21"/>
  <c r="P939" i="21"/>
  <c r="O939" i="21"/>
  <c r="O939" i="21" a="1"/>
  <c r="V938" i="21"/>
  <c r="U938" i="21"/>
  <c r="T938" i="21"/>
  <c r="S938" i="21"/>
  <c r="R938" i="21"/>
  <c r="Q938" i="21"/>
  <c r="P938" i="21"/>
  <c r="O938" i="21"/>
  <c r="O938" i="21" a="1"/>
  <c r="V937" i="21"/>
  <c r="U937" i="21"/>
  <c r="T937" i="21"/>
  <c r="S937" i="21"/>
  <c r="R937" i="21"/>
  <c r="Q937" i="21"/>
  <c r="P937" i="21"/>
  <c r="O937" i="21"/>
  <c r="O937" i="21" a="1"/>
  <c r="V936" i="21"/>
  <c r="U936" i="21"/>
  <c r="T936" i="21"/>
  <c r="S936" i="21"/>
  <c r="R936" i="21"/>
  <c r="Q936" i="21"/>
  <c r="P936" i="21"/>
  <c r="O936" i="21"/>
  <c r="O936" i="21" a="1"/>
  <c r="V935" i="21"/>
  <c r="U935" i="21"/>
  <c r="T935" i="21"/>
  <c r="S935" i="21"/>
  <c r="R935" i="21"/>
  <c r="Q935" i="21"/>
  <c r="P935" i="21"/>
  <c r="O935" i="21"/>
  <c r="O935" i="21" a="1"/>
  <c r="V934" i="21"/>
  <c r="U934" i="21"/>
  <c r="T934" i="21"/>
  <c r="S934" i="21"/>
  <c r="R934" i="21"/>
  <c r="Q934" i="21"/>
  <c r="P934" i="21"/>
  <c r="O934" i="21"/>
  <c r="O934" i="21" a="1"/>
  <c r="V933" i="21"/>
  <c r="U933" i="21"/>
  <c r="T933" i="21"/>
  <c r="S933" i="21"/>
  <c r="R933" i="21"/>
  <c r="Q933" i="21"/>
  <c r="P933" i="21"/>
  <c r="O933" i="21"/>
  <c r="O933" i="21" a="1"/>
  <c r="V932" i="21"/>
  <c r="U932" i="21"/>
  <c r="T932" i="21"/>
  <c r="S932" i="21"/>
  <c r="R932" i="21"/>
  <c r="Q932" i="21"/>
  <c r="P932" i="21"/>
  <c r="O932" i="21"/>
  <c r="O932" i="21" a="1"/>
  <c r="V931" i="21"/>
  <c r="U931" i="21"/>
  <c r="T931" i="21"/>
  <c r="S931" i="21"/>
  <c r="R931" i="21"/>
  <c r="Q931" i="21"/>
  <c r="P931" i="21"/>
  <c r="O931" i="21"/>
  <c r="O931" i="21" a="1"/>
  <c r="V930" i="21"/>
  <c r="U930" i="21"/>
  <c r="T930" i="21"/>
  <c r="S930" i="21"/>
  <c r="R930" i="21"/>
  <c r="Q930" i="21"/>
  <c r="P930" i="21"/>
  <c r="O930" i="21"/>
  <c r="O930" i="21" a="1"/>
  <c r="V929" i="21"/>
  <c r="U929" i="21"/>
  <c r="T929" i="21"/>
  <c r="S929" i="21"/>
  <c r="R929" i="21"/>
  <c r="Q929" i="21"/>
  <c r="P929" i="21"/>
  <c r="O929" i="21"/>
  <c r="O929" i="21" a="1"/>
  <c r="V928" i="21"/>
  <c r="U928" i="21"/>
  <c r="T928" i="21"/>
  <c r="S928" i="21"/>
  <c r="R928" i="21"/>
  <c r="Q928" i="21"/>
  <c r="P928" i="21"/>
  <c r="O928" i="21"/>
  <c r="O928" i="21" a="1"/>
  <c r="V927" i="21"/>
  <c r="U927" i="21"/>
  <c r="T927" i="21"/>
  <c r="S927" i="21"/>
  <c r="R927" i="21"/>
  <c r="Q927" i="21"/>
  <c r="P927" i="21"/>
  <c r="O927" i="21"/>
  <c r="O927" i="21" a="1"/>
  <c r="V926" i="21"/>
  <c r="U926" i="21"/>
  <c r="T926" i="21"/>
  <c r="S926" i="21"/>
  <c r="R926" i="21"/>
  <c r="Q926" i="21"/>
  <c r="P926" i="21"/>
  <c r="O926" i="21"/>
  <c r="O926" i="21" a="1"/>
  <c r="V925" i="21"/>
  <c r="U925" i="21"/>
  <c r="T925" i="21"/>
  <c r="S925" i="21"/>
  <c r="R925" i="21"/>
  <c r="Q925" i="21"/>
  <c r="P925" i="21"/>
  <c r="O925" i="21"/>
  <c r="O925" i="21" a="1"/>
  <c r="V924" i="21"/>
  <c r="U924" i="21"/>
  <c r="T924" i="21"/>
  <c r="S924" i="21"/>
  <c r="R924" i="21"/>
  <c r="Q924" i="21"/>
  <c r="P924" i="21"/>
  <c r="O924" i="21"/>
  <c r="O924" i="21" a="1"/>
  <c r="V923" i="21"/>
  <c r="U923" i="21"/>
  <c r="T923" i="21"/>
  <c r="S923" i="21"/>
  <c r="R923" i="21"/>
  <c r="Q923" i="21"/>
  <c r="P923" i="21"/>
  <c r="O923" i="21"/>
  <c r="O923" i="21" a="1"/>
  <c r="V922" i="21"/>
  <c r="U922" i="21"/>
  <c r="T922" i="21"/>
  <c r="S922" i="21"/>
  <c r="R922" i="21"/>
  <c r="Q922" i="21"/>
  <c r="P922" i="21"/>
  <c r="O922" i="21"/>
  <c r="O922" i="21" a="1"/>
  <c r="V921" i="21"/>
  <c r="U921" i="21"/>
  <c r="T921" i="21"/>
  <c r="S921" i="21"/>
  <c r="R921" i="21"/>
  <c r="Q921" i="21"/>
  <c r="P921" i="21"/>
  <c r="O921" i="21"/>
  <c r="O921" i="21" a="1"/>
  <c r="V920" i="21"/>
  <c r="U920" i="21"/>
  <c r="T920" i="21"/>
  <c r="S920" i="21"/>
  <c r="R920" i="21"/>
  <c r="Q920" i="21"/>
  <c r="P920" i="21"/>
  <c r="O920" i="21"/>
  <c r="O920" i="21" a="1"/>
  <c r="V919" i="21"/>
  <c r="U919" i="21"/>
  <c r="T919" i="21"/>
  <c r="S919" i="21"/>
  <c r="R919" i="21"/>
  <c r="Q919" i="21"/>
  <c r="P919" i="21"/>
  <c r="O919" i="21"/>
  <c r="O919" i="21" a="1"/>
  <c r="V918" i="21"/>
  <c r="U918" i="21"/>
  <c r="T918" i="21"/>
  <c r="S918" i="21"/>
  <c r="R918" i="21"/>
  <c r="Q918" i="21"/>
  <c r="P918" i="21"/>
  <c r="O918" i="21"/>
  <c r="O918" i="21" a="1"/>
  <c r="V917" i="21"/>
  <c r="U917" i="21"/>
  <c r="T917" i="21"/>
  <c r="S917" i="21"/>
  <c r="R917" i="21"/>
  <c r="Q917" i="21"/>
  <c r="P917" i="21"/>
  <c r="O917" i="21"/>
  <c r="O917" i="21" a="1"/>
  <c r="V916" i="21"/>
  <c r="U916" i="21"/>
  <c r="T916" i="21"/>
  <c r="S916" i="21"/>
  <c r="R916" i="21"/>
  <c r="Q916" i="21"/>
  <c r="P916" i="21"/>
  <c r="O916" i="21"/>
  <c r="O916" i="21" a="1"/>
  <c r="V915" i="21"/>
  <c r="U915" i="21"/>
  <c r="T915" i="21"/>
  <c r="S915" i="21"/>
  <c r="R915" i="21"/>
  <c r="Q915" i="21"/>
  <c r="P915" i="21"/>
  <c r="O915" i="21"/>
  <c r="O915" i="21" a="1"/>
  <c r="V914" i="21"/>
  <c r="U914" i="21"/>
  <c r="T914" i="21"/>
  <c r="S914" i="21"/>
  <c r="R914" i="21"/>
  <c r="Q914" i="21"/>
  <c r="P914" i="21"/>
  <c r="O914" i="21"/>
  <c r="O914" i="21" a="1"/>
  <c r="V913" i="21"/>
  <c r="U913" i="21"/>
  <c r="T913" i="21"/>
  <c r="S913" i="21"/>
  <c r="R913" i="21"/>
  <c r="Q913" i="21"/>
  <c r="P913" i="21"/>
  <c r="O913" i="21"/>
  <c r="O913" i="21" a="1"/>
  <c r="V912" i="21"/>
  <c r="U912" i="21"/>
  <c r="T912" i="21"/>
  <c r="S912" i="21"/>
  <c r="R912" i="21"/>
  <c r="Q912" i="21"/>
  <c r="P912" i="21"/>
  <c r="O912" i="21"/>
  <c r="O912" i="21" a="1"/>
  <c r="V911" i="21"/>
  <c r="U911" i="21"/>
  <c r="T911" i="21"/>
  <c r="S911" i="21"/>
  <c r="R911" i="21"/>
  <c r="Q911" i="21"/>
  <c r="P911" i="21"/>
  <c r="O911" i="21"/>
  <c r="O911" i="21" a="1"/>
  <c r="V910" i="21"/>
  <c r="U910" i="21"/>
  <c r="T910" i="21"/>
  <c r="S910" i="21"/>
  <c r="R910" i="21"/>
  <c r="Q910" i="21"/>
  <c r="P910" i="21"/>
  <c r="O910" i="21"/>
  <c r="O910" i="21" a="1"/>
  <c r="V909" i="21"/>
  <c r="U909" i="21"/>
  <c r="T909" i="21"/>
  <c r="S909" i="21"/>
  <c r="R909" i="21"/>
  <c r="Q909" i="21"/>
  <c r="P909" i="21"/>
  <c r="O909" i="21"/>
  <c r="O909" i="21" a="1"/>
  <c r="V908" i="21"/>
  <c r="U908" i="21"/>
  <c r="T908" i="21"/>
  <c r="S908" i="21"/>
  <c r="R908" i="21"/>
  <c r="Q908" i="21"/>
  <c r="P908" i="21"/>
  <c r="O908" i="21"/>
  <c r="O908" i="21" a="1"/>
  <c r="V907" i="21"/>
  <c r="U907" i="21"/>
  <c r="T907" i="21"/>
  <c r="S907" i="21"/>
  <c r="R907" i="21"/>
  <c r="Q907" i="21"/>
  <c r="P907" i="21"/>
  <c r="O907" i="21"/>
  <c r="O907" i="21" a="1"/>
  <c r="V906" i="21"/>
  <c r="U906" i="21"/>
  <c r="T906" i="21"/>
  <c r="S906" i="21"/>
  <c r="R906" i="21"/>
  <c r="Q906" i="21"/>
  <c r="P906" i="21"/>
  <c r="O906" i="21"/>
  <c r="O906" i="21" a="1"/>
  <c r="V905" i="21"/>
  <c r="U905" i="21"/>
  <c r="T905" i="21"/>
  <c r="S905" i="21"/>
  <c r="R905" i="21"/>
  <c r="Q905" i="21"/>
  <c r="P905" i="21"/>
  <c r="O905" i="21"/>
  <c r="O905" i="21" a="1"/>
  <c r="V904" i="21"/>
  <c r="U904" i="21"/>
  <c r="T904" i="21"/>
  <c r="S904" i="21"/>
  <c r="R904" i="21"/>
  <c r="Q904" i="21"/>
  <c r="P904" i="21"/>
  <c r="O904" i="21"/>
  <c r="O904" i="21" a="1"/>
  <c r="V903" i="21"/>
  <c r="U903" i="21"/>
  <c r="T903" i="21"/>
  <c r="S903" i="21"/>
  <c r="R903" i="21"/>
  <c r="Q903" i="21"/>
  <c r="P903" i="21"/>
  <c r="O903" i="21"/>
  <c r="O903" i="21" a="1"/>
  <c r="V902" i="21"/>
  <c r="U902" i="21"/>
  <c r="T902" i="21"/>
  <c r="S902" i="21"/>
  <c r="R902" i="21"/>
  <c r="Q902" i="21"/>
  <c r="P902" i="21"/>
  <c r="O902" i="21"/>
  <c r="O902" i="21" a="1"/>
  <c r="V901" i="21"/>
  <c r="U901" i="21"/>
  <c r="T901" i="21"/>
  <c r="S901" i="21"/>
  <c r="R901" i="21"/>
  <c r="Q901" i="21"/>
  <c r="P901" i="21"/>
  <c r="O901" i="21"/>
  <c r="O901" i="21" a="1"/>
  <c r="V900" i="21"/>
  <c r="U900" i="21"/>
  <c r="T900" i="21"/>
  <c r="S900" i="21"/>
  <c r="R900" i="21"/>
  <c r="Q900" i="21"/>
  <c r="P900" i="21"/>
  <c r="O900" i="21"/>
  <c r="O900" i="21" a="1"/>
  <c r="V899" i="21"/>
  <c r="U899" i="21"/>
  <c r="T899" i="21"/>
  <c r="S899" i="21"/>
  <c r="R899" i="21"/>
  <c r="Q899" i="21"/>
  <c r="P899" i="21"/>
  <c r="O899" i="21"/>
  <c r="O899" i="21" a="1"/>
  <c r="V898" i="21"/>
  <c r="U898" i="21"/>
  <c r="T898" i="21"/>
  <c r="S898" i="21"/>
  <c r="R898" i="21"/>
  <c r="Q898" i="21"/>
  <c r="P898" i="21"/>
  <c r="O898" i="21"/>
  <c r="O898" i="21" a="1"/>
  <c r="V897" i="21"/>
  <c r="U897" i="21"/>
  <c r="T897" i="21"/>
  <c r="S897" i="21"/>
  <c r="R897" i="21"/>
  <c r="Q897" i="21"/>
  <c r="P897" i="21"/>
  <c r="O897" i="21"/>
  <c r="O897" i="21" a="1"/>
  <c r="V896" i="21"/>
  <c r="U896" i="21"/>
  <c r="T896" i="21"/>
  <c r="S896" i="21"/>
  <c r="R896" i="21"/>
  <c r="Q896" i="21"/>
  <c r="P896" i="21"/>
  <c r="O896" i="21"/>
  <c r="O896" i="21" a="1"/>
  <c r="V895" i="21"/>
  <c r="U895" i="21"/>
  <c r="T895" i="21"/>
  <c r="S895" i="21"/>
  <c r="R895" i="21"/>
  <c r="Q895" i="21"/>
  <c r="P895" i="21"/>
  <c r="O895" i="21"/>
  <c r="O895" i="21" a="1"/>
  <c r="V894" i="21"/>
  <c r="U894" i="21"/>
  <c r="T894" i="21"/>
  <c r="S894" i="21"/>
  <c r="R894" i="21"/>
  <c r="Q894" i="21"/>
  <c r="P894" i="21"/>
  <c r="O894" i="21"/>
  <c r="O894" i="21" a="1"/>
  <c r="V893" i="21"/>
  <c r="U893" i="21"/>
  <c r="T893" i="21"/>
  <c r="S893" i="21"/>
  <c r="R893" i="21"/>
  <c r="Q893" i="21"/>
  <c r="P893" i="21"/>
  <c r="O893" i="21"/>
  <c r="O893" i="21" a="1"/>
  <c r="V892" i="21"/>
  <c r="U892" i="21"/>
  <c r="T892" i="21"/>
  <c r="S892" i="21"/>
  <c r="R892" i="21"/>
  <c r="Q892" i="21"/>
  <c r="P892" i="21"/>
  <c r="O892" i="21"/>
  <c r="O892" i="21" a="1"/>
  <c r="V891" i="21"/>
  <c r="U891" i="21"/>
  <c r="T891" i="21"/>
  <c r="S891" i="21"/>
  <c r="R891" i="21"/>
  <c r="Q891" i="21"/>
  <c r="P891" i="21"/>
  <c r="O891" i="21"/>
  <c r="O891" i="21" a="1"/>
  <c r="V890" i="21"/>
  <c r="U890" i="21"/>
  <c r="T890" i="21"/>
  <c r="S890" i="21"/>
  <c r="R890" i="21"/>
  <c r="Q890" i="21"/>
  <c r="P890" i="21"/>
  <c r="O890" i="21"/>
  <c r="O890" i="21" a="1"/>
  <c r="V889" i="21"/>
  <c r="U889" i="21"/>
  <c r="T889" i="21"/>
  <c r="S889" i="21"/>
  <c r="R889" i="21"/>
  <c r="Q889" i="21"/>
  <c r="P889" i="21"/>
  <c r="O889" i="21"/>
  <c r="O889" i="21" a="1"/>
  <c r="V888" i="21"/>
  <c r="U888" i="21"/>
  <c r="T888" i="21"/>
  <c r="S888" i="21"/>
  <c r="R888" i="21"/>
  <c r="Q888" i="21"/>
  <c r="P888" i="21"/>
  <c r="O888" i="21"/>
  <c r="O888" i="21" a="1"/>
  <c r="V887" i="21"/>
  <c r="U887" i="21"/>
  <c r="T887" i="21"/>
  <c r="S887" i="21"/>
  <c r="R887" i="21"/>
  <c r="Q887" i="21"/>
  <c r="P887" i="21"/>
  <c r="O887" i="21"/>
  <c r="O887" i="21" a="1"/>
  <c r="V886" i="21"/>
  <c r="U886" i="21"/>
  <c r="T886" i="21"/>
  <c r="S886" i="21"/>
  <c r="R886" i="21"/>
  <c r="Q886" i="21"/>
  <c r="P886" i="21"/>
  <c r="O886" i="21"/>
  <c r="O886" i="21" a="1"/>
  <c r="V885" i="21"/>
  <c r="U885" i="21"/>
  <c r="T885" i="21"/>
  <c r="S885" i="21"/>
  <c r="R885" i="21"/>
  <c r="Q885" i="21"/>
  <c r="P885" i="21"/>
  <c r="O885" i="21"/>
  <c r="O885" i="21" a="1"/>
  <c r="V884" i="21"/>
  <c r="U884" i="21"/>
  <c r="T884" i="21"/>
  <c r="S884" i="21"/>
  <c r="R884" i="21"/>
  <c r="Q884" i="21"/>
  <c r="P884" i="21"/>
  <c r="O884" i="21"/>
  <c r="O884" i="21" a="1"/>
  <c r="V883" i="21"/>
  <c r="U883" i="21"/>
  <c r="T883" i="21"/>
  <c r="S883" i="21"/>
  <c r="R883" i="21"/>
  <c r="Q883" i="21"/>
  <c r="P883" i="21"/>
  <c r="O883" i="21"/>
  <c r="O883" i="21" a="1"/>
  <c r="V882" i="21"/>
  <c r="U882" i="21"/>
  <c r="T882" i="21"/>
  <c r="S882" i="21"/>
  <c r="R882" i="21"/>
  <c r="Q882" i="21"/>
  <c r="P882" i="21"/>
  <c r="O882" i="21"/>
  <c r="O882" i="21" a="1"/>
  <c r="V881" i="21"/>
  <c r="U881" i="21"/>
  <c r="T881" i="21"/>
  <c r="S881" i="21"/>
  <c r="R881" i="21"/>
  <c r="Q881" i="21"/>
  <c r="P881" i="21"/>
  <c r="O881" i="21"/>
  <c r="O881" i="21" a="1"/>
  <c r="V880" i="21"/>
  <c r="U880" i="21"/>
  <c r="T880" i="21"/>
  <c r="S880" i="21"/>
  <c r="R880" i="21"/>
  <c r="Q880" i="21"/>
  <c r="P880" i="21"/>
  <c r="O880" i="21"/>
  <c r="O880" i="21" a="1"/>
  <c r="V879" i="21"/>
  <c r="U879" i="21"/>
  <c r="T879" i="21"/>
  <c r="S879" i="21"/>
  <c r="R879" i="21"/>
  <c r="Q879" i="21"/>
  <c r="P879" i="21"/>
  <c r="O879" i="21"/>
  <c r="O879" i="21" a="1"/>
  <c r="V878" i="21"/>
  <c r="U878" i="21"/>
  <c r="T878" i="21"/>
  <c r="S878" i="21"/>
  <c r="R878" i="21"/>
  <c r="Q878" i="21"/>
  <c r="P878" i="21"/>
  <c r="O878" i="21"/>
  <c r="O878" i="21" a="1"/>
  <c r="V877" i="21"/>
  <c r="U877" i="21"/>
  <c r="T877" i="21"/>
  <c r="S877" i="21"/>
  <c r="R877" i="21"/>
  <c r="Q877" i="21"/>
  <c r="P877" i="21"/>
  <c r="O877" i="21"/>
  <c r="O877" i="21" a="1"/>
  <c r="V876" i="21"/>
  <c r="U876" i="21"/>
  <c r="T876" i="21"/>
  <c r="S876" i="21"/>
  <c r="R876" i="21"/>
  <c r="Q876" i="21"/>
  <c r="P876" i="21"/>
  <c r="O876" i="21"/>
  <c r="O876" i="21" a="1"/>
  <c r="V875" i="21"/>
  <c r="U875" i="21"/>
  <c r="T875" i="21"/>
  <c r="S875" i="21"/>
  <c r="R875" i="21"/>
  <c r="Q875" i="21"/>
  <c r="P875" i="21"/>
  <c r="O875" i="21"/>
  <c r="O875" i="21" a="1"/>
  <c r="V874" i="21"/>
  <c r="U874" i="21"/>
  <c r="T874" i="21"/>
  <c r="S874" i="21"/>
  <c r="R874" i="21"/>
  <c r="Q874" i="21"/>
  <c r="P874" i="21"/>
  <c r="O874" i="21"/>
  <c r="O874" i="21" a="1"/>
  <c r="V873" i="21"/>
  <c r="U873" i="21"/>
  <c r="T873" i="21"/>
  <c r="S873" i="21"/>
  <c r="R873" i="21"/>
  <c r="Q873" i="21"/>
  <c r="P873" i="21"/>
  <c r="O873" i="21"/>
  <c r="O873" i="21" a="1"/>
  <c r="V872" i="21"/>
  <c r="U872" i="21"/>
  <c r="T872" i="21"/>
  <c r="S872" i="21"/>
  <c r="R872" i="21"/>
  <c r="Q872" i="21"/>
  <c r="P872" i="21"/>
  <c r="O872" i="21"/>
  <c r="O872" i="21" a="1"/>
  <c r="V871" i="21"/>
  <c r="U871" i="21"/>
  <c r="T871" i="21"/>
  <c r="S871" i="21"/>
  <c r="R871" i="21"/>
  <c r="Q871" i="21"/>
  <c r="P871" i="21"/>
  <c r="O871" i="21"/>
  <c r="O871" i="21" a="1"/>
  <c r="V870" i="21"/>
  <c r="U870" i="21"/>
  <c r="T870" i="21"/>
  <c r="S870" i="21"/>
  <c r="R870" i="21"/>
  <c r="Q870" i="21"/>
  <c r="P870" i="21"/>
  <c r="O870" i="21"/>
  <c r="O870" i="21" a="1"/>
  <c r="V869" i="21"/>
  <c r="U869" i="21"/>
  <c r="T869" i="21"/>
  <c r="S869" i="21"/>
  <c r="R869" i="21"/>
  <c r="Q869" i="21"/>
  <c r="P869" i="21"/>
  <c r="O869" i="21"/>
  <c r="O869" i="21" a="1"/>
  <c r="V868" i="21"/>
  <c r="U868" i="21"/>
  <c r="T868" i="21"/>
  <c r="S868" i="21"/>
  <c r="R868" i="21"/>
  <c r="Q868" i="21"/>
  <c r="P868" i="21"/>
  <c r="O868" i="21"/>
  <c r="O868" i="21" a="1"/>
  <c r="V867" i="21"/>
  <c r="U867" i="21"/>
  <c r="T867" i="21"/>
  <c r="S867" i="21"/>
  <c r="R867" i="21"/>
  <c r="Q867" i="21"/>
  <c r="P867" i="21"/>
  <c r="O867" i="21"/>
  <c r="O867" i="21" a="1"/>
  <c r="V866" i="21"/>
  <c r="U866" i="21"/>
  <c r="T866" i="21"/>
  <c r="S866" i="21"/>
  <c r="R866" i="21"/>
  <c r="Q866" i="21"/>
  <c r="P866" i="21"/>
  <c r="O866" i="21"/>
  <c r="O866" i="21" a="1"/>
  <c r="V865" i="21"/>
  <c r="U865" i="21"/>
  <c r="T865" i="21"/>
  <c r="S865" i="21"/>
  <c r="R865" i="21"/>
  <c r="Q865" i="21"/>
  <c r="P865" i="21"/>
  <c r="O865" i="21"/>
  <c r="O865" i="21" a="1"/>
  <c r="V864" i="21"/>
  <c r="U864" i="21"/>
  <c r="T864" i="21"/>
  <c r="S864" i="21"/>
  <c r="R864" i="21"/>
  <c r="Q864" i="21"/>
  <c r="P864" i="21"/>
  <c r="O864" i="21"/>
  <c r="O864" i="21" a="1"/>
  <c r="V863" i="21"/>
  <c r="U863" i="21"/>
  <c r="T863" i="21"/>
  <c r="S863" i="21"/>
  <c r="R863" i="21"/>
  <c r="Q863" i="21"/>
  <c r="P863" i="21"/>
  <c r="O863" i="21"/>
  <c r="O863" i="21" a="1"/>
  <c r="V862" i="21"/>
  <c r="U862" i="21"/>
  <c r="T862" i="21"/>
  <c r="S862" i="21"/>
  <c r="R862" i="21"/>
  <c r="Q862" i="21"/>
  <c r="P862" i="21"/>
  <c r="O862" i="21"/>
  <c r="O862" i="21" a="1"/>
  <c r="V861" i="21"/>
  <c r="U861" i="21"/>
  <c r="T861" i="21"/>
  <c r="S861" i="21"/>
  <c r="R861" i="21"/>
  <c r="Q861" i="21"/>
  <c r="P861" i="21"/>
  <c r="O861" i="21"/>
  <c r="O861" i="21" a="1"/>
  <c r="V860" i="21"/>
  <c r="U860" i="21"/>
  <c r="T860" i="21"/>
  <c r="S860" i="21"/>
  <c r="R860" i="21"/>
  <c r="Q860" i="21"/>
  <c r="P860" i="21"/>
  <c r="O860" i="21"/>
  <c r="O860" i="21" a="1"/>
  <c r="V859" i="21"/>
  <c r="U859" i="21"/>
  <c r="T859" i="21"/>
  <c r="S859" i="21"/>
  <c r="R859" i="21"/>
  <c r="Q859" i="21"/>
  <c r="P859" i="21"/>
  <c r="O859" i="21"/>
  <c r="O859" i="21" a="1"/>
  <c r="V858" i="21"/>
  <c r="U858" i="21"/>
  <c r="T858" i="21"/>
  <c r="S858" i="21"/>
  <c r="R858" i="21"/>
  <c r="Q858" i="21"/>
  <c r="P858" i="21"/>
  <c r="O858" i="21"/>
  <c r="O858" i="21" a="1"/>
  <c r="V857" i="21"/>
  <c r="U857" i="21"/>
  <c r="T857" i="21"/>
  <c r="S857" i="21"/>
  <c r="R857" i="21"/>
  <c r="Q857" i="21"/>
  <c r="P857" i="21"/>
  <c r="O857" i="21"/>
  <c r="O857" i="21" a="1"/>
  <c r="V856" i="21"/>
  <c r="U856" i="21"/>
  <c r="T856" i="21"/>
  <c r="S856" i="21"/>
  <c r="R856" i="21"/>
  <c r="Q856" i="21"/>
  <c r="P856" i="21"/>
  <c r="O856" i="21"/>
  <c r="O856" i="21" a="1"/>
  <c r="V855" i="21"/>
  <c r="U855" i="21"/>
  <c r="T855" i="21"/>
  <c r="S855" i="21"/>
  <c r="R855" i="21"/>
  <c r="Q855" i="21"/>
  <c r="P855" i="21"/>
  <c r="O855" i="21"/>
  <c r="O855" i="21" a="1"/>
  <c r="V854" i="21"/>
  <c r="U854" i="21"/>
  <c r="T854" i="21"/>
  <c r="S854" i="21"/>
  <c r="R854" i="21"/>
  <c r="Q854" i="21"/>
  <c r="P854" i="21"/>
  <c r="O854" i="21"/>
  <c r="O854" i="21" a="1"/>
  <c r="V853" i="21"/>
  <c r="U853" i="21"/>
  <c r="T853" i="21"/>
  <c r="S853" i="21"/>
  <c r="R853" i="21"/>
  <c r="Q853" i="21"/>
  <c r="P853" i="21"/>
  <c r="O853" i="21"/>
  <c r="O853" i="21" a="1"/>
  <c r="V852" i="21"/>
  <c r="U852" i="21"/>
  <c r="T852" i="21"/>
  <c r="S852" i="21"/>
  <c r="R852" i="21"/>
  <c r="Q852" i="21"/>
  <c r="P852" i="21"/>
  <c r="O852" i="21"/>
  <c r="O852" i="21" a="1"/>
  <c r="V851" i="21"/>
  <c r="U851" i="21"/>
  <c r="T851" i="21"/>
  <c r="S851" i="21"/>
  <c r="R851" i="21"/>
  <c r="Q851" i="21"/>
  <c r="P851" i="21"/>
  <c r="O851" i="21"/>
  <c r="O851" i="21" a="1"/>
  <c r="V850" i="21"/>
  <c r="U850" i="21"/>
  <c r="T850" i="21"/>
  <c r="S850" i="21"/>
  <c r="R850" i="21"/>
  <c r="Q850" i="21"/>
  <c r="P850" i="21"/>
  <c r="O850" i="21"/>
  <c r="O850" i="21" a="1"/>
  <c r="V849" i="21"/>
  <c r="U849" i="21"/>
  <c r="T849" i="21"/>
  <c r="S849" i="21"/>
  <c r="R849" i="21"/>
  <c r="Q849" i="21"/>
  <c r="P849" i="21"/>
  <c r="O849" i="21"/>
  <c r="O849" i="21" a="1"/>
  <c r="V848" i="21"/>
  <c r="U848" i="21"/>
  <c r="T848" i="21"/>
  <c r="S848" i="21"/>
  <c r="R848" i="21"/>
  <c r="Q848" i="21"/>
  <c r="P848" i="21"/>
  <c r="O848" i="21"/>
  <c r="O848" i="21" a="1"/>
  <c r="V847" i="21"/>
  <c r="U847" i="21"/>
  <c r="T847" i="21"/>
  <c r="S847" i="21"/>
  <c r="R847" i="21"/>
  <c r="Q847" i="21"/>
  <c r="P847" i="21"/>
  <c r="O847" i="21"/>
  <c r="O847" i="21" a="1"/>
  <c r="V846" i="21"/>
  <c r="U846" i="21"/>
  <c r="T846" i="21"/>
  <c r="S846" i="21"/>
  <c r="R846" i="21"/>
  <c r="Q846" i="21"/>
  <c r="P846" i="21"/>
  <c r="O846" i="21"/>
  <c r="O846" i="21" a="1"/>
  <c r="V845" i="21"/>
  <c r="U845" i="21"/>
  <c r="T845" i="21"/>
  <c r="S845" i="21"/>
  <c r="R845" i="21"/>
  <c r="Q845" i="21"/>
  <c r="P845" i="21"/>
  <c r="O845" i="21"/>
  <c r="O845" i="21" a="1"/>
  <c r="V844" i="21"/>
  <c r="U844" i="21"/>
  <c r="T844" i="21"/>
  <c r="S844" i="21"/>
  <c r="R844" i="21"/>
  <c r="Q844" i="21"/>
  <c r="P844" i="21"/>
  <c r="O844" i="21"/>
  <c r="O844" i="21" a="1"/>
  <c r="V843" i="21"/>
  <c r="U843" i="21"/>
  <c r="T843" i="21"/>
  <c r="S843" i="21"/>
  <c r="R843" i="21"/>
  <c r="Q843" i="21"/>
  <c r="P843" i="21"/>
  <c r="O843" i="21"/>
  <c r="O843" i="21" a="1"/>
  <c r="V842" i="21"/>
  <c r="U842" i="21"/>
  <c r="T842" i="21"/>
  <c r="S842" i="21"/>
  <c r="R842" i="21"/>
  <c r="Q842" i="21"/>
  <c r="P842" i="21"/>
  <c r="O842" i="21"/>
  <c r="O842" i="21" a="1"/>
  <c r="V841" i="21"/>
  <c r="U841" i="21"/>
  <c r="T841" i="21"/>
  <c r="S841" i="21"/>
  <c r="R841" i="21"/>
  <c r="Q841" i="21"/>
  <c r="P841" i="21"/>
  <c r="O841" i="21"/>
  <c r="O841" i="21" a="1"/>
  <c r="V840" i="21"/>
  <c r="U840" i="21"/>
  <c r="T840" i="21"/>
  <c r="S840" i="21"/>
  <c r="R840" i="21"/>
  <c r="Q840" i="21"/>
  <c r="P840" i="21"/>
  <c r="O840" i="21"/>
  <c r="O840" i="21" a="1"/>
  <c r="V839" i="21"/>
  <c r="U839" i="21"/>
  <c r="T839" i="21"/>
  <c r="S839" i="21"/>
  <c r="R839" i="21"/>
  <c r="Q839" i="21"/>
  <c r="P839" i="21"/>
  <c r="O839" i="21"/>
  <c r="O839" i="21" a="1"/>
  <c r="V838" i="21"/>
  <c r="U838" i="21"/>
  <c r="T838" i="21"/>
  <c r="S838" i="21"/>
  <c r="R838" i="21"/>
  <c r="Q838" i="21"/>
  <c r="P838" i="21"/>
  <c r="O838" i="21"/>
  <c r="O838" i="21" a="1"/>
  <c r="V837" i="21"/>
  <c r="U837" i="21"/>
  <c r="T837" i="21"/>
  <c r="S837" i="21"/>
  <c r="R837" i="21"/>
  <c r="Q837" i="21"/>
  <c r="P837" i="21"/>
  <c r="O837" i="21"/>
  <c r="O837" i="21" a="1"/>
  <c r="V836" i="21"/>
  <c r="U836" i="21"/>
  <c r="T836" i="21"/>
  <c r="S836" i="21"/>
  <c r="R836" i="21"/>
  <c r="Q836" i="21"/>
  <c r="P836" i="21"/>
  <c r="O836" i="21"/>
  <c r="O836" i="21" a="1"/>
  <c r="V835" i="21"/>
  <c r="U835" i="21"/>
  <c r="T835" i="21"/>
  <c r="S835" i="21"/>
  <c r="R835" i="21"/>
  <c r="Q835" i="21"/>
  <c r="P835" i="21"/>
  <c r="O835" i="21"/>
  <c r="O835" i="21" a="1"/>
  <c r="V834" i="21"/>
  <c r="U834" i="21"/>
  <c r="T834" i="21"/>
  <c r="S834" i="21"/>
  <c r="R834" i="21"/>
  <c r="Q834" i="21"/>
  <c r="P834" i="21"/>
  <c r="O834" i="21"/>
  <c r="O834" i="21" a="1"/>
  <c r="V833" i="21"/>
  <c r="U833" i="21"/>
  <c r="T833" i="21"/>
  <c r="S833" i="21"/>
  <c r="R833" i="21"/>
  <c r="Q833" i="21"/>
  <c r="P833" i="21"/>
  <c r="O833" i="21"/>
  <c r="O833" i="21" a="1"/>
  <c r="V832" i="21"/>
  <c r="U832" i="21"/>
  <c r="T832" i="21"/>
  <c r="S832" i="21"/>
  <c r="R832" i="21"/>
  <c r="Q832" i="21"/>
  <c r="P832" i="21"/>
  <c r="O832" i="21"/>
  <c r="O832" i="21" a="1"/>
  <c r="V831" i="21"/>
  <c r="U831" i="21"/>
  <c r="T831" i="21"/>
  <c r="S831" i="21"/>
  <c r="R831" i="21"/>
  <c r="Q831" i="21"/>
  <c r="P831" i="21"/>
  <c r="O831" i="21"/>
  <c r="O831" i="21" a="1"/>
  <c r="V830" i="21"/>
  <c r="U830" i="21"/>
  <c r="T830" i="21"/>
  <c r="S830" i="21"/>
  <c r="R830" i="21"/>
  <c r="Q830" i="21"/>
  <c r="P830" i="21"/>
  <c r="O830" i="21"/>
  <c r="O830" i="21" a="1"/>
  <c r="V829" i="21"/>
  <c r="U829" i="21"/>
  <c r="T829" i="21"/>
  <c r="S829" i="21"/>
  <c r="R829" i="21"/>
  <c r="Q829" i="21"/>
  <c r="P829" i="21"/>
  <c r="O829" i="21"/>
  <c r="O829" i="21" a="1"/>
  <c r="V828" i="21"/>
  <c r="U828" i="21"/>
  <c r="T828" i="21"/>
  <c r="S828" i="21"/>
  <c r="R828" i="21"/>
  <c r="Q828" i="21"/>
  <c r="P828" i="21"/>
  <c r="O828" i="21"/>
  <c r="O828" i="21" a="1"/>
  <c r="V827" i="21"/>
  <c r="U827" i="21"/>
  <c r="T827" i="21"/>
  <c r="S827" i="21"/>
  <c r="R827" i="21"/>
  <c r="Q827" i="21"/>
  <c r="P827" i="21"/>
  <c r="O827" i="21"/>
  <c r="O827" i="21" a="1"/>
  <c r="V826" i="21"/>
  <c r="U826" i="21"/>
  <c r="T826" i="21"/>
  <c r="S826" i="21"/>
  <c r="R826" i="21"/>
  <c r="Q826" i="21"/>
  <c r="P826" i="21"/>
  <c r="O826" i="21"/>
  <c r="O826" i="21" a="1"/>
  <c r="V825" i="21"/>
  <c r="U825" i="21"/>
  <c r="T825" i="21"/>
  <c r="S825" i="21"/>
  <c r="R825" i="21"/>
  <c r="Q825" i="21"/>
  <c r="P825" i="21"/>
  <c r="O825" i="21"/>
  <c r="O825" i="21" a="1"/>
  <c r="V824" i="21"/>
  <c r="U824" i="21"/>
  <c r="T824" i="21"/>
  <c r="S824" i="21"/>
  <c r="R824" i="21"/>
  <c r="Q824" i="21"/>
  <c r="P824" i="21"/>
  <c r="O824" i="21"/>
  <c r="O824" i="21" a="1"/>
  <c r="V823" i="21"/>
  <c r="U823" i="21"/>
  <c r="T823" i="21"/>
  <c r="S823" i="21"/>
  <c r="R823" i="21"/>
  <c r="Q823" i="21"/>
  <c r="P823" i="21"/>
  <c r="O823" i="21"/>
  <c r="O823" i="21" a="1"/>
  <c r="V822" i="21"/>
  <c r="U822" i="21"/>
  <c r="T822" i="21"/>
  <c r="S822" i="21"/>
  <c r="R822" i="21"/>
  <c r="Q822" i="21"/>
  <c r="P822" i="21"/>
  <c r="O822" i="21"/>
  <c r="O822" i="21" a="1"/>
  <c r="V821" i="21"/>
  <c r="U821" i="21"/>
  <c r="T821" i="21"/>
  <c r="S821" i="21"/>
  <c r="R821" i="21"/>
  <c r="Q821" i="21"/>
  <c r="P821" i="21"/>
  <c r="O821" i="21"/>
  <c r="O821" i="21" a="1"/>
  <c r="V820" i="21"/>
  <c r="U820" i="21"/>
  <c r="T820" i="21"/>
  <c r="S820" i="21"/>
  <c r="R820" i="21"/>
  <c r="Q820" i="21"/>
  <c r="P820" i="21"/>
  <c r="O820" i="21"/>
  <c r="O820" i="21" a="1"/>
  <c r="V819" i="21"/>
  <c r="U819" i="21"/>
  <c r="T819" i="21"/>
  <c r="S819" i="21"/>
  <c r="R819" i="21"/>
  <c r="Q819" i="21"/>
  <c r="P819" i="21"/>
  <c r="O819" i="21"/>
  <c r="O819" i="21" a="1"/>
  <c r="V818" i="21"/>
  <c r="U818" i="21"/>
  <c r="T818" i="21"/>
  <c r="S818" i="21"/>
  <c r="R818" i="21"/>
  <c r="Q818" i="21"/>
  <c r="P818" i="21"/>
  <c r="O818" i="21"/>
  <c r="O818" i="21" a="1"/>
  <c r="V817" i="21"/>
  <c r="U817" i="21"/>
  <c r="T817" i="21"/>
  <c r="S817" i="21"/>
  <c r="R817" i="21"/>
  <c r="Q817" i="21"/>
  <c r="P817" i="21"/>
  <c r="O817" i="21"/>
  <c r="O817" i="21" a="1"/>
  <c r="V816" i="21"/>
  <c r="U816" i="21"/>
  <c r="T816" i="21"/>
  <c r="S816" i="21"/>
  <c r="R816" i="21"/>
  <c r="Q816" i="21"/>
  <c r="P816" i="21"/>
  <c r="O816" i="21"/>
  <c r="O816" i="21" a="1"/>
  <c r="V815" i="21"/>
  <c r="U815" i="21"/>
  <c r="T815" i="21"/>
  <c r="S815" i="21"/>
  <c r="R815" i="21"/>
  <c r="Q815" i="21"/>
  <c r="P815" i="21"/>
  <c r="O815" i="21"/>
  <c r="O815" i="21" a="1"/>
  <c r="V814" i="21"/>
  <c r="U814" i="21"/>
  <c r="T814" i="21"/>
  <c r="S814" i="21"/>
  <c r="R814" i="21"/>
  <c r="Q814" i="21"/>
  <c r="P814" i="21"/>
  <c r="O814" i="21"/>
  <c r="O814" i="21" a="1"/>
  <c r="V813" i="21"/>
  <c r="U813" i="21"/>
  <c r="T813" i="21"/>
  <c r="S813" i="21"/>
  <c r="R813" i="21"/>
  <c r="Q813" i="21"/>
  <c r="P813" i="21"/>
  <c r="O813" i="21"/>
  <c r="O813" i="21" a="1"/>
  <c r="V812" i="21"/>
  <c r="U812" i="21"/>
  <c r="T812" i="21"/>
  <c r="S812" i="21"/>
  <c r="R812" i="21"/>
  <c r="Q812" i="21"/>
  <c r="P812" i="21"/>
  <c r="O812" i="21"/>
  <c r="O812" i="21" a="1"/>
  <c r="V811" i="21"/>
  <c r="U811" i="21"/>
  <c r="T811" i="21"/>
  <c r="S811" i="21"/>
  <c r="R811" i="21"/>
  <c r="Q811" i="21"/>
  <c r="P811" i="21"/>
  <c r="O811" i="21"/>
  <c r="O811" i="21" a="1"/>
  <c r="V810" i="21"/>
  <c r="U810" i="21"/>
  <c r="T810" i="21"/>
  <c r="S810" i="21"/>
  <c r="R810" i="21"/>
  <c r="Q810" i="21"/>
  <c r="P810" i="21"/>
  <c r="O810" i="21"/>
  <c r="O810" i="21" a="1"/>
  <c r="V809" i="21"/>
  <c r="U809" i="21"/>
  <c r="T809" i="21"/>
  <c r="S809" i="21"/>
  <c r="R809" i="21"/>
  <c r="Q809" i="21"/>
  <c r="P809" i="21"/>
  <c r="O809" i="21"/>
  <c r="O809" i="21" a="1"/>
  <c r="V808" i="21"/>
  <c r="U808" i="21"/>
  <c r="T808" i="21"/>
  <c r="S808" i="21"/>
  <c r="R808" i="21"/>
  <c r="Q808" i="21"/>
  <c r="P808" i="21"/>
  <c r="O808" i="21"/>
  <c r="O808" i="21" a="1"/>
  <c r="V807" i="21"/>
  <c r="U807" i="21"/>
  <c r="T807" i="21"/>
  <c r="S807" i="21"/>
  <c r="R807" i="21"/>
  <c r="Q807" i="21"/>
  <c r="P807" i="21"/>
  <c r="O807" i="21"/>
  <c r="O807" i="21" a="1"/>
  <c r="V806" i="21"/>
  <c r="U806" i="21"/>
  <c r="T806" i="21"/>
  <c r="S806" i="21"/>
  <c r="R806" i="21"/>
  <c r="Q806" i="21"/>
  <c r="P806" i="21"/>
  <c r="O806" i="21"/>
  <c r="O806" i="21" a="1"/>
  <c r="V805" i="21"/>
  <c r="U805" i="21"/>
  <c r="T805" i="21"/>
  <c r="S805" i="21"/>
  <c r="R805" i="21"/>
  <c r="Q805" i="21"/>
  <c r="P805" i="21"/>
  <c r="O805" i="21"/>
  <c r="O805" i="21" a="1"/>
  <c r="V804" i="21"/>
  <c r="U804" i="21"/>
  <c r="T804" i="21"/>
  <c r="S804" i="21"/>
  <c r="R804" i="21"/>
  <c r="Q804" i="21"/>
  <c r="P804" i="21"/>
  <c r="O804" i="21"/>
  <c r="O804" i="21" a="1"/>
  <c r="V803" i="21"/>
  <c r="U803" i="21"/>
  <c r="T803" i="21"/>
  <c r="S803" i="21"/>
  <c r="R803" i="21"/>
  <c r="Q803" i="21"/>
  <c r="P803" i="21"/>
  <c r="O803" i="21"/>
  <c r="O803" i="21" a="1"/>
  <c r="V802" i="21"/>
  <c r="U802" i="21"/>
  <c r="T802" i="21"/>
  <c r="S802" i="21"/>
  <c r="R802" i="21"/>
  <c r="Q802" i="21"/>
  <c r="P802" i="21"/>
  <c r="O802" i="21"/>
  <c r="O802" i="21" a="1"/>
  <c r="V801" i="21"/>
  <c r="U801" i="21"/>
  <c r="T801" i="21"/>
  <c r="S801" i="21"/>
  <c r="R801" i="21"/>
  <c r="Q801" i="21"/>
  <c r="P801" i="21"/>
  <c r="O801" i="21"/>
  <c r="O801" i="21" a="1"/>
  <c r="V800" i="21"/>
  <c r="U800" i="21"/>
  <c r="T800" i="21"/>
  <c r="S800" i="21"/>
  <c r="R800" i="21"/>
  <c r="Q800" i="21"/>
  <c r="P800" i="21"/>
  <c r="O800" i="21"/>
  <c r="O800" i="21" a="1"/>
  <c r="V799" i="21"/>
  <c r="U799" i="21"/>
  <c r="T799" i="21"/>
  <c r="S799" i="21"/>
  <c r="R799" i="21"/>
  <c r="Q799" i="21"/>
  <c r="P799" i="21"/>
  <c r="O799" i="21"/>
  <c r="O799" i="21" a="1"/>
  <c r="V798" i="21"/>
  <c r="U798" i="21"/>
  <c r="T798" i="21"/>
  <c r="S798" i="21"/>
  <c r="R798" i="21"/>
  <c r="Q798" i="21"/>
  <c r="P798" i="21"/>
  <c r="O798" i="21"/>
  <c r="O798" i="21" a="1"/>
  <c r="V797" i="21"/>
  <c r="U797" i="21"/>
  <c r="T797" i="21"/>
  <c r="S797" i="21"/>
  <c r="R797" i="21"/>
  <c r="Q797" i="21"/>
  <c r="P797" i="21"/>
  <c r="O797" i="21"/>
  <c r="O797" i="21" a="1"/>
  <c r="V796" i="21"/>
  <c r="U796" i="21"/>
  <c r="T796" i="21"/>
  <c r="S796" i="21"/>
  <c r="R796" i="21"/>
  <c r="Q796" i="21"/>
  <c r="P796" i="21"/>
  <c r="O796" i="21"/>
  <c r="O796" i="21" a="1"/>
  <c r="V795" i="21"/>
  <c r="U795" i="21"/>
  <c r="T795" i="21"/>
  <c r="S795" i="21"/>
  <c r="R795" i="21"/>
  <c r="Q795" i="21"/>
  <c r="P795" i="21"/>
  <c r="O795" i="21"/>
  <c r="O795" i="21" a="1"/>
  <c r="V794" i="21"/>
  <c r="U794" i="21"/>
  <c r="T794" i="21"/>
  <c r="S794" i="21"/>
  <c r="R794" i="21"/>
  <c r="Q794" i="21"/>
  <c r="P794" i="21"/>
  <c r="O794" i="21"/>
  <c r="O794" i="21" a="1"/>
  <c r="V793" i="21"/>
  <c r="U793" i="21"/>
  <c r="T793" i="21"/>
  <c r="S793" i="21"/>
  <c r="R793" i="21"/>
  <c r="Q793" i="21"/>
  <c r="P793" i="21"/>
  <c r="O793" i="21"/>
  <c r="O793" i="21" a="1"/>
  <c r="V792" i="21"/>
  <c r="U792" i="21"/>
  <c r="T792" i="21"/>
  <c r="S792" i="21"/>
  <c r="R792" i="21"/>
  <c r="Q792" i="21"/>
  <c r="P792" i="21"/>
  <c r="O792" i="21"/>
  <c r="O792" i="21" a="1"/>
  <c r="V791" i="21"/>
  <c r="U791" i="21"/>
  <c r="T791" i="21"/>
  <c r="S791" i="21"/>
  <c r="R791" i="21"/>
  <c r="Q791" i="21"/>
  <c r="P791" i="21"/>
  <c r="O791" i="21"/>
  <c r="O791" i="21" a="1"/>
  <c r="V790" i="21"/>
  <c r="U790" i="21"/>
  <c r="T790" i="21"/>
  <c r="S790" i="21"/>
  <c r="R790" i="21"/>
  <c r="Q790" i="21"/>
  <c r="P790" i="21"/>
  <c r="O790" i="21"/>
  <c r="O790" i="21" a="1"/>
  <c r="V789" i="21"/>
  <c r="U789" i="21"/>
  <c r="T789" i="21"/>
  <c r="S789" i="21"/>
  <c r="R789" i="21"/>
  <c r="Q789" i="21"/>
  <c r="P789" i="21"/>
  <c r="O789" i="21"/>
  <c r="O789" i="21" a="1"/>
  <c r="V788" i="21"/>
  <c r="U788" i="21"/>
  <c r="T788" i="21"/>
  <c r="S788" i="21"/>
  <c r="R788" i="21"/>
  <c r="Q788" i="21"/>
  <c r="P788" i="21"/>
  <c r="O788" i="21"/>
  <c r="O788" i="21" a="1"/>
  <c r="V787" i="21"/>
  <c r="U787" i="21"/>
  <c r="T787" i="21"/>
  <c r="S787" i="21"/>
  <c r="R787" i="21"/>
  <c r="Q787" i="21"/>
  <c r="P787" i="21"/>
  <c r="O787" i="21"/>
  <c r="O787" i="21" a="1"/>
  <c r="V786" i="21"/>
  <c r="U786" i="21"/>
  <c r="T786" i="21"/>
  <c r="S786" i="21"/>
  <c r="R786" i="21"/>
  <c r="Q786" i="21"/>
  <c r="P786" i="21"/>
  <c r="O786" i="21"/>
  <c r="O786" i="21" a="1"/>
  <c r="V785" i="21"/>
  <c r="U785" i="21"/>
  <c r="T785" i="21"/>
  <c r="S785" i="21"/>
  <c r="R785" i="21"/>
  <c r="Q785" i="21"/>
  <c r="P785" i="21"/>
  <c r="O785" i="21"/>
  <c r="O785" i="21" a="1"/>
  <c r="V784" i="21"/>
  <c r="U784" i="21"/>
  <c r="T784" i="21"/>
  <c r="S784" i="21"/>
  <c r="R784" i="21"/>
  <c r="Q784" i="21"/>
  <c r="P784" i="21"/>
  <c r="O784" i="21"/>
  <c r="O784" i="21" a="1"/>
  <c r="V783" i="21"/>
  <c r="U783" i="21"/>
  <c r="T783" i="21"/>
  <c r="S783" i="21"/>
  <c r="R783" i="21"/>
  <c r="Q783" i="21"/>
  <c r="P783" i="21"/>
  <c r="O783" i="21"/>
  <c r="O783" i="21" a="1"/>
  <c r="V782" i="21"/>
  <c r="U782" i="21"/>
  <c r="T782" i="21"/>
  <c r="S782" i="21"/>
  <c r="R782" i="21"/>
  <c r="Q782" i="21"/>
  <c r="P782" i="21"/>
  <c r="O782" i="21"/>
  <c r="O782" i="21" a="1"/>
  <c r="V781" i="21"/>
  <c r="U781" i="21"/>
  <c r="T781" i="21"/>
  <c r="S781" i="21"/>
  <c r="R781" i="21"/>
  <c r="Q781" i="21"/>
  <c r="P781" i="21"/>
  <c r="O781" i="21"/>
  <c r="O781" i="21" a="1"/>
  <c r="V780" i="21"/>
  <c r="U780" i="21"/>
  <c r="T780" i="21"/>
  <c r="S780" i="21"/>
  <c r="R780" i="21"/>
  <c r="Q780" i="21"/>
  <c r="P780" i="21"/>
  <c r="O780" i="21"/>
  <c r="O780" i="21" a="1"/>
  <c r="V779" i="21"/>
  <c r="U779" i="21"/>
  <c r="T779" i="21"/>
  <c r="S779" i="21"/>
  <c r="R779" i="21"/>
  <c r="Q779" i="21"/>
  <c r="P779" i="21"/>
  <c r="O779" i="21"/>
  <c r="O779" i="21" a="1"/>
  <c r="V778" i="21"/>
  <c r="U778" i="21"/>
  <c r="T778" i="21"/>
  <c r="S778" i="21"/>
  <c r="R778" i="21"/>
  <c r="Q778" i="21"/>
  <c r="P778" i="21"/>
  <c r="O778" i="21"/>
  <c r="O778" i="21" a="1"/>
  <c r="V777" i="21"/>
  <c r="U777" i="21"/>
  <c r="T777" i="21"/>
  <c r="S777" i="21"/>
  <c r="R777" i="21"/>
  <c r="Q777" i="21"/>
  <c r="P777" i="21"/>
  <c r="O777" i="21"/>
  <c r="O777" i="21" a="1"/>
  <c r="V776" i="21"/>
  <c r="U776" i="21"/>
  <c r="T776" i="21"/>
  <c r="S776" i="21"/>
  <c r="R776" i="21"/>
  <c r="Q776" i="21"/>
  <c r="P776" i="21"/>
  <c r="O776" i="21"/>
  <c r="O776" i="21" a="1"/>
  <c r="V775" i="21"/>
  <c r="U775" i="21"/>
  <c r="T775" i="21"/>
  <c r="S775" i="21"/>
  <c r="R775" i="21"/>
  <c r="Q775" i="21"/>
  <c r="P775" i="21"/>
  <c r="O775" i="21"/>
  <c r="O775" i="21" a="1"/>
  <c r="V774" i="21"/>
  <c r="U774" i="21"/>
  <c r="T774" i="21"/>
  <c r="S774" i="21"/>
  <c r="R774" i="21"/>
  <c r="Q774" i="21"/>
  <c r="P774" i="21"/>
  <c r="O774" i="21"/>
  <c r="O774" i="21" a="1"/>
  <c r="V773" i="21"/>
  <c r="U773" i="21"/>
  <c r="T773" i="21"/>
  <c r="S773" i="21"/>
  <c r="R773" i="21"/>
  <c r="Q773" i="21"/>
  <c r="P773" i="21"/>
  <c r="O773" i="21"/>
  <c r="O773" i="21" a="1"/>
  <c r="V772" i="21"/>
  <c r="U772" i="21"/>
  <c r="T772" i="21"/>
  <c r="S772" i="21"/>
  <c r="R772" i="21"/>
  <c r="Q772" i="21"/>
  <c r="P772" i="21"/>
  <c r="O772" i="21"/>
  <c r="O772" i="21" a="1"/>
  <c r="V771" i="21"/>
  <c r="U771" i="21"/>
  <c r="T771" i="21"/>
  <c r="S771" i="21"/>
  <c r="R771" i="21"/>
  <c r="Q771" i="21"/>
  <c r="P771" i="21"/>
  <c r="O771" i="21"/>
  <c r="O771" i="21" a="1"/>
  <c r="V770" i="21"/>
  <c r="U770" i="21"/>
  <c r="T770" i="21"/>
  <c r="S770" i="21"/>
  <c r="R770" i="21"/>
  <c r="Q770" i="21"/>
  <c r="P770" i="21"/>
  <c r="O770" i="21"/>
  <c r="O770" i="21" a="1"/>
  <c r="V769" i="21"/>
  <c r="U769" i="21"/>
  <c r="T769" i="21"/>
  <c r="S769" i="21"/>
  <c r="R769" i="21"/>
  <c r="Q769" i="21"/>
  <c r="P769" i="21"/>
  <c r="O769" i="21"/>
  <c r="O769" i="21" a="1"/>
  <c r="V768" i="21"/>
  <c r="U768" i="21"/>
  <c r="T768" i="21"/>
  <c r="S768" i="21"/>
  <c r="R768" i="21"/>
  <c r="Q768" i="21"/>
  <c r="P768" i="21"/>
  <c r="O768" i="21"/>
  <c r="O768" i="21" a="1"/>
  <c r="V767" i="21"/>
  <c r="U767" i="21"/>
  <c r="T767" i="21"/>
  <c r="S767" i="21"/>
  <c r="R767" i="21"/>
  <c r="Q767" i="21"/>
  <c r="P767" i="21"/>
  <c r="O767" i="21"/>
  <c r="O767" i="21" a="1"/>
  <c r="V766" i="21"/>
  <c r="U766" i="21"/>
  <c r="T766" i="21"/>
  <c r="S766" i="21"/>
  <c r="R766" i="21"/>
  <c r="Q766" i="21"/>
  <c r="P766" i="21"/>
  <c r="O766" i="21"/>
  <c r="O766" i="21" a="1"/>
  <c r="V765" i="21"/>
  <c r="U765" i="21"/>
  <c r="T765" i="21"/>
  <c r="S765" i="21"/>
  <c r="R765" i="21"/>
  <c r="Q765" i="21"/>
  <c r="P765" i="21"/>
  <c r="O765" i="21"/>
  <c r="O765" i="21" a="1"/>
  <c r="V764" i="21"/>
  <c r="U764" i="21"/>
  <c r="T764" i="21"/>
  <c r="S764" i="21"/>
  <c r="R764" i="21"/>
  <c r="Q764" i="21"/>
  <c r="P764" i="21"/>
  <c r="O764" i="21"/>
  <c r="O764" i="21" a="1"/>
  <c r="V763" i="21"/>
  <c r="U763" i="21"/>
  <c r="T763" i="21"/>
  <c r="S763" i="21"/>
  <c r="R763" i="21"/>
  <c r="Q763" i="21"/>
  <c r="P763" i="21"/>
  <c r="O763" i="21"/>
  <c r="O763" i="21" a="1"/>
  <c r="V762" i="21"/>
  <c r="U762" i="21"/>
  <c r="T762" i="21"/>
  <c r="S762" i="21"/>
  <c r="R762" i="21"/>
  <c r="Q762" i="21"/>
  <c r="P762" i="21"/>
  <c r="O762" i="21"/>
  <c r="O762" i="21" a="1"/>
  <c r="V761" i="21"/>
  <c r="U761" i="21"/>
  <c r="T761" i="21"/>
  <c r="S761" i="21"/>
  <c r="R761" i="21"/>
  <c r="Q761" i="21"/>
  <c r="P761" i="21"/>
  <c r="O761" i="21"/>
  <c r="O761" i="21" a="1"/>
  <c r="V760" i="21"/>
  <c r="U760" i="21"/>
  <c r="T760" i="21"/>
  <c r="S760" i="21"/>
  <c r="R760" i="21"/>
  <c r="Q760" i="21"/>
  <c r="P760" i="21"/>
  <c r="O760" i="21"/>
  <c r="O760" i="21" a="1"/>
  <c r="V759" i="21"/>
  <c r="U759" i="21"/>
  <c r="T759" i="21"/>
  <c r="S759" i="21"/>
  <c r="R759" i="21"/>
  <c r="Q759" i="21"/>
  <c r="P759" i="21"/>
  <c r="O759" i="21"/>
  <c r="O759" i="21" a="1"/>
  <c r="V758" i="21"/>
  <c r="U758" i="21"/>
  <c r="T758" i="21"/>
  <c r="S758" i="21"/>
  <c r="R758" i="21"/>
  <c r="Q758" i="21"/>
  <c r="P758" i="21"/>
  <c r="O758" i="21"/>
  <c r="O758" i="21" a="1"/>
  <c r="V757" i="21"/>
  <c r="U757" i="21"/>
  <c r="T757" i="21"/>
  <c r="S757" i="21"/>
  <c r="R757" i="21"/>
  <c r="Q757" i="21"/>
  <c r="P757" i="21"/>
  <c r="O757" i="21"/>
  <c r="O757" i="21" a="1"/>
  <c r="V756" i="21"/>
  <c r="U756" i="21"/>
  <c r="T756" i="21"/>
  <c r="S756" i="21"/>
  <c r="R756" i="21"/>
  <c r="Q756" i="21"/>
  <c r="P756" i="21"/>
  <c r="O756" i="21"/>
  <c r="O756" i="21" a="1"/>
  <c r="V755" i="21"/>
  <c r="U755" i="21"/>
  <c r="T755" i="21"/>
  <c r="S755" i="21"/>
  <c r="R755" i="21"/>
  <c r="Q755" i="21"/>
  <c r="P755" i="21"/>
  <c r="O755" i="21"/>
  <c r="O755" i="21" a="1"/>
  <c r="V754" i="21"/>
  <c r="U754" i="21"/>
  <c r="T754" i="21"/>
  <c r="S754" i="21"/>
  <c r="R754" i="21"/>
  <c r="Q754" i="21"/>
  <c r="P754" i="21"/>
  <c r="O754" i="21"/>
  <c r="O754" i="21" a="1"/>
  <c r="V753" i="21"/>
  <c r="U753" i="21"/>
  <c r="T753" i="21"/>
  <c r="S753" i="21"/>
  <c r="R753" i="21"/>
  <c r="Q753" i="21"/>
  <c r="P753" i="21"/>
  <c r="O753" i="21"/>
  <c r="O753" i="21" a="1"/>
  <c r="V752" i="21"/>
  <c r="U752" i="21"/>
  <c r="T752" i="21"/>
  <c r="S752" i="21"/>
  <c r="R752" i="21"/>
  <c r="Q752" i="21"/>
  <c r="P752" i="21"/>
  <c r="O752" i="21"/>
  <c r="O752" i="21" a="1"/>
  <c r="V751" i="21"/>
  <c r="U751" i="21"/>
  <c r="T751" i="21"/>
  <c r="S751" i="21"/>
  <c r="R751" i="21"/>
  <c r="Q751" i="21"/>
  <c r="P751" i="21"/>
  <c r="O751" i="21"/>
  <c r="O751" i="21" a="1"/>
  <c r="V750" i="21"/>
  <c r="U750" i="21"/>
  <c r="T750" i="21"/>
  <c r="S750" i="21"/>
  <c r="R750" i="21"/>
  <c r="Q750" i="21"/>
  <c r="P750" i="21"/>
  <c r="O750" i="21"/>
  <c r="O750" i="21" a="1"/>
  <c r="V749" i="21"/>
  <c r="U749" i="21"/>
  <c r="T749" i="21"/>
  <c r="S749" i="21"/>
  <c r="R749" i="21"/>
  <c r="Q749" i="21"/>
  <c r="P749" i="21"/>
  <c r="O749" i="21"/>
  <c r="O749" i="21" a="1"/>
  <c r="V748" i="21"/>
  <c r="U748" i="21"/>
  <c r="T748" i="21"/>
  <c r="S748" i="21"/>
  <c r="R748" i="21"/>
  <c r="Q748" i="21"/>
  <c r="P748" i="21"/>
  <c r="O748" i="21"/>
  <c r="O748" i="21" a="1"/>
  <c r="V747" i="21"/>
  <c r="U747" i="21"/>
  <c r="T747" i="21"/>
  <c r="S747" i="21"/>
  <c r="R747" i="21"/>
  <c r="Q747" i="21"/>
  <c r="P747" i="21"/>
  <c r="O747" i="21"/>
  <c r="O747" i="21" a="1"/>
  <c r="V746" i="21"/>
  <c r="U746" i="21"/>
  <c r="T746" i="21"/>
  <c r="S746" i="21"/>
  <c r="R746" i="21"/>
  <c r="Q746" i="21"/>
  <c r="P746" i="21"/>
  <c r="O746" i="21"/>
  <c r="O746" i="21" a="1"/>
  <c r="V745" i="21"/>
  <c r="U745" i="21"/>
  <c r="T745" i="21"/>
  <c r="S745" i="21"/>
  <c r="R745" i="21"/>
  <c r="Q745" i="21"/>
  <c r="P745" i="21"/>
  <c r="O745" i="21"/>
  <c r="O745" i="21" a="1"/>
  <c r="V744" i="21"/>
  <c r="U744" i="21"/>
  <c r="T744" i="21"/>
  <c r="S744" i="21"/>
  <c r="R744" i="21"/>
  <c r="Q744" i="21"/>
  <c r="P744" i="21"/>
  <c r="O744" i="21"/>
  <c r="O744" i="21" a="1"/>
  <c r="V743" i="21"/>
  <c r="U743" i="21"/>
  <c r="T743" i="21"/>
  <c r="S743" i="21"/>
  <c r="R743" i="21"/>
  <c r="Q743" i="21"/>
  <c r="P743" i="21"/>
  <c r="O743" i="21"/>
  <c r="O743" i="21" a="1"/>
  <c r="V742" i="21"/>
  <c r="U742" i="21"/>
  <c r="T742" i="21"/>
  <c r="S742" i="21"/>
  <c r="R742" i="21"/>
  <c r="Q742" i="21"/>
  <c r="P742" i="21"/>
  <c r="O742" i="21"/>
  <c r="O742" i="21" a="1"/>
  <c r="V741" i="21"/>
  <c r="U741" i="21"/>
  <c r="T741" i="21"/>
  <c r="S741" i="21"/>
  <c r="R741" i="21"/>
  <c r="Q741" i="21"/>
  <c r="P741" i="21"/>
  <c r="O741" i="21"/>
  <c r="O741" i="21" a="1"/>
  <c r="V740" i="21"/>
  <c r="U740" i="21"/>
  <c r="T740" i="21"/>
  <c r="S740" i="21"/>
  <c r="R740" i="21"/>
  <c r="Q740" i="21"/>
  <c r="P740" i="21"/>
  <c r="O740" i="21"/>
  <c r="O740" i="21" a="1"/>
  <c r="V739" i="21"/>
  <c r="U739" i="21"/>
  <c r="T739" i="21"/>
  <c r="S739" i="21"/>
  <c r="R739" i="21"/>
  <c r="Q739" i="21"/>
  <c r="P739" i="21"/>
  <c r="O739" i="21"/>
  <c r="O739" i="21" a="1"/>
  <c r="V738" i="21"/>
  <c r="U738" i="21"/>
  <c r="T738" i="21"/>
  <c r="S738" i="21"/>
  <c r="R738" i="21"/>
  <c r="Q738" i="21"/>
  <c r="P738" i="21"/>
  <c r="O738" i="21"/>
  <c r="O738" i="21" a="1"/>
  <c r="V737" i="21"/>
  <c r="U737" i="21"/>
  <c r="T737" i="21"/>
  <c r="S737" i="21"/>
  <c r="R737" i="21"/>
  <c r="Q737" i="21"/>
  <c r="P737" i="21"/>
  <c r="O737" i="21"/>
  <c r="O737" i="21" a="1"/>
  <c r="V736" i="21"/>
  <c r="U736" i="21"/>
  <c r="T736" i="21"/>
  <c r="S736" i="21"/>
  <c r="R736" i="21"/>
  <c r="Q736" i="21"/>
  <c r="P736" i="21"/>
  <c r="O736" i="21"/>
  <c r="O736" i="21" a="1"/>
  <c r="V735" i="21"/>
  <c r="U735" i="21"/>
  <c r="T735" i="21"/>
  <c r="S735" i="21"/>
  <c r="R735" i="21"/>
  <c r="Q735" i="21"/>
  <c r="P735" i="21"/>
  <c r="O735" i="21"/>
  <c r="O735" i="21" a="1"/>
  <c r="V734" i="21"/>
  <c r="U734" i="21"/>
  <c r="T734" i="21"/>
  <c r="S734" i="21"/>
  <c r="R734" i="21"/>
  <c r="Q734" i="21"/>
  <c r="P734" i="21"/>
  <c r="O734" i="21"/>
  <c r="O734" i="21" a="1"/>
  <c r="V733" i="21"/>
  <c r="U733" i="21"/>
  <c r="T733" i="21"/>
  <c r="S733" i="21"/>
  <c r="R733" i="21"/>
  <c r="Q733" i="21"/>
  <c r="P733" i="21"/>
  <c r="O733" i="21"/>
  <c r="O733" i="21" a="1"/>
  <c r="V732" i="21"/>
  <c r="U732" i="21"/>
  <c r="T732" i="21"/>
  <c r="S732" i="21"/>
  <c r="R732" i="21"/>
  <c r="Q732" i="21"/>
  <c r="P732" i="21"/>
  <c r="O732" i="21"/>
  <c r="O732" i="21" a="1"/>
  <c r="V731" i="21"/>
  <c r="U731" i="21"/>
  <c r="T731" i="21"/>
  <c r="S731" i="21"/>
  <c r="R731" i="21"/>
  <c r="Q731" i="21"/>
  <c r="P731" i="21"/>
  <c r="O731" i="21"/>
  <c r="O731" i="21" a="1"/>
  <c r="V730" i="21"/>
  <c r="U730" i="21"/>
  <c r="T730" i="21"/>
  <c r="S730" i="21"/>
  <c r="R730" i="21"/>
  <c r="Q730" i="21"/>
  <c r="P730" i="21"/>
  <c r="O730" i="21"/>
  <c r="O730" i="21" a="1"/>
  <c r="V729" i="21"/>
  <c r="U729" i="21"/>
  <c r="T729" i="21"/>
  <c r="S729" i="21"/>
  <c r="R729" i="21"/>
  <c r="Q729" i="21"/>
  <c r="P729" i="21"/>
  <c r="O729" i="21"/>
  <c r="O729" i="21" a="1"/>
  <c r="V728" i="21"/>
  <c r="U728" i="21"/>
  <c r="T728" i="21"/>
  <c r="S728" i="21"/>
  <c r="R728" i="21"/>
  <c r="Q728" i="21"/>
  <c r="P728" i="21"/>
  <c r="O728" i="21"/>
  <c r="O728" i="21" a="1"/>
  <c r="V727" i="21"/>
  <c r="U727" i="21"/>
  <c r="T727" i="21"/>
  <c r="S727" i="21"/>
  <c r="R727" i="21"/>
  <c r="Q727" i="21"/>
  <c r="P727" i="21"/>
  <c r="O727" i="21"/>
  <c r="O727" i="21" a="1"/>
  <c r="V726" i="21"/>
  <c r="U726" i="21"/>
  <c r="T726" i="21"/>
  <c r="S726" i="21"/>
  <c r="R726" i="21"/>
  <c r="Q726" i="21"/>
  <c r="P726" i="21"/>
  <c r="O726" i="21"/>
  <c r="O726" i="21" a="1"/>
  <c r="V725" i="21"/>
  <c r="U725" i="21"/>
  <c r="T725" i="21"/>
  <c r="S725" i="21"/>
  <c r="R725" i="21"/>
  <c r="Q725" i="21"/>
  <c r="P725" i="21"/>
  <c r="O725" i="21"/>
  <c r="O725" i="21" a="1"/>
  <c r="V724" i="21"/>
  <c r="U724" i="21"/>
  <c r="T724" i="21"/>
  <c r="S724" i="21"/>
  <c r="R724" i="21"/>
  <c r="Q724" i="21"/>
  <c r="P724" i="21"/>
  <c r="O724" i="21"/>
  <c r="O724" i="21" a="1"/>
  <c r="V723" i="21"/>
  <c r="U723" i="21"/>
  <c r="T723" i="21"/>
  <c r="S723" i="21"/>
  <c r="R723" i="21"/>
  <c r="Q723" i="21"/>
  <c r="P723" i="21"/>
  <c r="O723" i="21"/>
  <c r="O723" i="21" a="1"/>
  <c r="V722" i="21"/>
  <c r="U722" i="21"/>
  <c r="T722" i="21"/>
  <c r="S722" i="21"/>
  <c r="R722" i="21"/>
  <c r="Q722" i="21"/>
  <c r="P722" i="21"/>
  <c r="O722" i="21"/>
  <c r="O722" i="21" a="1"/>
  <c r="V721" i="21"/>
  <c r="U721" i="21"/>
  <c r="T721" i="21"/>
  <c r="S721" i="21"/>
  <c r="R721" i="21"/>
  <c r="Q721" i="21"/>
  <c r="P721" i="21"/>
  <c r="O721" i="21"/>
  <c r="O721" i="21" a="1"/>
  <c r="V720" i="21"/>
  <c r="U720" i="21"/>
  <c r="T720" i="21"/>
  <c r="S720" i="21"/>
  <c r="R720" i="21"/>
  <c r="Q720" i="21"/>
  <c r="P720" i="21"/>
  <c r="O720" i="21"/>
  <c r="O720" i="21" a="1"/>
  <c r="V719" i="21"/>
  <c r="U719" i="21"/>
  <c r="T719" i="21"/>
  <c r="S719" i="21"/>
  <c r="R719" i="21"/>
  <c r="Q719" i="21"/>
  <c r="P719" i="21"/>
  <c r="O719" i="21"/>
  <c r="O719" i="21" a="1"/>
  <c r="V718" i="21"/>
  <c r="U718" i="21"/>
  <c r="T718" i="21"/>
  <c r="S718" i="21"/>
  <c r="R718" i="21"/>
  <c r="Q718" i="21"/>
  <c r="P718" i="21"/>
  <c r="O718" i="21"/>
  <c r="O718" i="21" a="1"/>
  <c r="V717" i="21"/>
  <c r="U717" i="21"/>
  <c r="T717" i="21"/>
  <c r="S717" i="21"/>
  <c r="R717" i="21"/>
  <c r="Q717" i="21"/>
  <c r="P717" i="21"/>
  <c r="O717" i="21"/>
  <c r="O717" i="21" a="1"/>
  <c r="V716" i="21"/>
  <c r="U716" i="21"/>
  <c r="T716" i="21"/>
  <c r="S716" i="21"/>
  <c r="R716" i="21"/>
  <c r="Q716" i="21"/>
  <c r="P716" i="21"/>
  <c r="O716" i="21"/>
  <c r="O716" i="21" a="1"/>
  <c r="V715" i="21"/>
  <c r="U715" i="21"/>
  <c r="T715" i="21"/>
  <c r="S715" i="21"/>
  <c r="R715" i="21"/>
  <c r="Q715" i="21"/>
  <c r="P715" i="21"/>
  <c r="O715" i="21"/>
  <c r="O715" i="21" a="1"/>
  <c r="V714" i="21"/>
  <c r="U714" i="21"/>
  <c r="T714" i="21"/>
  <c r="S714" i="21"/>
  <c r="R714" i="21"/>
  <c r="Q714" i="21"/>
  <c r="P714" i="21"/>
  <c r="O714" i="21"/>
  <c r="O714" i="21" a="1"/>
  <c r="V713" i="21"/>
  <c r="U713" i="21"/>
  <c r="T713" i="21"/>
  <c r="S713" i="21"/>
  <c r="R713" i="21"/>
  <c r="Q713" i="21"/>
  <c r="P713" i="21"/>
  <c r="O713" i="21"/>
  <c r="O713" i="21" a="1"/>
  <c r="V712" i="21"/>
  <c r="U712" i="21"/>
  <c r="T712" i="21"/>
  <c r="S712" i="21"/>
  <c r="R712" i="21"/>
  <c r="Q712" i="21"/>
  <c r="P712" i="21"/>
  <c r="O712" i="21"/>
  <c r="O712" i="21" a="1"/>
  <c r="V711" i="21"/>
  <c r="U711" i="21"/>
  <c r="T711" i="21"/>
  <c r="S711" i="21"/>
  <c r="R711" i="21"/>
  <c r="Q711" i="21"/>
  <c r="P711" i="21"/>
  <c r="O711" i="21"/>
  <c r="O711" i="21" a="1"/>
  <c r="V710" i="21"/>
  <c r="U710" i="21"/>
  <c r="T710" i="21"/>
  <c r="S710" i="21"/>
  <c r="R710" i="21"/>
  <c r="Q710" i="21"/>
  <c r="P710" i="21"/>
  <c r="O710" i="21"/>
  <c r="O710" i="21" a="1"/>
  <c r="V709" i="21"/>
  <c r="U709" i="21"/>
  <c r="T709" i="21"/>
  <c r="S709" i="21"/>
  <c r="R709" i="21"/>
  <c r="Q709" i="21"/>
  <c r="P709" i="21"/>
  <c r="O709" i="21"/>
  <c r="O709" i="21" a="1"/>
  <c r="V708" i="21"/>
  <c r="U708" i="21"/>
  <c r="T708" i="21"/>
  <c r="S708" i="21"/>
  <c r="R708" i="21"/>
  <c r="Q708" i="21"/>
  <c r="P708" i="21"/>
  <c r="O708" i="21"/>
  <c r="O708" i="21" a="1"/>
  <c r="V707" i="21"/>
  <c r="U707" i="21"/>
  <c r="T707" i="21"/>
  <c r="S707" i="21"/>
  <c r="R707" i="21"/>
  <c r="Q707" i="21"/>
  <c r="P707" i="21"/>
  <c r="O707" i="21"/>
  <c r="O707" i="21" a="1"/>
  <c r="V706" i="21"/>
  <c r="U706" i="21"/>
  <c r="T706" i="21"/>
  <c r="S706" i="21"/>
  <c r="R706" i="21"/>
  <c r="Q706" i="21"/>
  <c r="P706" i="21"/>
  <c r="O706" i="21"/>
  <c r="O706" i="21" a="1"/>
  <c r="V705" i="21"/>
  <c r="U705" i="21"/>
  <c r="T705" i="21"/>
  <c r="S705" i="21"/>
  <c r="R705" i="21"/>
  <c r="Q705" i="21"/>
  <c r="P705" i="21"/>
  <c r="O705" i="21"/>
  <c r="O705" i="21" a="1"/>
  <c r="V704" i="21"/>
  <c r="U704" i="21"/>
  <c r="T704" i="21"/>
  <c r="S704" i="21"/>
  <c r="R704" i="21"/>
  <c r="Q704" i="21"/>
  <c r="P704" i="21"/>
  <c r="O704" i="21"/>
  <c r="O704" i="21" a="1"/>
  <c r="V703" i="21"/>
  <c r="U703" i="21"/>
  <c r="T703" i="21"/>
  <c r="S703" i="21"/>
  <c r="R703" i="21"/>
  <c r="Q703" i="21"/>
  <c r="P703" i="21"/>
  <c r="O703" i="21"/>
  <c r="O703" i="21" a="1"/>
  <c r="V702" i="21"/>
  <c r="U702" i="21"/>
  <c r="T702" i="21"/>
  <c r="S702" i="21"/>
  <c r="R702" i="21"/>
  <c r="Q702" i="21"/>
  <c r="P702" i="21"/>
  <c r="O702" i="21"/>
  <c r="O702" i="21" a="1"/>
  <c r="V701" i="21"/>
  <c r="U701" i="21"/>
  <c r="T701" i="21"/>
  <c r="S701" i="21"/>
  <c r="R701" i="21"/>
  <c r="Q701" i="21"/>
  <c r="P701" i="21"/>
  <c r="O701" i="21"/>
  <c r="O701" i="21" a="1"/>
  <c r="V700" i="21"/>
  <c r="U700" i="21"/>
  <c r="T700" i="21"/>
  <c r="S700" i="21"/>
  <c r="R700" i="21"/>
  <c r="Q700" i="21"/>
  <c r="P700" i="21"/>
  <c r="O700" i="21"/>
  <c r="O700" i="21" a="1"/>
  <c r="V699" i="21"/>
  <c r="U699" i="21"/>
  <c r="T699" i="21"/>
  <c r="S699" i="21"/>
  <c r="R699" i="21"/>
  <c r="Q699" i="21"/>
  <c r="P699" i="21"/>
  <c r="O699" i="21"/>
  <c r="O699" i="21" a="1"/>
  <c r="V698" i="21"/>
  <c r="U698" i="21"/>
  <c r="T698" i="21"/>
  <c r="S698" i="21"/>
  <c r="R698" i="21"/>
  <c r="Q698" i="21"/>
  <c r="P698" i="21"/>
  <c r="O698" i="21"/>
  <c r="O698" i="21" a="1"/>
  <c r="V697" i="21"/>
  <c r="U697" i="21"/>
  <c r="T697" i="21"/>
  <c r="S697" i="21"/>
  <c r="R697" i="21"/>
  <c r="Q697" i="21"/>
  <c r="P697" i="21"/>
  <c r="O697" i="21"/>
  <c r="O697" i="21" a="1"/>
  <c r="V696" i="21"/>
  <c r="U696" i="21"/>
  <c r="T696" i="21"/>
  <c r="S696" i="21"/>
  <c r="R696" i="21"/>
  <c r="Q696" i="21"/>
  <c r="P696" i="21"/>
  <c r="O696" i="21"/>
  <c r="O696" i="21" a="1"/>
  <c r="V695" i="21"/>
  <c r="U695" i="21"/>
  <c r="T695" i="21"/>
  <c r="S695" i="21"/>
  <c r="R695" i="21"/>
  <c r="Q695" i="21"/>
  <c r="P695" i="21"/>
  <c r="O695" i="21"/>
  <c r="O695" i="21" a="1"/>
  <c r="V694" i="21"/>
  <c r="U694" i="21"/>
  <c r="T694" i="21"/>
  <c r="S694" i="21"/>
  <c r="R694" i="21"/>
  <c r="Q694" i="21"/>
  <c r="P694" i="21"/>
  <c r="O694" i="21"/>
  <c r="O694" i="21" a="1"/>
  <c r="V693" i="21"/>
  <c r="U693" i="21"/>
  <c r="T693" i="21"/>
  <c r="S693" i="21"/>
  <c r="R693" i="21"/>
  <c r="Q693" i="21"/>
  <c r="P693" i="21"/>
  <c r="O693" i="21"/>
  <c r="O693" i="21" a="1"/>
  <c r="V692" i="21"/>
  <c r="U692" i="21"/>
  <c r="T692" i="21"/>
  <c r="S692" i="21"/>
  <c r="R692" i="21"/>
  <c r="Q692" i="21"/>
  <c r="P692" i="21"/>
  <c r="O692" i="21"/>
  <c r="O692" i="21" a="1"/>
  <c r="V691" i="21"/>
  <c r="U691" i="21"/>
  <c r="T691" i="21"/>
  <c r="S691" i="21"/>
  <c r="R691" i="21"/>
  <c r="Q691" i="21"/>
  <c r="P691" i="21"/>
  <c r="O691" i="21"/>
  <c r="O691" i="21" a="1"/>
  <c r="V690" i="21"/>
  <c r="U690" i="21"/>
  <c r="T690" i="21"/>
  <c r="S690" i="21"/>
  <c r="R690" i="21"/>
  <c r="Q690" i="21"/>
  <c r="P690" i="21"/>
  <c r="O690" i="21"/>
  <c r="O690" i="21" a="1"/>
  <c r="V689" i="21"/>
  <c r="U689" i="21"/>
  <c r="T689" i="21"/>
  <c r="S689" i="21"/>
  <c r="R689" i="21"/>
  <c r="Q689" i="21"/>
  <c r="P689" i="21"/>
  <c r="O689" i="21"/>
  <c r="O689" i="21" a="1"/>
  <c r="V688" i="21"/>
  <c r="U688" i="21"/>
  <c r="T688" i="21"/>
  <c r="S688" i="21"/>
  <c r="R688" i="21"/>
  <c r="Q688" i="21"/>
  <c r="P688" i="21"/>
  <c r="O688" i="21"/>
  <c r="O688" i="21" a="1"/>
  <c r="V687" i="21"/>
  <c r="U687" i="21"/>
  <c r="T687" i="21"/>
  <c r="S687" i="21"/>
  <c r="R687" i="21"/>
  <c r="Q687" i="21"/>
  <c r="P687" i="21"/>
  <c r="O687" i="21"/>
  <c r="O687" i="21" a="1"/>
  <c r="V686" i="21"/>
  <c r="U686" i="21"/>
  <c r="T686" i="21"/>
  <c r="S686" i="21"/>
  <c r="R686" i="21"/>
  <c r="Q686" i="21"/>
  <c r="P686" i="21"/>
  <c r="O686" i="21"/>
  <c r="O686" i="21" a="1"/>
  <c r="V685" i="21"/>
  <c r="U685" i="21"/>
  <c r="T685" i="21"/>
  <c r="S685" i="21"/>
  <c r="R685" i="21"/>
  <c r="Q685" i="21"/>
  <c r="P685" i="21"/>
  <c r="O685" i="21"/>
  <c r="O685" i="21" a="1"/>
  <c r="V684" i="21"/>
  <c r="U684" i="21"/>
  <c r="T684" i="21"/>
  <c r="S684" i="21"/>
  <c r="R684" i="21"/>
  <c r="Q684" i="21"/>
  <c r="P684" i="21"/>
  <c r="O684" i="21"/>
  <c r="O684" i="21" a="1"/>
  <c r="V683" i="21"/>
  <c r="U683" i="21"/>
  <c r="T683" i="21"/>
  <c r="S683" i="21"/>
  <c r="R683" i="21"/>
  <c r="Q683" i="21"/>
  <c r="P683" i="21"/>
  <c r="O683" i="21"/>
  <c r="O683" i="21" a="1"/>
  <c r="V682" i="21"/>
  <c r="U682" i="21"/>
  <c r="T682" i="21"/>
  <c r="S682" i="21"/>
  <c r="R682" i="21"/>
  <c r="Q682" i="21"/>
  <c r="P682" i="21"/>
  <c r="O682" i="21"/>
  <c r="O682" i="21" a="1"/>
  <c r="V681" i="21"/>
  <c r="U681" i="21"/>
  <c r="T681" i="21"/>
  <c r="S681" i="21"/>
  <c r="R681" i="21"/>
  <c r="Q681" i="21"/>
  <c r="P681" i="21"/>
  <c r="O681" i="21"/>
  <c r="O681" i="21" a="1"/>
  <c r="V680" i="21"/>
  <c r="U680" i="21"/>
  <c r="T680" i="21"/>
  <c r="S680" i="21"/>
  <c r="R680" i="21"/>
  <c r="Q680" i="21"/>
  <c r="P680" i="21"/>
  <c r="O680" i="21"/>
  <c r="O680" i="21" a="1"/>
  <c r="V679" i="21"/>
  <c r="U679" i="21"/>
  <c r="T679" i="21"/>
  <c r="S679" i="21"/>
  <c r="R679" i="21"/>
  <c r="Q679" i="21"/>
  <c r="P679" i="21"/>
  <c r="O679" i="21"/>
  <c r="O679" i="21" a="1"/>
  <c r="V678" i="21"/>
  <c r="U678" i="21"/>
  <c r="T678" i="21"/>
  <c r="S678" i="21"/>
  <c r="R678" i="21"/>
  <c r="Q678" i="21"/>
  <c r="P678" i="21"/>
  <c r="O678" i="21"/>
  <c r="O678" i="21" a="1"/>
  <c r="V677" i="21"/>
  <c r="U677" i="21"/>
  <c r="T677" i="21"/>
  <c r="S677" i="21"/>
  <c r="R677" i="21"/>
  <c r="Q677" i="21"/>
  <c r="P677" i="21"/>
  <c r="O677" i="21"/>
  <c r="O677" i="21" a="1"/>
  <c r="V676" i="21"/>
  <c r="U676" i="21"/>
  <c r="T676" i="21"/>
  <c r="S676" i="21"/>
  <c r="R676" i="21"/>
  <c r="Q676" i="21"/>
  <c r="P676" i="21"/>
  <c r="O676" i="21"/>
  <c r="O676" i="21" a="1"/>
  <c r="V675" i="21"/>
  <c r="U675" i="21"/>
  <c r="T675" i="21"/>
  <c r="S675" i="21"/>
  <c r="R675" i="21"/>
  <c r="Q675" i="21"/>
  <c r="P675" i="21"/>
  <c r="O675" i="21"/>
  <c r="O675" i="21" a="1"/>
  <c r="V674" i="21"/>
  <c r="U674" i="21"/>
  <c r="T674" i="21"/>
  <c r="S674" i="21"/>
  <c r="R674" i="21"/>
  <c r="Q674" i="21"/>
  <c r="P674" i="21"/>
  <c r="O674" i="21"/>
  <c r="O674" i="21" a="1"/>
  <c r="V673" i="21"/>
  <c r="U673" i="21"/>
  <c r="T673" i="21"/>
  <c r="S673" i="21"/>
  <c r="R673" i="21"/>
  <c r="Q673" i="21"/>
  <c r="P673" i="21"/>
  <c r="O673" i="21"/>
  <c r="O673" i="21" a="1"/>
  <c r="V672" i="21"/>
  <c r="U672" i="21"/>
  <c r="T672" i="21"/>
  <c r="S672" i="21"/>
  <c r="R672" i="21"/>
  <c r="Q672" i="21"/>
  <c r="P672" i="21"/>
  <c r="O672" i="21"/>
  <c r="O672" i="21" a="1"/>
  <c r="V671" i="21"/>
  <c r="U671" i="21"/>
  <c r="T671" i="21"/>
  <c r="S671" i="21"/>
  <c r="R671" i="21"/>
  <c r="Q671" i="21"/>
  <c r="P671" i="21"/>
  <c r="O671" i="21"/>
  <c r="O671" i="21" a="1"/>
  <c r="V670" i="21"/>
  <c r="U670" i="21"/>
  <c r="T670" i="21"/>
  <c r="S670" i="21"/>
  <c r="R670" i="21"/>
  <c r="Q670" i="21"/>
  <c r="P670" i="21"/>
  <c r="O670" i="21"/>
  <c r="O670" i="21" a="1"/>
  <c r="V669" i="21"/>
  <c r="U669" i="21"/>
  <c r="T669" i="21"/>
  <c r="S669" i="21"/>
  <c r="R669" i="21"/>
  <c r="Q669" i="21"/>
  <c r="P669" i="21"/>
  <c r="O669" i="21"/>
  <c r="O669" i="21" a="1"/>
  <c r="V668" i="21"/>
  <c r="U668" i="21"/>
  <c r="T668" i="21"/>
  <c r="S668" i="21"/>
  <c r="R668" i="21"/>
  <c r="Q668" i="21"/>
  <c r="P668" i="21"/>
  <c r="O668" i="21"/>
  <c r="O668" i="21" a="1"/>
  <c r="V667" i="21"/>
  <c r="U667" i="21"/>
  <c r="T667" i="21"/>
  <c r="S667" i="21"/>
  <c r="R667" i="21"/>
  <c r="Q667" i="21"/>
  <c r="P667" i="21"/>
  <c r="O667" i="21"/>
  <c r="O667" i="21" a="1"/>
  <c r="V666" i="21"/>
  <c r="U666" i="21"/>
  <c r="T666" i="21"/>
  <c r="S666" i="21"/>
  <c r="R666" i="21"/>
  <c r="Q666" i="21"/>
  <c r="P666" i="21"/>
  <c r="O666" i="21"/>
  <c r="O666" i="21" a="1"/>
  <c r="V665" i="21"/>
  <c r="U665" i="21"/>
  <c r="T665" i="21"/>
  <c r="S665" i="21"/>
  <c r="R665" i="21"/>
  <c r="Q665" i="21"/>
  <c r="P665" i="21"/>
  <c r="O665" i="21"/>
  <c r="O665" i="21" a="1"/>
  <c r="V664" i="21"/>
  <c r="U664" i="21"/>
  <c r="T664" i="21"/>
  <c r="S664" i="21"/>
  <c r="R664" i="21"/>
  <c r="Q664" i="21"/>
  <c r="P664" i="21"/>
  <c r="O664" i="21"/>
  <c r="O664" i="21" a="1"/>
  <c r="V663" i="21"/>
  <c r="U663" i="21"/>
  <c r="T663" i="21"/>
  <c r="S663" i="21"/>
  <c r="R663" i="21"/>
  <c r="Q663" i="21"/>
  <c r="P663" i="21"/>
  <c r="O663" i="21"/>
  <c r="O663" i="21" a="1"/>
  <c r="V662" i="21"/>
  <c r="U662" i="21"/>
  <c r="T662" i="21"/>
  <c r="S662" i="21"/>
  <c r="R662" i="21"/>
  <c r="Q662" i="21"/>
  <c r="P662" i="21"/>
  <c r="O662" i="21"/>
  <c r="O662" i="21" a="1"/>
  <c r="V661" i="21"/>
  <c r="U661" i="21"/>
  <c r="T661" i="21"/>
  <c r="S661" i="21"/>
  <c r="R661" i="21"/>
  <c r="Q661" i="21"/>
  <c r="P661" i="21"/>
  <c r="O661" i="21"/>
  <c r="O661" i="21" a="1"/>
  <c r="V660" i="21"/>
  <c r="U660" i="21"/>
  <c r="T660" i="21"/>
  <c r="S660" i="21"/>
  <c r="R660" i="21"/>
  <c r="Q660" i="21"/>
  <c r="P660" i="21"/>
  <c r="O660" i="21"/>
  <c r="O660" i="21" a="1"/>
  <c r="V659" i="21"/>
  <c r="U659" i="21"/>
  <c r="T659" i="21"/>
  <c r="S659" i="21"/>
  <c r="R659" i="21"/>
  <c r="Q659" i="21"/>
  <c r="P659" i="21"/>
  <c r="O659" i="21"/>
  <c r="O659" i="21" a="1"/>
  <c r="V658" i="21"/>
  <c r="U658" i="21"/>
  <c r="T658" i="21"/>
  <c r="S658" i="21"/>
  <c r="R658" i="21"/>
  <c r="Q658" i="21"/>
  <c r="P658" i="21"/>
  <c r="O658" i="21"/>
  <c r="O658" i="21" a="1"/>
  <c r="V657" i="21"/>
  <c r="U657" i="21"/>
  <c r="T657" i="21"/>
  <c r="S657" i="21"/>
  <c r="R657" i="21"/>
  <c r="Q657" i="21"/>
  <c r="P657" i="21"/>
  <c r="O657" i="21"/>
  <c r="O657" i="21" a="1"/>
  <c r="V656" i="21"/>
  <c r="U656" i="21"/>
  <c r="T656" i="21"/>
  <c r="S656" i="21"/>
  <c r="R656" i="21"/>
  <c r="Q656" i="21"/>
  <c r="P656" i="21"/>
  <c r="O656" i="21"/>
  <c r="O656" i="21" a="1"/>
  <c r="V655" i="21"/>
  <c r="U655" i="21"/>
  <c r="T655" i="21"/>
  <c r="S655" i="21"/>
  <c r="R655" i="21"/>
  <c r="Q655" i="21"/>
  <c r="P655" i="21"/>
  <c r="O655" i="21"/>
  <c r="O655" i="21" a="1"/>
  <c r="V654" i="21"/>
  <c r="U654" i="21"/>
  <c r="T654" i="21"/>
  <c r="S654" i="21"/>
  <c r="R654" i="21"/>
  <c r="Q654" i="21"/>
  <c r="P654" i="21"/>
  <c r="O654" i="21"/>
  <c r="O654" i="21" a="1"/>
  <c r="V653" i="21"/>
  <c r="U653" i="21"/>
  <c r="T653" i="21"/>
  <c r="S653" i="21"/>
  <c r="R653" i="21"/>
  <c r="Q653" i="21"/>
  <c r="P653" i="21"/>
  <c r="O653" i="21"/>
  <c r="O653" i="21" a="1"/>
  <c r="V652" i="21"/>
  <c r="U652" i="21"/>
  <c r="T652" i="21"/>
  <c r="S652" i="21"/>
  <c r="R652" i="21"/>
  <c r="Q652" i="21"/>
  <c r="P652" i="21"/>
  <c r="O652" i="21"/>
  <c r="O652" i="21" a="1"/>
  <c r="V651" i="21"/>
  <c r="U651" i="21"/>
  <c r="T651" i="21"/>
  <c r="S651" i="21"/>
  <c r="R651" i="21"/>
  <c r="Q651" i="21"/>
  <c r="P651" i="21"/>
  <c r="O651" i="21"/>
  <c r="O651" i="21" a="1"/>
  <c r="V650" i="21"/>
  <c r="U650" i="21"/>
  <c r="T650" i="21"/>
  <c r="S650" i="21"/>
  <c r="R650" i="21"/>
  <c r="Q650" i="21"/>
  <c r="P650" i="21"/>
  <c r="O650" i="21"/>
  <c r="O650" i="21" a="1"/>
  <c r="V649" i="21"/>
  <c r="U649" i="21"/>
  <c r="T649" i="21"/>
  <c r="S649" i="21"/>
  <c r="R649" i="21"/>
  <c r="Q649" i="21"/>
  <c r="P649" i="21"/>
  <c r="O649" i="21"/>
  <c r="O649" i="21" a="1"/>
  <c r="V648" i="21"/>
  <c r="U648" i="21"/>
  <c r="T648" i="21"/>
  <c r="S648" i="21"/>
  <c r="R648" i="21"/>
  <c r="Q648" i="21"/>
  <c r="P648" i="21"/>
  <c r="O648" i="21"/>
  <c r="O648" i="21" a="1"/>
  <c r="V647" i="21"/>
  <c r="U647" i="21"/>
  <c r="T647" i="21"/>
  <c r="S647" i="21"/>
  <c r="R647" i="21"/>
  <c r="Q647" i="21"/>
  <c r="P647" i="21"/>
  <c r="O647" i="21"/>
  <c r="O647" i="21" a="1"/>
  <c r="V646" i="21"/>
  <c r="U646" i="21"/>
  <c r="T646" i="21"/>
  <c r="S646" i="21"/>
  <c r="R646" i="21"/>
  <c r="Q646" i="21"/>
  <c r="P646" i="21"/>
  <c r="O646" i="21"/>
  <c r="O646" i="21" a="1"/>
  <c r="V645" i="21"/>
  <c r="U645" i="21"/>
  <c r="T645" i="21"/>
  <c r="S645" i="21"/>
  <c r="R645" i="21"/>
  <c r="Q645" i="21"/>
  <c r="P645" i="21"/>
  <c r="O645" i="21"/>
  <c r="O645" i="21" a="1"/>
  <c r="V644" i="21"/>
  <c r="U644" i="21"/>
  <c r="T644" i="21"/>
  <c r="S644" i="21"/>
  <c r="R644" i="21"/>
  <c r="Q644" i="21"/>
  <c r="P644" i="21"/>
  <c r="O644" i="21"/>
  <c r="O644" i="21" a="1"/>
  <c r="V643" i="21"/>
  <c r="U643" i="21"/>
  <c r="T643" i="21"/>
  <c r="S643" i="21"/>
  <c r="R643" i="21"/>
  <c r="Q643" i="21"/>
  <c r="P643" i="21"/>
  <c r="O643" i="21"/>
  <c r="O643" i="21" a="1"/>
  <c r="V642" i="21"/>
  <c r="U642" i="21"/>
  <c r="T642" i="21"/>
  <c r="S642" i="21"/>
  <c r="R642" i="21"/>
  <c r="Q642" i="21"/>
  <c r="P642" i="21"/>
  <c r="O642" i="21"/>
  <c r="O642" i="21" a="1"/>
  <c r="V641" i="21"/>
  <c r="U641" i="21"/>
  <c r="T641" i="21"/>
  <c r="S641" i="21"/>
  <c r="R641" i="21"/>
  <c r="Q641" i="21"/>
  <c r="P641" i="21"/>
  <c r="O641" i="21"/>
  <c r="O641" i="21" a="1"/>
  <c r="V640" i="21"/>
  <c r="U640" i="21"/>
  <c r="T640" i="21"/>
  <c r="S640" i="21"/>
  <c r="R640" i="21"/>
  <c r="Q640" i="21"/>
  <c r="P640" i="21"/>
  <c r="O640" i="21"/>
  <c r="O640" i="21" a="1"/>
  <c r="V639" i="21"/>
  <c r="U639" i="21"/>
  <c r="T639" i="21"/>
  <c r="S639" i="21"/>
  <c r="R639" i="21"/>
  <c r="Q639" i="21"/>
  <c r="P639" i="21"/>
  <c r="O639" i="21"/>
  <c r="O639" i="21" a="1"/>
  <c r="V638" i="21"/>
  <c r="U638" i="21"/>
  <c r="T638" i="21"/>
  <c r="S638" i="21"/>
  <c r="R638" i="21"/>
  <c r="Q638" i="21"/>
  <c r="P638" i="21"/>
  <c r="O638" i="21"/>
  <c r="O638" i="21" a="1"/>
  <c r="V637" i="21"/>
  <c r="U637" i="21"/>
  <c r="T637" i="21"/>
  <c r="S637" i="21"/>
  <c r="R637" i="21"/>
  <c r="Q637" i="21"/>
  <c r="P637" i="21"/>
  <c r="O637" i="21"/>
  <c r="O637" i="21" a="1"/>
  <c r="V636" i="21"/>
  <c r="U636" i="21"/>
  <c r="T636" i="21"/>
  <c r="S636" i="21"/>
  <c r="R636" i="21"/>
  <c r="Q636" i="21"/>
  <c r="P636" i="21"/>
  <c r="O636" i="21"/>
  <c r="O636" i="21" a="1"/>
  <c r="V635" i="21"/>
  <c r="U635" i="21"/>
  <c r="T635" i="21"/>
  <c r="S635" i="21"/>
  <c r="R635" i="21"/>
  <c r="Q635" i="21"/>
  <c r="P635" i="21"/>
  <c r="O635" i="21"/>
  <c r="O635" i="21" a="1"/>
  <c r="V634" i="21"/>
  <c r="U634" i="21"/>
  <c r="T634" i="21"/>
  <c r="S634" i="21"/>
  <c r="R634" i="21"/>
  <c r="Q634" i="21"/>
  <c r="P634" i="21"/>
  <c r="O634" i="21"/>
  <c r="O634" i="21" a="1"/>
  <c r="V633" i="21"/>
  <c r="U633" i="21"/>
  <c r="T633" i="21"/>
  <c r="S633" i="21"/>
  <c r="R633" i="21"/>
  <c r="Q633" i="21"/>
  <c r="P633" i="21"/>
  <c r="O633" i="21"/>
  <c r="O633" i="21" a="1"/>
  <c r="V632" i="21"/>
  <c r="U632" i="21"/>
  <c r="T632" i="21"/>
  <c r="S632" i="21"/>
  <c r="R632" i="21"/>
  <c r="Q632" i="21"/>
  <c r="P632" i="21"/>
  <c r="O632" i="21"/>
  <c r="O632" i="21" a="1"/>
  <c r="V631" i="21"/>
  <c r="U631" i="21"/>
  <c r="T631" i="21"/>
  <c r="S631" i="21"/>
  <c r="R631" i="21"/>
  <c r="Q631" i="21"/>
  <c r="P631" i="21"/>
  <c r="O631" i="21"/>
  <c r="O631" i="21" a="1"/>
  <c r="V630" i="21"/>
  <c r="U630" i="21"/>
  <c r="T630" i="21"/>
  <c r="S630" i="21"/>
  <c r="R630" i="21"/>
  <c r="Q630" i="21"/>
  <c r="P630" i="21"/>
  <c r="O630" i="21"/>
  <c r="O630" i="21" a="1"/>
  <c r="V629" i="21"/>
  <c r="U629" i="21"/>
  <c r="T629" i="21"/>
  <c r="S629" i="21"/>
  <c r="R629" i="21"/>
  <c r="Q629" i="21"/>
  <c r="P629" i="21"/>
  <c r="O629" i="21"/>
  <c r="O629" i="21" a="1"/>
  <c r="V628" i="21"/>
  <c r="U628" i="21"/>
  <c r="T628" i="21"/>
  <c r="S628" i="21"/>
  <c r="R628" i="21"/>
  <c r="Q628" i="21"/>
  <c r="P628" i="21"/>
  <c r="O628" i="21"/>
  <c r="O628" i="21" a="1"/>
  <c r="V627" i="21"/>
  <c r="U627" i="21"/>
  <c r="T627" i="21"/>
  <c r="S627" i="21"/>
  <c r="R627" i="21"/>
  <c r="Q627" i="21"/>
  <c r="P627" i="21"/>
  <c r="O627" i="21"/>
  <c r="O627" i="21" a="1"/>
  <c r="V626" i="21"/>
  <c r="U626" i="21"/>
  <c r="T626" i="21"/>
  <c r="S626" i="21"/>
  <c r="R626" i="21"/>
  <c r="Q626" i="21"/>
  <c r="P626" i="21"/>
  <c r="O626" i="21"/>
  <c r="O626" i="21" a="1"/>
  <c r="V625" i="21"/>
  <c r="U625" i="21"/>
  <c r="T625" i="21"/>
  <c r="S625" i="21"/>
  <c r="R625" i="21"/>
  <c r="Q625" i="21"/>
  <c r="P625" i="21"/>
  <c r="O625" i="21"/>
  <c r="O625" i="21" a="1"/>
  <c r="V624" i="21"/>
  <c r="U624" i="21"/>
  <c r="T624" i="21"/>
  <c r="S624" i="21"/>
  <c r="R624" i="21"/>
  <c r="Q624" i="21"/>
  <c r="P624" i="21"/>
  <c r="O624" i="21"/>
  <c r="O624" i="21" a="1"/>
  <c r="V623" i="21"/>
  <c r="U623" i="21"/>
  <c r="T623" i="21"/>
  <c r="S623" i="21"/>
  <c r="R623" i="21"/>
  <c r="Q623" i="21"/>
  <c r="P623" i="21"/>
  <c r="O623" i="21"/>
  <c r="O623" i="21" a="1"/>
  <c r="V622" i="21"/>
  <c r="U622" i="21"/>
  <c r="T622" i="21"/>
  <c r="S622" i="21"/>
  <c r="R622" i="21"/>
  <c r="Q622" i="21"/>
  <c r="P622" i="21"/>
  <c r="O622" i="21"/>
  <c r="O622" i="21" a="1"/>
  <c r="V621" i="21"/>
  <c r="U621" i="21"/>
  <c r="T621" i="21"/>
  <c r="S621" i="21"/>
  <c r="R621" i="21"/>
  <c r="Q621" i="21"/>
  <c r="P621" i="21"/>
  <c r="O621" i="21"/>
  <c r="O621" i="21" a="1"/>
  <c r="V620" i="21"/>
  <c r="U620" i="21"/>
  <c r="T620" i="21"/>
  <c r="S620" i="21"/>
  <c r="R620" i="21"/>
  <c r="Q620" i="21"/>
  <c r="P620" i="21"/>
  <c r="O620" i="21"/>
  <c r="O620" i="21" a="1"/>
  <c r="V619" i="21"/>
  <c r="U619" i="21"/>
  <c r="T619" i="21"/>
  <c r="S619" i="21"/>
  <c r="R619" i="21"/>
  <c r="Q619" i="21"/>
  <c r="P619" i="21"/>
  <c r="O619" i="21"/>
  <c r="O619" i="21" a="1"/>
  <c r="V618" i="21"/>
  <c r="U618" i="21"/>
  <c r="T618" i="21"/>
  <c r="S618" i="21"/>
  <c r="R618" i="21"/>
  <c r="Q618" i="21"/>
  <c r="P618" i="21"/>
  <c r="O618" i="21"/>
  <c r="O618" i="21" a="1"/>
  <c r="V617" i="21"/>
  <c r="U617" i="21"/>
  <c r="T617" i="21"/>
  <c r="S617" i="21"/>
  <c r="R617" i="21"/>
  <c r="Q617" i="21"/>
  <c r="P617" i="21"/>
  <c r="O617" i="21"/>
  <c r="O617" i="21" a="1"/>
  <c r="V616" i="21"/>
  <c r="U616" i="21"/>
  <c r="T616" i="21"/>
  <c r="S616" i="21"/>
  <c r="R616" i="21"/>
  <c r="Q616" i="21"/>
  <c r="P616" i="21"/>
  <c r="O616" i="21"/>
  <c r="O616" i="21" a="1"/>
  <c r="V615" i="21"/>
  <c r="U615" i="21"/>
  <c r="T615" i="21"/>
  <c r="S615" i="21"/>
  <c r="R615" i="21"/>
  <c r="Q615" i="21"/>
  <c r="P615" i="21"/>
  <c r="O615" i="21"/>
  <c r="O615" i="21" a="1"/>
  <c r="V614" i="21"/>
  <c r="U614" i="21"/>
  <c r="T614" i="21"/>
  <c r="S614" i="21"/>
  <c r="R614" i="21"/>
  <c r="Q614" i="21"/>
  <c r="P614" i="21"/>
  <c r="O614" i="21"/>
  <c r="O614" i="21" a="1"/>
  <c r="V613" i="21"/>
  <c r="U613" i="21"/>
  <c r="T613" i="21"/>
  <c r="S613" i="21"/>
  <c r="R613" i="21"/>
  <c r="Q613" i="21"/>
  <c r="P613" i="21"/>
  <c r="O613" i="21"/>
  <c r="O613" i="21" a="1"/>
  <c r="V612" i="21"/>
  <c r="U612" i="21"/>
  <c r="T612" i="21"/>
  <c r="S612" i="21"/>
  <c r="R612" i="21"/>
  <c r="Q612" i="21"/>
  <c r="P612" i="21"/>
  <c r="O612" i="21"/>
  <c r="O612" i="21" a="1"/>
  <c r="V611" i="21"/>
  <c r="U611" i="21"/>
  <c r="T611" i="21"/>
  <c r="S611" i="21"/>
  <c r="R611" i="21"/>
  <c r="Q611" i="21"/>
  <c r="P611" i="21"/>
  <c r="O611" i="21"/>
  <c r="O611" i="21" a="1"/>
  <c r="V610" i="21"/>
  <c r="U610" i="21"/>
  <c r="T610" i="21"/>
  <c r="S610" i="21"/>
  <c r="R610" i="21"/>
  <c r="Q610" i="21"/>
  <c r="P610" i="21"/>
  <c r="O610" i="21"/>
  <c r="O610" i="21" a="1"/>
  <c r="V609" i="21"/>
  <c r="U609" i="21"/>
  <c r="T609" i="21"/>
  <c r="S609" i="21"/>
  <c r="R609" i="21"/>
  <c r="Q609" i="21"/>
  <c r="P609" i="21"/>
  <c r="O609" i="21"/>
  <c r="O609" i="21" a="1"/>
  <c r="V608" i="21"/>
  <c r="U608" i="21"/>
  <c r="T608" i="21"/>
  <c r="S608" i="21"/>
  <c r="R608" i="21"/>
  <c r="Q608" i="21"/>
  <c r="P608" i="21"/>
  <c r="O608" i="21"/>
  <c r="O608" i="21" a="1"/>
  <c r="V607" i="21"/>
  <c r="U607" i="21"/>
  <c r="T607" i="21"/>
  <c r="S607" i="21"/>
  <c r="R607" i="21"/>
  <c r="Q607" i="21"/>
  <c r="P607" i="21"/>
  <c r="O607" i="21"/>
  <c r="O607" i="21" a="1"/>
  <c r="V606" i="21"/>
  <c r="U606" i="21"/>
  <c r="T606" i="21"/>
  <c r="S606" i="21"/>
  <c r="R606" i="21"/>
  <c r="Q606" i="21"/>
  <c r="P606" i="21"/>
  <c r="O606" i="21"/>
  <c r="O606" i="21" a="1"/>
  <c r="V605" i="21"/>
  <c r="U605" i="21"/>
  <c r="T605" i="21"/>
  <c r="S605" i="21"/>
  <c r="R605" i="21"/>
  <c r="Q605" i="21"/>
  <c r="P605" i="21"/>
  <c r="O605" i="21"/>
  <c r="O605" i="21" a="1"/>
  <c r="V604" i="21"/>
  <c r="U604" i="21"/>
  <c r="T604" i="21"/>
  <c r="S604" i="21"/>
  <c r="R604" i="21"/>
  <c r="Q604" i="21"/>
  <c r="P604" i="21"/>
  <c r="O604" i="21"/>
  <c r="O604" i="21" a="1"/>
  <c r="V603" i="21"/>
  <c r="U603" i="21"/>
  <c r="T603" i="21"/>
  <c r="S603" i="21"/>
  <c r="R603" i="21"/>
  <c r="Q603" i="21"/>
  <c r="P603" i="21"/>
  <c r="O603" i="21"/>
  <c r="O603" i="21" a="1"/>
  <c r="V602" i="21"/>
  <c r="U602" i="21"/>
  <c r="T602" i="21"/>
  <c r="S602" i="21"/>
  <c r="R602" i="21"/>
  <c r="Q602" i="21"/>
  <c r="P602" i="21"/>
  <c r="O602" i="21"/>
  <c r="O602" i="21" a="1"/>
  <c r="V601" i="21"/>
  <c r="U601" i="21"/>
  <c r="T601" i="21"/>
  <c r="S601" i="21"/>
  <c r="R601" i="21"/>
  <c r="Q601" i="21"/>
  <c r="P601" i="21"/>
  <c r="O601" i="21"/>
  <c r="O601" i="21" a="1"/>
  <c r="V600" i="21"/>
  <c r="U600" i="21"/>
  <c r="T600" i="21"/>
  <c r="S600" i="21"/>
  <c r="R600" i="21"/>
  <c r="Q600" i="21"/>
  <c r="P600" i="21"/>
  <c r="O600" i="21"/>
  <c r="O600" i="21" a="1"/>
  <c r="V599" i="21"/>
  <c r="U599" i="21"/>
  <c r="T599" i="21"/>
  <c r="S599" i="21"/>
  <c r="R599" i="21"/>
  <c r="Q599" i="21"/>
  <c r="P599" i="21"/>
  <c r="O599" i="21"/>
  <c r="O599" i="21" a="1"/>
  <c r="V598" i="21"/>
  <c r="U598" i="21"/>
  <c r="T598" i="21"/>
  <c r="S598" i="21"/>
  <c r="R598" i="21"/>
  <c r="Q598" i="21"/>
  <c r="P598" i="21"/>
  <c r="O598" i="21"/>
  <c r="O598" i="21" a="1"/>
  <c r="V597" i="21"/>
  <c r="U597" i="21"/>
  <c r="T597" i="21"/>
  <c r="S597" i="21"/>
  <c r="R597" i="21"/>
  <c r="Q597" i="21"/>
  <c r="P597" i="21"/>
  <c r="O597" i="21"/>
  <c r="O597" i="21" a="1"/>
  <c r="V596" i="21"/>
  <c r="U596" i="21"/>
  <c r="T596" i="21"/>
  <c r="S596" i="21"/>
  <c r="R596" i="21"/>
  <c r="Q596" i="21"/>
  <c r="P596" i="21"/>
  <c r="O596" i="21"/>
  <c r="O596" i="21" a="1"/>
  <c r="V595" i="21"/>
  <c r="U595" i="21"/>
  <c r="T595" i="21"/>
  <c r="S595" i="21"/>
  <c r="R595" i="21"/>
  <c r="Q595" i="21"/>
  <c r="P595" i="21"/>
  <c r="O595" i="21"/>
  <c r="O595" i="21" a="1"/>
  <c r="V594" i="21"/>
  <c r="U594" i="21"/>
  <c r="T594" i="21"/>
  <c r="S594" i="21"/>
  <c r="R594" i="21"/>
  <c r="Q594" i="21"/>
  <c r="P594" i="21"/>
  <c r="O594" i="21"/>
  <c r="O594" i="21" a="1"/>
  <c r="V593" i="21"/>
  <c r="U593" i="21"/>
  <c r="T593" i="21"/>
  <c r="S593" i="21"/>
  <c r="R593" i="21"/>
  <c r="Q593" i="21"/>
  <c r="P593" i="21"/>
  <c r="O593" i="21"/>
  <c r="O593" i="21" a="1"/>
  <c r="V592" i="21"/>
  <c r="U592" i="21"/>
  <c r="T592" i="21"/>
  <c r="S592" i="21"/>
  <c r="R592" i="21"/>
  <c r="Q592" i="21"/>
  <c r="P592" i="21"/>
  <c r="O592" i="21"/>
  <c r="O592" i="21" a="1"/>
  <c r="V591" i="21"/>
  <c r="U591" i="21"/>
  <c r="T591" i="21"/>
  <c r="S591" i="21"/>
  <c r="R591" i="21"/>
  <c r="Q591" i="21"/>
  <c r="P591" i="21"/>
  <c r="O591" i="21"/>
  <c r="O591" i="21" a="1"/>
  <c r="V590" i="21"/>
  <c r="U590" i="21"/>
  <c r="T590" i="21"/>
  <c r="S590" i="21"/>
  <c r="R590" i="21"/>
  <c r="Q590" i="21"/>
  <c r="P590" i="21"/>
  <c r="O590" i="21"/>
  <c r="O590" i="21" a="1"/>
  <c r="V589" i="21"/>
  <c r="U589" i="21"/>
  <c r="T589" i="21"/>
  <c r="S589" i="21"/>
  <c r="R589" i="21"/>
  <c r="Q589" i="21"/>
  <c r="P589" i="21"/>
  <c r="O589" i="21"/>
  <c r="O589" i="21" a="1"/>
  <c r="V588" i="21"/>
  <c r="U588" i="21"/>
  <c r="T588" i="21"/>
  <c r="S588" i="21"/>
  <c r="R588" i="21"/>
  <c r="Q588" i="21"/>
  <c r="P588" i="21"/>
  <c r="O588" i="21"/>
  <c r="O588" i="21" a="1"/>
  <c r="V587" i="21"/>
  <c r="U587" i="21"/>
  <c r="T587" i="21"/>
  <c r="S587" i="21"/>
  <c r="R587" i="21"/>
  <c r="Q587" i="21"/>
  <c r="P587" i="21"/>
  <c r="O587" i="21"/>
  <c r="O587" i="21" a="1"/>
  <c r="V586" i="21"/>
  <c r="U586" i="21"/>
  <c r="T586" i="21"/>
  <c r="S586" i="21"/>
  <c r="R586" i="21"/>
  <c r="Q586" i="21"/>
  <c r="P586" i="21"/>
  <c r="O586" i="21"/>
  <c r="O586" i="21" a="1"/>
  <c r="V585" i="21"/>
  <c r="U585" i="21"/>
  <c r="T585" i="21"/>
  <c r="S585" i="21"/>
  <c r="R585" i="21"/>
  <c r="Q585" i="21"/>
  <c r="P585" i="21"/>
  <c r="O585" i="21"/>
  <c r="O585" i="21" a="1"/>
  <c r="V584" i="21"/>
  <c r="U584" i="21"/>
  <c r="T584" i="21"/>
  <c r="S584" i="21"/>
  <c r="R584" i="21"/>
  <c r="Q584" i="21"/>
  <c r="P584" i="21"/>
  <c r="O584" i="21"/>
  <c r="O584" i="21" a="1"/>
  <c r="V583" i="21"/>
  <c r="U583" i="21"/>
  <c r="T583" i="21"/>
  <c r="S583" i="21"/>
  <c r="R583" i="21"/>
  <c r="Q583" i="21"/>
  <c r="P583" i="21"/>
  <c r="O583" i="21"/>
  <c r="O583" i="21" a="1"/>
  <c r="V582" i="21"/>
  <c r="U582" i="21"/>
  <c r="T582" i="21"/>
  <c r="S582" i="21"/>
  <c r="R582" i="21"/>
  <c r="Q582" i="21"/>
  <c r="P582" i="21"/>
  <c r="O582" i="21"/>
  <c r="O582" i="21" a="1"/>
  <c r="V581" i="21"/>
  <c r="U581" i="21"/>
  <c r="T581" i="21"/>
  <c r="S581" i="21"/>
  <c r="R581" i="21"/>
  <c r="Q581" i="21"/>
  <c r="P581" i="21"/>
  <c r="O581" i="21"/>
  <c r="O581" i="21" a="1"/>
  <c r="V580" i="21"/>
  <c r="U580" i="21"/>
  <c r="T580" i="21"/>
  <c r="S580" i="21"/>
  <c r="R580" i="21"/>
  <c r="Q580" i="21"/>
  <c r="P580" i="21"/>
  <c r="O580" i="21"/>
  <c r="O580" i="21" a="1"/>
  <c r="V579" i="21"/>
  <c r="U579" i="21"/>
  <c r="T579" i="21"/>
  <c r="S579" i="21"/>
  <c r="R579" i="21"/>
  <c r="Q579" i="21"/>
  <c r="P579" i="21"/>
  <c r="O579" i="21"/>
  <c r="O579" i="21" a="1"/>
  <c r="V578" i="21"/>
  <c r="U578" i="21"/>
  <c r="T578" i="21"/>
  <c r="S578" i="21"/>
  <c r="R578" i="21"/>
  <c r="Q578" i="21"/>
  <c r="P578" i="21"/>
  <c r="O578" i="21"/>
  <c r="O578" i="21" a="1"/>
  <c r="V577" i="21"/>
  <c r="U577" i="21"/>
  <c r="T577" i="21"/>
  <c r="S577" i="21"/>
  <c r="R577" i="21"/>
  <c r="Q577" i="21"/>
  <c r="P577" i="21"/>
  <c r="O577" i="21"/>
  <c r="O577" i="21" a="1"/>
  <c r="V576" i="21"/>
  <c r="U576" i="21"/>
  <c r="T576" i="21"/>
  <c r="S576" i="21"/>
  <c r="R576" i="21"/>
  <c r="Q576" i="21"/>
  <c r="P576" i="21"/>
  <c r="O576" i="21"/>
  <c r="O576" i="21" a="1"/>
  <c r="V575" i="21"/>
  <c r="U575" i="21"/>
  <c r="T575" i="21"/>
  <c r="S575" i="21"/>
  <c r="R575" i="21"/>
  <c r="Q575" i="21"/>
  <c r="P575" i="21"/>
  <c r="O575" i="21"/>
  <c r="O575" i="21" a="1"/>
  <c r="V574" i="21"/>
  <c r="U574" i="21"/>
  <c r="T574" i="21"/>
  <c r="S574" i="21"/>
  <c r="R574" i="21"/>
  <c r="Q574" i="21"/>
  <c r="P574" i="21"/>
  <c r="O574" i="21"/>
  <c r="O574" i="21" a="1"/>
  <c r="V573" i="21"/>
  <c r="U573" i="21"/>
  <c r="T573" i="21"/>
  <c r="S573" i="21"/>
  <c r="R573" i="21"/>
  <c r="Q573" i="21"/>
  <c r="P573" i="21"/>
  <c r="O573" i="21"/>
  <c r="O573" i="21" a="1"/>
  <c r="V572" i="21"/>
  <c r="U572" i="21"/>
  <c r="T572" i="21"/>
  <c r="S572" i="21"/>
  <c r="R572" i="21"/>
  <c r="Q572" i="21"/>
  <c r="P572" i="21"/>
  <c r="O572" i="21"/>
  <c r="O572" i="21" a="1"/>
  <c r="V571" i="21"/>
  <c r="U571" i="21"/>
  <c r="T571" i="21"/>
  <c r="S571" i="21"/>
  <c r="R571" i="21"/>
  <c r="Q571" i="21"/>
  <c r="P571" i="21"/>
  <c r="O571" i="21"/>
  <c r="O571" i="21" a="1"/>
  <c r="V570" i="21"/>
  <c r="U570" i="21"/>
  <c r="T570" i="21"/>
  <c r="S570" i="21"/>
  <c r="R570" i="21"/>
  <c r="Q570" i="21"/>
  <c r="P570" i="21"/>
  <c r="O570" i="21"/>
  <c r="O570" i="21" a="1"/>
  <c r="V569" i="21"/>
  <c r="U569" i="21"/>
  <c r="T569" i="21"/>
  <c r="S569" i="21"/>
  <c r="R569" i="21"/>
  <c r="Q569" i="21"/>
  <c r="P569" i="21"/>
  <c r="O569" i="21"/>
  <c r="O569" i="21" a="1"/>
  <c r="V568" i="21"/>
  <c r="U568" i="21"/>
  <c r="T568" i="21"/>
  <c r="S568" i="21"/>
  <c r="R568" i="21"/>
  <c r="Q568" i="21"/>
  <c r="P568" i="21"/>
  <c r="O568" i="21"/>
  <c r="O568" i="21" a="1"/>
  <c r="V567" i="21"/>
  <c r="U567" i="21"/>
  <c r="T567" i="21"/>
  <c r="S567" i="21"/>
  <c r="R567" i="21"/>
  <c r="Q567" i="21"/>
  <c r="P567" i="21"/>
  <c r="O567" i="21"/>
  <c r="O567" i="21" a="1"/>
  <c r="V566" i="21"/>
  <c r="U566" i="21"/>
  <c r="T566" i="21"/>
  <c r="S566" i="21"/>
  <c r="R566" i="21"/>
  <c r="Q566" i="21"/>
  <c r="P566" i="21"/>
  <c r="O566" i="21"/>
  <c r="O566" i="21" a="1"/>
  <c r="V565" i="21"/>
  <c r="U565" i="21"/>
  <c r="T565" i="21"/>
  <c r="S565" i="21"/>
  <c r="R565" i="21"/>
  <c r="Q565" i="21"/>
  <c r="P565" i="21"/>
  <c r="O565" i="21"/>
  <c r="O565" i="21" a="1"/>
  <c r="V564" i="21"/>
  <c r="U564" i="21"/>
  <c r="T564" i="21"/>
  <c r="S564" i="21"/>
  <c r="R564" i="21"/>
  <c r="Q564" i="21"/>
  <c r="P564" i="21"/>
  <c r="O564" i="21"/>
  <c r="O564" i="21" a="1"/>
  <c r="V563" i="21"/>
  <c r="U563" i="21"/>
  <c r="T563" i="21"/>
  <c r="S563" i="21"/>
  <c r="R563" i="21"/>
  <c r="Q563" i="21"/>
  <c r="P563" i="21"/>
  <c r="O563" i="21"/>
  <c r="O563" i="21" a="1"/>
  <c r="V562" i="21"/>
  <c r="U562" i="21"/>
  <c r="T562" i="21"/>
  <c r="S562" i="21"/>
  <c r="R562" i="21"/>
  <c r="Q562" i="21"/>
  <c r="P562" i="21"/>
  <c r="O562" i="21"/>
  <c r="O562" i="21" a="1"/>
  <c r="V561" i="21"/>
  <c r="U561" i="21"/>
  <c r="T561" i="21"/>
  <c r="S561" i="21"/>
  <c r="R561" i="21"/>
  <c r="Q561" i="21"/>
  <c r="P561" i="21"/>
  <c r="O561" i="21"/>
  <c r="O561" i="21" a="1"/>
  <c r="V560" i="21"/>
  <c r="U560" i="21"/>
  <c r="T560" i="21"/>
  <c r="S560" i="21"/>
  <c r="R560" i="21"/>
  <c r="Q560" i="21"/>
  <c r="P560" i="21"/>
  <c r="O560" i="21"/>
  <c r="O560" i="21" a="1"/>
  <c r="V559" i="21"/>
  <c r="U559" i="21"/>
  <c r="T559" i="21"/>
  <c r="S559" i="21"/>
  <c r="R559" i="21"/>
  <c r="Q559" i="21"/>
  <c r="P559" i="21"/>
  <c r="O559" i="21"/>
  <c r="O559" i="21" a="1"/>
  <c r="V558" i="21"/>
  <c r="U558" i="21"/>
  <c r="T558" i="21"/>
  <c r="S558" i="21"/>
  <c r="R558" i="21"/>
  <c r="Q558" i="21"/>
  <c r="P558" i="21"/>
  <c r="O558" i="21"/>
  <c r="O558" i="21" a="1"/>
  <c r="V557" i="21"/>
  <c r="U557" i="21"/>
  <c r="T557" i="21"/>
  <c r="S557" i="21"/>
  <c r="R557" i="21"/>
  <c r="Q557" i="21"/>
  <c r="P557" i="21"/>
  <c r="O557" i="21"/>
  <c r="O557" i="21" a="1"/>
  <c r="V556" i="21"/>
  <c r="U556" i="21"/>
  <c r="T556" i="21"/>
  <c r="S556" i="21"/>
  <c r="R556" i="21"/>
  <c r="Q556" i="21"/>
  <c r="P556" i="21"/>
  <c r="O556" i="21"/>
  <c r="O556" i="21" a="1"/>
  <c r="V555" i="21"/>
  <c r="U555" i="21"/>
  <c r="T555" i="21"/>
  <c r="S555" i="21"/>
  <c r="R555" i="21"/>
  <c r="Q555" i="21"/>
  <c r="P555" i="21"/>
  <c r="O555" i="21"/>
  <c r="O555" i="21" a="1"/>
  <c r="V554" i="21"/>
  <c r="U554" i="21"/>
  <c r="T554" i="21"/>
  <c r="S554" i="21"/>
  <c r="R554" i="21"/>
  <c r="Q554" i="21"/>
  <c r="P554" i="21"/>
  <c r="O554" i="21"/>
  <c r="O554" i="21" a="1"/>
  <c r="V553" i="21"/>
  <c r="U553" i="21"/>
  <c r="T553" i="21"/>
  <c r="S553" i="21"/>
  <c r="R553" i="21"/>
  <c r="Q553" i="21"/>
  <c r="P553" i="21"/>
  <c r="O553" i="21"/>
  <c r="O553" i="21" a="1"/>
  <c r="V552" i="21"/>
  <c r="U552" i="21"/>
  <c r="T552" i="21"/>
  <c r="S552" i="21"/>
  <c r="R552" i="21"/>
  <c r="Q552" i="21"/>
  <c r="P552" i="21"/>
  <c r="O552" i="21"/>
  <c r="O552" i="21" a="1"/>
  <c r="V551" i="21"/>
  <c r="U551" i="21"/>
  <c r="T551" i="21"/>
  <c r="S551" i="21"/>
  <c r="R551" i="21"/>
  <c r="Q551" i="21"/>
  <c r="P551" i="21"/>
  <c r="O551" i="21"/>
  <c r="O551" i="21" a="1"/>
  <c r="V550" i="21"/>
  <c r="U550" i="21"/>
  <c r="T550" i="21"/>
  <c r="S550" i="21"/>
  <c r="R550" i="21"/>
  <c r="Q550" i="21"/>
  <c r="P550" i="21"/>
  <c r="O550" i="21"/>
  <c r="O550" i="21" a="1"/>
  <c r="V549" i="21"/>
  <c r="U549" i="21"/>
  <c r="T549" i="21"/>
  <c r="S549" i="21"/>
  <c r="R549" i="21"/>
  <c r="Q549" i="21"/>
  <c r="P549" i="21"/>
  <c r="O549" i="21"/>
  <c r="O549" i="21" a="1"/>
  <c r="V548" i="21"/>
  <c r="U548" i="21"/>
  <c r="T548" i="21"/>
  <c r="S548" i="21"/>
  <c r="R548" i="21"/>
  <c r="Q548" i="21"/>
  <c r="P548" i="21"/>
  <c r="O548" i="21"/>
  <c r="O548" i="21" a="1"/>
  <c r="V547" i="21"/>
  <c r="U547" i="21"/>
  <c r="T547" i="21"/>
  <c r="S547" i="21"/>
  <c r="R547" i="21"/>
  <c r="Q547" i="21"/>
  <c r="P547" i="21"/>
  <c r="O547" i="21"/>
  <c r="O547" i="21" a="1"/>
  <c r="V546" i="21"/>
  <c r="U546" i="21"/>
  <c r="T546" i="21"/>
  <c r="S546" i="21"/>
  <c r="R546" i="21"/>
  <c r="Q546" i="21"/>
  <c r="P546" i="21"/>
  <c r="O546" i="21"/>
  <c r="O546" i="21" a="1"/>
  <c r="V545" i="21"/>
  <c r="U545" i="21"/>
  <c r="T545" i="21"/>
  <c r="S545" i="21"/>
  <c r="R545" i="21"/>
  <c r="Q545" i="21"/>
  <c r="P545" i="21"/>
  <c r="O545" i="21"/>
  <c r="O545" i="21" a="1"/>
  <c r="V544" i="21"/>
  <c r="U544" i="21"/>
  <c r="T544" i="21"/>
  <c r="S544" i="21"/>
  <c r="R544" i="21"/>
  <c r="Q544" i="21"/>
  <c r="P544" i="21"/>
  <c r="O544" i="21"/>
  <c r="O544" i="21" a="1"/>
  <c r="V543" i="21"/>
  <c r="U543" i="21"/>
  <c r="T543" i="21"/>
  <c r="S543" i="21"/>
  <c r="R543" i="21"/>
  <c r="Q543" i="21"/>
  <c r="P543" i="21"/>
  <c r="O543" i="21"/>
  <c r="O543" i="21" a="1"/>
  <c r="V542" i="21"/>
  <c r="U542" i="21"/>
  <c r="T542" i="21"/>
  <c r="S542" i="21"/>
  <c r="R542" i="21"/>
  <c r="Q542" i="21"/>
  <c r="P542" i="21"/>
  <c r="O542" i="21"/>
  <c r="O542" i="21" a="1"/>
  <c r="V541" i="21"/>
  <c r="U541" i="21"/>
  <c r="T541" i="21"/>
  <c r="S541" i="21"/>
  <c r="R541" i="21"/>
  <c r="Q541" i="21"/>
  <c r="P541" i="21"/>
  <c r="O541" i="21"/>
  <c r="O541" i="21" a="1"/>
  <c r="V540" i="21"/>
  <c r="U540" i="21"/>
  <c r="T540" i="21"/>
  <c r="S540" i="21"/>
  <c r="R540" i="21"/>
  <c r="Q540" i="21"/>
  <c r="P540" i="21"/>
  <c r="O540" i="21"/>
  <c r="O540" i="21" a="1"/>
  <c r="V539" i="21"/>
  <c r="U539" i="21"/>
  <c r="T539" i="21"/>
  <c r="S539" i="21"/>
  <c r="R539" i="21"/>
  <c r="Q539" i="21"/>
  <c r="P539" i="21"/>
  <c r="O539" i="21"/>
  <c r="O539" i="21" a="1"/>
  <c r="V538" i="21"/>
  <c r="U538" i="21"/>
  <c r="T538" i="21"/>
  <c r="S538" i="21"/>
  <c r="R538" i="21"/>
  <c r="Q538" i="21"/>
  <c r="P538" i="21"/>
  <c r="O538" i="21"/>
  <c r="O538" i="21" a="1"/>
  <c r="V537" i="21"/>
  <c r="U537" i="21"/>
  <c r="T537" i="21"/>
  <c r="S537" i="21"/>
  <c r="R537" i="21"/>
  <c r="Q537" i="21"/>
  <c r="P537" i="21"/>
  <c r="O537" i="21"/>
  <c r="O537" i="21" a="1"/>
  <c r="V536" i="21"/>
  <c r="U536" i="21"/>
  <c r="T536" i="21"/>
  <c r="S536" i="21"/>
  <c r="R536" i="21"/>
  <c r="Q536" i="21"/>
  <c r="P536" i="21"/>
  <c r="O536" i="21"/>
  <c r="O536" i="21" a="1"/>
  <c r="V535" i="21"/>
  <c r="U535" i="21"/>
  <c r="T535" i="21"/>
  <c r="S535" i="21"/>
  <c r="R535" i="21"/>
  <c r="Q535" i="21"/>
  <c r="P535" i="21"/>
  <c r="O535" i="21"/>
  <c r="O535" i="21" a="1"/>
  <c r="V534" i="21"/>
  <c r="U534" i="21"/>
  <c r="T534" i="21"/>
  <c r="S534" i="21"/>
  <c r="R534" i="21"/>
  <c r="Q534" i="21"/>
  <c r="P534" i="21"/>
  <c r="O534" i="21"/>
  <c r="O534" i="21" a="1"/>
  <c r="V533" i="21"/>
  <c r="U533" i="21"/>
  <c r="T533" i="21"/>
  <c r="S533" i="21"/>
  <c r="R533" i="21"/>
  <c r="Q533" i="21"/>
  <c r="P533" i="21"/>
  <c r="O533" i="21"/>
  <c r="O533" i="21" a="1"/>
  <c r="V532" i="21"/>
  <c r="U532" i="21"/>
  <c r="T532" i="21"/>
  <c r="S532" i="21"/>
  <c r="R532" i="21"/>
  <c r="Q532" i="21"/>
  <c r="P532" i="21"/>
  <c r="O532" i="21"/>
  <c r="O532" i="21" a="1"/>
  <c r="V531" i="21"/>
  <c r="U531" i="21"/>
  <c r="T531" i="21"/>
  <c r="S531" i="21"/>
  <c r="R531" i="21"/>
  <c r="Q531" i="21"/>
  <c r="P531" i="21"/>
  <c r="O531" i="21"/>
  <c r="O531" i="21" a="1"/>
  <c r="V530" i="21"/>
  <c r="U530" i="21"/>
  <c r="T530" i="21"/>
  <c r="S530" i="21"/>
  <c r="R530" i="21"/>
  <c r="Q530" i="21"/>
  <c r="P530" i="21"/>
  <c r="O530" i="21"/>
  <c r="O530" i="21" a="1"/>
  <c r="V529" i="21"/>
  <c r="U529" i="21"/>
  <c r="T529" i="21"/>
  <c r="S529" i="21"/>
  <c r="R529" i="21"/>
  <c r="Q529" i="21"/>
  <c r="P529" i="21"/>
  <c r="O529" i="21"/>
  <c r="O529" i="21" a="1"/>
  <c r="V528" i="21"/>
  <c r="U528" i="21"/>
  <c r="T528" i="21"/>
  <c r="S528" i="21"/>
  <c r="R528" i="21"/>
  <c r="Q528" i="21"/>
  <c r="P528" i="21"/>
  <c r="O528" i="21"/>
  <c r="O528" i="21" a="1"/>
  <c r="V527" i="21"/>
  <c r="U527" i="21"/>
  <c r="T527" i="21"/>
  <c r="S527" i="21"/>
  <c r="R527" i="21"/>
  <c r="Q527" i="21"/>
  <c r="P527" i="21"/>
  <c r="O527" i="21"/>
  <c r="O527" i="21" a="1"/>
  <c r="V526" i="21"/>
  <c r="U526" i="21"/>
  <c r="T526" i="21"/>
  <c r="S526" i="21"/>
  <c r="R526" i="21"/>
  <c r="Q526" i="21"/>
  <c r="P526" i="21"/>
  <c r="O526" i="21"/>
  <c r="O526" i="21" a="1"/>
  <c r="V525" i="21"/>
  <c r="U525" i="21"/>
  <c r="T525" i="21"/>
  <c r="S525" i="21"/>
  <c r="R525" i="21"/>
  <c r="Q525" i="21"/>
  <c r="P525" i="21"/>
  <c r="O525" i="21"/>
  <c r="O525" i="21" a="1"/>
  <c r="V524" i="21"/>
  <c r="U524" i="21"/>
  <c r="T524" i="21"/>
  <c r="S524" i="21"/>
  <c r="R524" i="21"/>
  <c r="Q524" i="21"/>
  <c r="P524" i="21"/>
  <c r="O524" i="21"/>
  <c r="O524" i="21" a="1"/>
  <c r="V523" i="21"/>
  <c r="U523" i="21"/>
  <c r="T523" i="21"/>
  <c r="S523" i="21"/>
  <c r="R523" i="21"/>
  <c r="Q523" i="21"/>
  <c r="P523" i="21"/>
  <c r="O523" i="21"/>
  <c r="O523" i="21" a="1"/>
  <c r="V522" i="21"/>
  <c r="U522" i="21"/>
  <c r="T522" i="21"/>
  <c r="S522" i="21"/>
  <c r="R522" i="21"/>
  <c r="Q522" i="21"/>
  <c r="P522" i="21"/>
  <c r="O522" i="21"/>
  <c r="O522" i="21" a="1"/>
  <c r="V521" i="21"/>
  <c r="U521" i="21"/>
  <c r="T521" i="21"/>
  <c r="S521" i="21"/>
  <c r="R521" i="21"/>
  <c r="Q521" i="21"/>
  <c r="P521" i="21"/>
  <c r="O521" i="21"/>
  <c r="O521" i="21" a="1"/>
  <c r="V520" i="21"/>
  <c r="U520" i="21"/>
  <c r="T520" i="21"/>
  <c r="S520" i="21"/>
  <c r="R520" i="21"/>
  <c r="Q520" i="21"/>
  <c r="P520" i="21"/>
  <c r="O520" i="21"/>
  <c r="O520" i="21" a="1"/>
  <c r="V519" i="21"/>
  <c r="U519" i="21"/>
  <c r="T519" i="21"/>
  <c r="S519" i="21"/>
  <c r="R519" i="21"/>
  <c r="Q519" i="21"/>
  <c r="P519" i="21"/>
  <c r="O519" i="21"/>
  <c r="O519" i="21" a="1"/>
  <c r="V518" i="21"/>
  <c r="U518" i="21"/>
  <c r="T518" i="21"/>
  <c r="S518" i="21"/>
  <c r="R518" i="21"/>
  <c r="Q518" i="21"/>
  <c r="P518" i="21"/>
  <c r="O518" i="21"/>
  <c r="O518" i="21" a="1"/>
  <c r="V517" i="21"/>
  <c r="U517" i="21"/>
  <c r="T517" i="21"/>
  <c r="S517" i="21"/>
  <c r="R517" i="21"/>
  <c r="Q517" i="21"/>
  <c r="P517" i="21"/>
  <c r="O517" i="21"/>
  <c r="O517" i="21" a="1"/>
  <c r="V516" i="21"/>
  <c r="U516" i="21"/>
  <c r="T516" i="21"/>
  <c r="S516" i="21"/>
  <c r="R516" i="21"/>
  <c r="Q516" i="21"/>
  <c r="P516" i="21"/>
  <c r="O516" i="21"/>
  <c r="O516" i="21" a="1"/>
  <c r="V515" i="21"/>
  <c r="U515" i="21"/>
  <c r="T515" i="21"/>
  <c r="S515" i="21"/>
  <c r="R515" i="21"/>
  <c r="Q515" i="21"/>
  <c r="P515" i="21"/>
  <c r="O515" i="21"/>
  <c r="O515" i="21" a="1"/>
  <c r="V514" i="21"/>
  <c r="U514" i="21"/>
  <c r="T514" i="21"/>
  <c r="S514" i="21"/>
  <c r="R514" i="21"/>
  <c r="Q514" i="21"/>
  <c r="P514" i="21"/>
  <c r="O514" i="21"/>
  <c r="O514" i="21" a="1"/>
  <c r="V513" i="21"/>
  <c r="U513" i="21"/>
  <c r="T513" i="21"/>
  <c r="S513" i="21"/>
  <c r="R513" i="21"/>
  <c r="Q513" i="21"/>
  <c r="P513" i="21"/>
  <c r="O513" i="21"/>
  <c r="O513" i="21" a="1"/>
  <c r="V512" i="21"/>
  <c r="U512" i="21"/>
  <c r="T512" i="21"/>
  <c r="S512" i="21"/>
  <c r="R512" i="21"/>
  <c r="Q512" i="21"/>
  <c r="P512" i="21"/>
  <c r="O512" i="21"/>
  <c r="O512" i="21" a="1"/>
  <c r="V511" i="21"/>
  <c r="U511" i="21"/>
  <c r="T511" i="21"/>
  <c r="S511" i="21"/>
  <c r="R511" i="21"/>
  <c r="Q511" i="21"/>
  <c r="P511" i="21"/>
  <c r="O511" i="21"/>
  <c r="O511" i="21" a="1"/>
  <c r="V510" i="21"/>
  <c r="U510" i="21"/>
  <c r="T510" i="21"/>
  <c r="S510" i="21"/>
  <c r="R510" i="21"/>
  <c r="Q510" i="21"/>
  <c r="P510" i="21"/>
  <c r="O510" i="21"/>
  <c r="O510" i="21" a="1"/>
  <c r="V509" i="21"/>
  <c r="U509" i="21"/>
  <c r="T509" i="21"/>
  <c r="S509" i="21"/>
  <c r="R509" i="21"/>
  <c r="Q509" i="21"/>
  <c r="P509" i="21"/>
  <c r="O509" i="21"/>
  <c r="O509" i="21" a="1"/>
  <c r="V508" i="21"/>
  <c r="U508" i="21"/>
  <c r="T508" i="21"/>
  <c r="S508" i="21"/>
  <c r="R508" i="21"/>
  <c r="Q508" i="21"/>
  <c r="P508" i="21"/>
  <c r="O508" i="21"/>
  <c r="O508" i="21" a="1"/>
  <c r="V507" i="21"/>
  <c r="U507" i="21"/>
  <c r="T507" i="21"/>
  <c r="S507" i="21"/>
  <c r="R507" i="21"/>
  <c r="Q507" i="21"/>
  <c r="P507" i="21"/>
  <c r="O507" i="21"/>
  <c r="O507" i="21" a="1"/>
  <c r="V506" i="21"/>
  <c r="U506" i="21"/>
  <c r="T506" i="21"/>
  <c r="S506" i="21"/>
  <c r="R506" i="21"/>
  <c r="Q506" i="21"/>
  <c r="P506" i="21"/>
  <c r="O506" i="21"/>
  <c r="O506" i="21" a="1"/>
  <c r="V505" i="21"/>
  <c r="U505" i="21"/>
  <c r="T505" i="21"/>
  <c r="S505" i="21"/>
  <c r="R505" i="21"/>
  <c r="Q505" i="21"/>
  <c r="P505" i="21"/>
  <c r="O505" i="21"/>
  <c r="O505" i="21" a="1"/>
  <c r="V504" i="21"/>
  <c r="U504" i="21"/>
  <c r="T504" i="21"/>
  <c r="S504" i="21"/>
  <c r="R504" i="21"/>
  <c r="Q504" i="21"/>
  <c r="P504" i="21"/>
  <c r="O504" i="21"/>
  <c r="O504" i="21" a="1"/>
  <c r="V503" i="21"/>
  <c r="U503" i="21"/>
  <c r="T503" i="21"/>
  <c r="S503" i="21"/>
  <c r="R503" i="21"/>
  <c r="Q503" i="21"/>
  <c r="P503" i="21"/>
  <c r="O503" i="21"/>
  <c r="O503" i="21" a="1"/>
  <c r="V500" i="21"/>
  <c r="U500" i="21"/>
  <c r="T500" i="21"/>
  <c r="S500" i="21"/>
  <c r="R500" i="21"/>
  <c r="Q500" i="21"/>
  <c r="P500" i="21"/>
  <c r="O500" i="21"/>
  <c r="O500" i="21" a="1"/>
  <c r="V499" i="21"/>
  <c r="U499" i="21"/>
  <c r="T499" i="21"/>
  <c r="S499" i="21"/>
  <c r="R499" i="21"/>
  <c r="Q499" i="21"/>
  <c r="P499" i="21"/>
  <c r="O499" i="21"/>
  <c r="O499" i="21" a="1"/>
  <c r="V498" i="21"/>
  <c r="U498" i="21"/>
  <c r="T498" i="21"/>
  <c r="S498" i="21"/>
  <c r="R498" i="21"/>
  <c r="Q498" i="21"/>
  <c r="P498" i="21"/>
  <c r="O498" i="21"/>
  <c r="O498" i="21" a="1"/>
  <c r="V497" i="21"/>
  <c r="U497" i="21"/>
  <c r="T497" i="21"/>
  <c r="S497" i="21"/>
  <c r="R497" i="21"/>
  <c r="Q497" i="21"/>
  <c r="P497" i="21"/>
  <c r="O497" i="21"/>
  <c r="O497" i="21" a="1"/>
  <c r="V496" i="21"/>
  <c r="U496" i="21"/>
  <c r="T496" i="21"/>
  <c r="S496" i="21"/>
  <c r="R496" i="21"/>
  <c r="Q496" i="21"/>
  <c r="P496" i="21"/>
  <c r="O496" i="21"/>
  <c r="O496" i="21" a="1"/>
  <c r="V495" i="21"/>
  <c r="U495" i="21"/>
  <c r="T495" i="21"/>
  <c r="S495" i="21"/>
  <c r="R495" i="21"/>
  <c r="Q495" i="21"/>
  <c r="P495" i="21"/>
  <c r="O495" i="21"/>
  <c r="O495" i="21" a="1"/>
  <c r="V494" i="21"/>
  <c r="U494" i="21"/>
  <c r="T494" i="21"/>
  <c r="S494" i="21"/>
  <c r="R494" i="21"/>
  <c r="Q494" i="21"/>
  <c r="P494" i="21"/>
  <c r="O494" i="21"/>
  <c r="O494" i="21" a="1"/>
  <c r="V493" i="21"/>
  <c r="U493" i="21"/>
  <c r="T493" i="21"/>
  <c r="S493" i="21"/>
  <c r="R493" i="21"/>
  <c r="Q493" i="21"/>
  <c r="P493" i="21"/>
  <c r="O493" i="21"/>
  <c r="O493" i="21" a="1"/>
  <c r="V492" i="21"/>
  <c r="U492" i="21"/>
  <c r="T492" i="21"/>
  <c r="S492" i="21"/>
  <c r="R492" i="21"/>
  <c r="Q492" i="21"/>
  <c r="P492" i="21"/>
  <c r="O492" i="21"/>
  <c r="O492" i="21" a="1"/>
  <c r="V491" i="21"/>
  <c r="U491" i="21"/>
  <c r="T491" i="21"/>
  <c r="S491" i="21"/>
  <c r="R491" i="21"/>
  <c r="Q491" i="21"/>
  <c r="P491" i="21"/>
  <c r="O491" i="21"/>
  <c r="O491" i="21" a="1"/>
  <c r="V490" i="21"/>
  <c r="U490" i="21"/>
  <c r="T490" i="21"/>
  <c r="S490" i="21"/>
  <c r="R490" i="21"/>
  <c r="Q490" i="21"/>
  <c r="P490" i="21"/>
  <c r="O490" i="21"/>
  <c r="O490" i="21" a="1"/>
  <c r="V489" i="21"/>
  <c r="U489" i="21"/>
  <c r="T489" i="21"/>
  <c r="S489" i="21"/>
  <c r="R489" i="21"/>
  <c r="Q489" i="21"/>
  <c r="P489" i="21"/>
  <c r="O489" i="21"/>
  <c r="O489" i="21" a="1"/>
  <c r="V488" i="21"/>
  <c r="U488" i="21"/>
  <c r="T488" i="21"/>
  <c r="S488" i="21"/>
  <c r="R488" i="21"/>
  <c r="Q488" i="21"/>
  <c r="P488" i="21"/>
  <c r="O488" i="21"/>
  <c r="O488" i="21" a="1"/>
  <c r="V487" i="21"/>
  <c r="U487" i="21"/>
  <c r="T487" i="21"/>
  <c r="S487" i="21"/>
  <c r="R487" i="21"/>
  <c r="Q487" i="21"/>
  <c r="P487" i="21"/>
  <c r="O487" i="21"/>
  <c r="O487" i="21" a="1"/>
  <c r="V486" i="21"/>
  <c r="U486" i="21"/>
  <c r="T486" i="21"/>
  <c r="S486" i="21"/>
  <c r="R486" i="21"/>
  <c r="Q486" i="21"/>
  <c r="P486" i="21"/>
  <c r="O486" i="21"/>
  <c r="O486" i="21" a="1"/>
  <c r="V485" i="21"/>
  <c r="U485" i="21"/>
  <c r="T485" i="21"/>
  <c r="S485" i="21"/>
  <c r="R485" i="21"/>
  <c r="Q485" i="21"/>
  <c r="P485" i="21"/>
  <c r="O485" i="21"/>
  <c r="O485" i="21" a="1"/>
  <c r="V484" i="21"/>
  <c r="U484" i="21"/>
  <c r="T484" i="21"/>
  <c r="S484" i="21"/>
  <c r="R484" i="21"/>
  <c r="Q484" i="21"/>
  <c r="P484" i="21"/>
  <c r="O484" i="21"/>
  <c r="O484" i="21" a="1"/>
  <c r="V483" i="21"/>
  <c r="U483" i="21"/>
  <c r="T483" i="21"/>
  <c r="S483" i="21"/>
  <c r="R483" i="21"/>
  <c r="Q483" i="21"/>
  <c r="P483" i="21"/>
  <c r="O483" i="21"/>
  <c r="O483" i="21" a="1"/>
  <c r="V482" i="21"/>
  <c r="U482" i="21"/>
  <c r="T482" i="21"/>
  <c r="S482" i="21"/>
  <c r="R482" i="21"/>
  <c r="Q482" i="21"/>
  <c r="P482" i="21"/>
  <c r="O482" i="21"/>
  <c r="O482" i="21" a="1"/>
  <c r="V481" i="21"/>
  <c r="U481" i="21"/>
  <c r="T481" i="21"/>
  <c r="S481" i="21"/>
  <c r="R481" i="21"/>
  <c r="Q481" i="21"/>
  <c r="P481" i="21"/>
  <c r="O481" i="21"/>
  <c r="O481" i="21" a="1"/>
  <c r="V480" i="21"/>
  <c r="U480" i="21"/>
  <c r="T480" i="21"/>
  <c r="S480" i="21"/>
  <c r="R480" i="21"/>
  <c r="Q480" i="21"/>
  <c r="P480" i="21"/>
  <c r="O480" i="21"/>
  <c r="O480" i="21" a="1"/>
  <c r="V479" i="21"/>
  <c r="U479" i="21"/>
  <c r="T479" i="21"/>
  <c r="S479" i="21"/>
  <c r="R479" i="21"/>
  <c r="Q479" i="21"/>
  <c r="P479" i="21"/>
  <c r="O479" i="21"/>
  <c r="O479" i="21" a="1"/>
  <c r="V478" i="21"/>
  <c r="U478" i="21"/>
  <c r="T478" i="21"/>
  <c r="S478" i="21"/>
  <c r="R478" i="21"/>
  <c r="Q478" i="21"/>
  <c r="P478" i="21"/>
  <c r="O478" i="21"/>
  <c r="O478" i="21" a="1"/>
  <c r="V477" i="21"/>
  <c r="U477" i="21"/>
  <c r="T477" i="21"/>
  <c r="S477" i="21"/>
  <c r="R477" i="21"/>
  <c r="Q477" i="21"/>
  <c r="P477" i="21"/>
  <c r="O477" i="21"/>
  <c r="O477" i="21" a="1"/>
  <c r="V476" i="21"/>
  <c r="U476" i="21"/>
  <c r="T476" i="21"/>
  <c r="S476" i="21"/>
  <c r="R476" i="21"/>
  <c r="Q476" i="21"/>
  <c r="P476" i="21"/>
  <c r="O476" i="21"/>
  <c r="O476" i="21" a="1"/>
  <c r="V475" i="21"/>
  <c r="U475" i="21"/>
  <c r="T475" i="21"/>
  <c r="S475" i="21"/>
  <c r="R475" i="21"/>
  <c r="Q475" i="21"/>
  <c r="P475" i="21"/>
  <c r="O475" i="21"/>
  <c r="O475" i="21" a="1"/>
  <c r="V474" i="21"/>
  <c r="U474" i="21"/>
  <c r="T474" i="21"/>
  <c r="S474" i="21"/>
  <c r="R474" i="21"/>
  <c r="Q474" i="21"/>
  <c r="P474" i="21"/>
  <c r="O474" i="21"/>
  <c r="O474" i="21" a="1"/>
  <c r="V473" i="21"/>
  <c r="U473" i="21"/>
  <c r="T473" i="21"/>
  <c r="S473" i="21"/>
  <c r="R473" i="21"/>
  <c r="Q473" i="21"/>
  <c r="P473" i="21"/>
  <c r="O473" i="21"/>
  <c r="O473" i="21" a="1"/>
  <c r="V472" i="21"/>
  <c r="U472" i="21"/>
  <c r="T472" i="21"/>
  <c r="S472" i="21"/>
  <c r="R472" i="21"/>
  <c r="Q472" i="21"/>
  <c r="P472" i="21"/>
  <c r="O472" i="21"/>
  <c r="O472" i="21" a="1"/>
  <c r="V471" i="21"/>
  <c r="U471" i="21"/>
  <c r="T471" i="21"/>
  <c r="S471" i="21"/>
  <c r="R471" i="21"/>
  <c r="Q471" i="21"/>
  <c r="P471" i="21"/>
  <c r="O471" i="21"/>
  <c r="O471" i="21" a="1"/>
  <c r="V470" i="21"/>
  <c r="U470" i="21"/>
  <c r="T470" i="21"/>
  <c r="S470" i="21"/>
  <c r="R470" i="21"/>
  <c r="Q470" i="21"/>
  <c r="P470" i="21"/>
  <c r="O470" i="21"/>
  <c r="O470" i="21" a="1"/>
  <c r="V469" i="21"/>
  <c r="U469" i="21"/>
  <c r="T469" i="21"/>
  <c r="S469" i="21"/>
  <c r="R469" i="21"/>
  <c r="Q469" i="21"/>
  <c r="P469" i="21"/>
  <c r="O469" i="21"/>
  <c r="O469" i="21" a="1"/>
  <c r="V468" i="21"/>
  <c r="U468" i="21"/>
  <c r="T468" i="21"/>
  <c r="S468" i="21"/>
  <c r="R468" i="21"/>
  <c r="Q468" i="21"/>
  <c r="P468" i="21"/>
  <c r="O468" i="21"/>
  <c r="O468" i="21" a="1"/>
  <c r="V467" i="21"/>
  <c r="U467" i="21"/>
  <c r="T467" i="21"/>
  <c r="S467" i="21"/>
  <c r="R467" i="21"/>
  <c r="Q467" i="21"/>
  <c r="P467" i="21"/>
  <c r="O467" i="21"/>
  <c r="O467" i="21" a="1"/>
  <c r="V466" i="21"/>
  <c r="U466" i="21"/>
  <c r="T466" i="21"/>
  <c r="S466" i="21"/>
  <c r="R466" i="21"/>
  <c r="Q466" i="21"/>
  <c r="P466" i="21"/>
  <c r="O466" i="21"/>
  <c r="O466" i="21" a="1"/>
  <c r="V465" i="21"/>
  <c r="U465" i="21"/>
  <c r="T465" i="21"/>
  <c r="S465" i="21"/>
  <c r="R465" i="21"/>
  <c r="Q465" i="21"/>
  <c r="P465" i="21"/>
  <c r="O465" i="21"/>
  <c r="O465" i="21" a="1"/>
  <c r="V464" i="21"/>
  <c r="U464" i="21"/>
  <c r="T464" i="21"/>
  <c r="S464" i="21"/>
  <c r="R464" i="21"/>
  <c r="Q464" i="21"/>
  <c r="P464" i="21"/>
  <c r="O464" i="21"/>
  <c r="O464" i="21" a="1"/>
  <c r="V463" i="21"/>
  <c r="U463" i="21"/>
  <c r="T463" i="21"/>
  <c r="S463" i="21"/>
  <c r="R463" i="21"/>
  <c r="Q463" i="21"/>
  <c r="P463" i="21"/>
  <c r="O463" i="21"/>
  <c r="O463" i="21" a="1"/>
  <c r="V462" i="21"/>
  <c r="U462" i="21"/>
  <c r="T462" i="21"/>
  <c r="S462" i="21"/>
  <c r="R462" i="21"/>
  <c r="Q462" i="21"/>
  <c r="P462" i="21"/>
  <c r="O462" i="21"/>
  <c r="O462" i="21" a="1"/>
  <c r="V461" i="21"/>
  <c r="U461" i="21"/>
  <c r="T461" i="21"/>
  <c r="S461" i="21"/>
  <c r="R461" i="21"/>
  <c r="Q461" i="21"/>
  <c r="P461" i="21"/>
  <c r="O461" i="21"/>
  <c r="O461" i="21" a="1"/>
  <c r="V460" i="21"/>
  <c r="U460" i="21"/>
  <c r="T460" i="21"/>
  <c r="S460" i="21"/>
  <c r="R460" i="21"/>
  <c r="Q460" i="21"/>
  <c r="P460" i="21"/>
  <c r="O460" i="21"/>
  <c r="O460" i="21" a="1"/>
  <c r="V459" i="21"/>
  <c r="U459" i="21"/>
  <c r="T459" i="21"/>
  <c r="S459" i="21"/>
  <c r="R459" i="21"/>
  <c r="Q459" i="21"/>
  <c r="P459" i="21"/>
  <c r="O459" i="21"/>
  <c r="O459" i="21" a="1"/>
  <c r="V458" i="21"/>
  <c r="U458" i="21"/>
  <c r="T458" i="21"/>
  <c r="S458" i="21"/>
  <c r="R458" i="21"/>
  <c r="Q458" i="21"/>
  <c r="P458" i="21"/>
  <c r="O458" i="21"/>
  <c r="O458" i="21" a="1"/>
  <c r="V457" i="21"/>
  <c r="U457" i="21"/>
  <c r="T457" i="21"/>
  <c r="S457" i="21"/>
  <c r="R457" i="21"/>
  <c r="Q457" i="21"/>
  <c r="P457" i="21"/>
  <c r="O457" i="21"/>
  <c r="O457" i="21" a="1"/>
  <c r="V456" i="21"/>
  <c r="U456" i="21"/>
  <c r="T456" i="21"/>
  <c r="S456" i="21"/>
  <c r="R456" i="21"/>
  <c r="Q456" i="21"/>
  <c r="P456" i="21"/>
  <c r="O456" i="21"/>
  <c r="O456" i="21" a="1"/>
  <c r="V455" i="21"/>
  <c r="U455" i="21"/>
  <c r="T455" i="21"/>
  <c r="S455" i="21"/>
  <c r="R455" i="21"/>
  <c r="Q455" i="21"/>
  <c r="P455" i="21"/>
  <c r="O455" i="21"/>
  <c r="O455" i="21" a="1"/>
  <c r="V454" i="21"/>
  <c r="U454" i="21"/>
  <c r="T454" i="21"/>
  <c r="S454" i="21"/>
  <c r="R454" i="21"/>
  <c r="Q454" i="21"/>
  <c r="P454" i="21"/>
  <c r="O454" i="21"/>
  <c r="O454" i="21" a="1"/>
  <c r="V453" i="21"/>
  <c r="U453" i="21"/>
  <c r="T453" i="21"/>
  <c r="S453" i="21"/>
  <c r="R453" i="21"/>
  <c r="Q453" i="21"/>
  <c r="P453" i="21"/>
  <c r="O453" i="21"/>
  <c r="O453" i="21" a="1"/>
  <c r="V452" i="21"/>
  <c r="U452" i="21"/>
  <c r="T452" i="21"/>
  <c r="S452" i="21"/>
  <c r="R452" i="21"/>
  <c r="Q452" i="21"/>
  <c r="P452" i="21"/>
  <c r="O452" i="21"/>
  <c r="O452" i="21" a="1"/>
  <c r="V451" i="21"/>
  <c r="U451" i="21"/>
  <c r="T451" i="21"/>
  <c r="S451" i="21"/>
  <c r="R451" i="21"/>
  <c r="Q451" i="21"/>
  <c r="P451" i="21"/>
  <c r="O451" i="21"/>
  <c r="O451" i="21" a="1"/>
  <c r="V450" i="21"/>
  <c r="U450" i="21"/>
  <c r="T450" i="21"/>
  <c r="S450" i="21"/>
  <c r="R450" i="21"/>
  <c r="Q450" i="21"/>
  <c r="P450" i="21"/>
  <c r="O450" i="21"/>
  <c r="O450" i="21" a="1"/>
  <c r="V449" i="21"/>
  <c r="U449" i="21"/>
  <c r="T449" i="21"/>
  <c r="S449" i="21"/>
  <c r="R449" i="21"/>
  <c r="Q449" i="21"/>
  <c r="P449" i="21"/>
  <c r="O449" i="21"/>
  <c r="O449" i="21" a="1"/>
  <c r="V448" i="21"/>
  <c r="U448" i="21"/>
  <c r="T448" i="21"/>
  <c r="S448" i="21"/>
  <c r="R448" i="21"/>
  <c r="Q448" i="21"/>
  <c r="P448" i="21"/>
  <c r="O448" i="21"/>
  <c r="O448" i="21" a="1"/>
  <c r="V447" i="21"/>
  <c r="U447" i="21"/>
  <c r="T447" i="21"/>
  <c r="S447" i="21"/>
  <c r="R447" i="21"/>
  <c r="Q447" i="21"/>
  <c r="P447" i="21"/>
  <c r="O447" i="21"/>
  <c r="O447" i="21" a="1"/>
  <c r="V446" i="21"/>
  <c r="U446" i="21"/>
  <c r="T446" i="21"/>
  <c r="S446" i="21"/>
  <c r="R446" i="21"/>
  <c r="Q446" i="21"/>
  <c r="P446" i="21"/>
  <c r="O446" i="21"/>
  <c r="O446" i="21" a="1"/>
  <c r="V445" i="21"/>
  <c r="U445" i="21"/>
  <c r="T445" i="21"/>
  <c r="S445" i="21"/>
  <c r="R445" i="21"/>
  <c r="Q445" i="21"/>
  <c r="P445" i="21"/>
  <c r="O445" i="21"/>
  <c r="O445" i="21" a="1"/>
  <c r="V444" i="21"/>
  <c r="U444" i="21"/>
  <c r="T444" i="21"/>
  <c r="S444" i="21"/>
  <c r="R444" i="21"/>
  <c r="Q444" i="21"/>
  <c r="P444" i="21"/>
  <c r="O444" i="21"/>
  <c r="O444" i="21" a="1"/>
  <c r="V443" i="21"/>
  <c r="U443" i="21"/>
  <c r="T443" i="21"/>
  <c r="S443" i="21"/>
  <c r="R443" i="21"/>
  <c r="Q443" i="21"/>
  <c r="P443" i="21"/>
  <c r="O443" i="21"/>
  <c r="O443" i="21" a="1"/>
  <c r="V442" i="21"/>
  <c r="U442" i="21"/>
  <c r="T442" i="21"/>
  <c r="S442" i="21"/>
  <c r="R442" i="21"/>
  <c r="Q442" i="21"/>
  <c r="P442" i="21"/>
  <c r="O442" i="21"/>
  <c r="O442" i="21" a="1"/>
  <c r="V441" i="21"/>
  <c r="U441" i="21"/>
  <c r="T441" i="21"/>
  <c r="S441" i="21"/>
  <c r="R441" i="21"/>
  <c r="Q441" i="21"/>
  <c r="P441" i="21"/>
  <c r="O441" i="21"/>
  <c r="O441" i="21" a="1"/>
  <c r="V440" i="21"/>
  <c r="U440" i="21"/>
  <c r="T440" i="21"/>
  <c r="S440" i="21"/>
  <c r="R440" i="21"/>
  <c r="Q440" i="21"/>
  <c r="P440" i="21"/>
  <c r="O440" i="21"/>
  <c r="O440" i="21" a="1"/>
  <c r="V439" i="21"/>
  <c r="U439" i="21"/>
  <c r="T439" i="21"/>
  <c r="S439" i="21"/>
  <c r="R439" i="21"/>
  <c r="Q439" i="21"/>
  <c r="P439" i="21"/>
  <c r="O439" i="21"/>
  <c r="O439" i="21" a="1"/>
  <c r="V438" i="21"/>
  <c r="U438" i="21"/>
  <c r="T438" i="21"/>
  <c r="S438" i="21"/>
  <c r="R438" i="21"/>
  <c r="Q438" i="21"/>
  <c r="P438" i="21"/>
  <c r="O438" i="21"/>
  <c r="O438" i="21" a="1"/>
  <c r="V437" i="21"/>
  <c r="U437" i="21"/>
  <c r="T437" i="21"/>
  <c r="S437" i="21"/>
  <c r="R437" i="21"/>
  <c r="Q437" i="21"/>
  <c r="P437" i="21"/>
  <c r="O437" i="21"/>
  <c r="O437" i="21" a="1"/>
  <c r="V436" i="21"/>
  <c r="U436" i="21"/>
  <c r="T436" i="21"/>
  <c r="S436" i="21"/>
  <c r="R436" i="21"/>
  <c r="Q436" i="21"/>
  <c r="P436" i="21"/>
  <c r="O436" i="21"/>
  <c r="O436" i="21" a="1"/>
  <c r="V435" i="21"/>
  <c r="U435" i="21"/>
  <c r="T435" i="21"/>
  <c r="S435" i="21"/>
  <c r="R435" i="21"/>
  <c r="Q435" i="21"/>
  <c r="P435" i="21"/>
  <c r="O435" i="21"/>
  <c r="O435" i="21" a="1"/>
  <c r="V434" i="21"/>
  <c r="U434" i="21"/>
  <c r="T434" i="21"/>
  <c r="S434" i="21"/>
  <c r="R434" i="21"/>
  <c r="Q434" i="21"/>
  <c r="P434" i="21"/>
  <c r="O434" i="21"/>
  <c r="O434" i="21" a="1"/>
  <c r="V433" i="21"/>
  <c r="U433" i="21"/>
  <c r="T433" i="21"/>
  <c r="S433" i="21"/>
  <c r="R433" i="21"/>
  <c r="Q433" i="21"/>
  <c r="P433" i="21"/>
  <c r="O433" i="21"/>
  <c r="O433" i="21" a="1"/>
  <c r="V432" i="21"/>
  <c r="U432" i="21"/>
  <c r="T432" i="21"/>
  <c r="S432" i="21"/>
  <c r="R432" i="21"/>
  <c r="Q432" i="21"/>
  <c r="P432" i="21"/>
  <c r="O432" i="21"/>
  <c r="O432" i="21" a="1"/>
  <c r="V431" i="21"/>
  <c r="U431" i="21"/>
  <c r="T431" i="21"/>
  <c r="S431" i="21"/>
  <c r="R431" i="21"/>
  <c r="Q431" i="21"/>
  <c r="P431" i="21"/>
  <c r="O431" i="21"/>
  <c r="O431" i="21" a="1"/>
  <c r="V430" i="21"/>
  <c r="U430" i="21"/>
  <c r="T430" i="21"/>
  <c r="S430" i="21"/>
  <c r="R430" i="21"/>
  <c r="Q430" i="21"/>
  <c r="P430" i="21"/>
  <c r="O430" i="21"/>
  <c r="O430" i="21" a="1"/>
  <c r="V429" i="21"/>
  <c r="U429" i="21"/>
  <c r="T429" i="21"/>
  <c r="S429" i="21"/>
  <c r="R429" i="21"/>
  <c r="Q429" i="21"/>
  <c r="P429" i="21"/>
  <c r="O429" i="21"/>
  <c r="O429" i="21" a="1"/>
  <c r="V428" i="21"/>
  <c r="U428" i="21"/>
  <c r="T428" i="21"/>
  <c r="S428" i="21"/>
  <c r="R428" i="21"/>
  <c r="Q428" i="21"/>
  <c r="P428" i="21"/>
  <c r="O428" i="21"/>
  <c r="O428" i="21" a="1"/>
  <c r="V427" i="21"/>
  <c r="U427" i="21"/>
  <c r="T427" i="21"/>
  <c r="S427" i="21"/>
  <c r="R427" i="21"/>
  <c r="Q427" i="21"/>
  <c r="P427" i="21"/>
  <c r="O427" i="21"/>
  <c r="O427" i="21" a="1"/>
  <c r="V426" i="21"/>
  <c r="U426" i="21"/>
  <c r="T426" i="21"/>
  <c r="S426" i="21"/>
  <c r="R426" i="21"/>
  <c r="Q426" i="21"/>
  <c r="P426" i="21"/>
  <c r="O426" i="21"/>
  <c r="O426" i="21" a="1"/>
  <c r="V425" i="21"/>
  <c r="U425" i="21"/>
  <c r="T425" i="21"/>
  <c r="S425" i="21"/>
  <c r="R425" i="21"/>
  <c r="Q425" i="21"/>
  <c r="P425" i="21"/>
  <c r="O425" i="21"/>
  <c r="O425" i="21" a="1"/>
  <c r="V424" i="21"/>
  <c r="U424" i="21"/>
  <c r="T424" i="21"/>
  <c r="S424" i="21"/>
  <c r="R424" i="21"/>
  <c r="Q424" i="21"/>
  <c r="P424" i="21"/>
  <c r="O424" i="21"/>
  <c r="O424" i="21" a="1"/>
  <c r="V423" i="21"/>
  <c r="U423" i="21"/>
  <c r="T423" i="21"/>
  <c r="S423" i="21"/>
  <c r="R423" i="21"/>
  <c r="Q423" i="21"/>
  <c r="P423" i="21"/>
  <c r="O423" i="21"/>
  <c r="O423" i="21" a="1"/>
  <c r="V422" i="21"/>
  <c r="U422" i="21"/>
  <c r="T422" i="21"/>
  <c r="S422" i="21"/>
  <c r="R422" i="21"/>
  <c r="Q422" i="21"/>
  <c r="P422" i="21"/>
  <c r="O422" i="21"/>
  <c r="O422" i="21" a="1"/>
  <c r="V421" i="21"/>
  <c r="U421" i="21"/>
  <c r="T421" i="21"/>
  <c r="S421" i="21"/>
  <c r="R421" i="21"/>
  <c r="Q421" i="21"/>
  <c r="P421" i="21"/>
  <c r="O421" i="21"/>
  <c r="O421" i="21" a="1"/>
  <c r="V420" i="21"/>
  <c r="U420" i="21"/>
  <c r="T420" i="21"/>
  <c r="S420" i="21"/>
  <c r="R420" i="21"/>
  <c r="Q420" i="21"/>
  <c r="P420" i="21"/>
  <c r="O420" i="21"/>
  <c r="O420" i="21" a="1"/>
  <c r="V419" i="21"/>
  <c r="U419" i="21"/>
  <c r="T419" i="21"/>
  <c r="S419" i="21"/>
  <c r="R419" i="21"/>
  <c r="Q419" i="21"/>
  <c r="P419" i="21"/>
  <c r="O419" i="21"/>
  <c r="O419" i="21" a="1"/>
  <c r="V418" i="21"/>
  <c r="U418" i="21"/>
  <c r="T418" i="21"/>
  <c r="S418" i="21"/>
  <c r="R418" i="21"/>
  <c r="Q418" i="21"/>
  <c r="P418" i="21"/>
  <c r="O418" i="21"/>
  <c r="O418" i="21" a="1"/>
  <c r="V417" i="21"/>
  <c r="U417" i="21"/>
  <c r="T417" i="21"/>
  <c r="S417" i="21"/>
  <c r="R417" i="21"/>
  <c r="Q417" i="21"/>
  <c r="P417" i="21"/>
  <c r="O417" i="21"/>
  <c r="O417" i="21" a="1"/>
  <c r="V416" i="21"/>
  <c r="U416" i="21"/>
  <c r="T416" i="21"/>
  <c r="S416" i="21"/>
  <c r="R416" i="21"/>
  <c r="Q416" i="21"/>
  <c r="P416" i="21"/>
  <c r="O416" i="21"/>
  <c r="O416" i="21" a="1"/>
  <c r="V415" i="21"/>
  <c r="U415" i="21"/>
  <c r="T415" i="21"/>
  <c r="S415" i="21"/>
  <c r="R415" i="21"/>
  <c r="Q415" i="21"/>
  <c r="P415" i="21"/>
  <c r="O415" i="21"/>
  <c r="O415" i="21" a="1"/>
  <c r="V414" i="21"/>
  <c r="U414" i="21"/>
  <c r="T414" i="21"/>
  <c r="S414" i="21"/>
  <c r="R414" i="21"/>
  <c r="Q414" i="21"/>
  <c r="P414" i="21"/>
  <c r="O414" i="21"/>
  <c r="O414" i="21" a="1"/>
  <c r="V413" i="21"/>
  <c r="U413" i="21"/>
  <c r="T413" i="21"/>
  <c r="S413" i="21"/>
  <c r="R413" i="21"/>
  <c r="Q413" i="21"/>
  <c r="P413" i="21"/>
  <c r="O413" i="21"/>
  <c r="O413" i="21" a="1"/>
  <c r="V412" i="21"/>
  <c r="U412" i="21"/>
  <c r="T412" i="21"/>
  <c r="S412" i="21"/>
  <c r="R412" i="21"/>
  <c r="Q412" i="21"/>
  <c r="P412" i="21"/>
  <c r="O412" i="21"/>
  <c r="O412" i="21" a="1"/>
  <c r="V411" i="21"/>
  <c r="U411" i="21"/>
  <c r="T411" i="21"/>
  <c r="S411" i="21"/>
  <c r="R411" i="21"/>
  <c r="Q411" i="21"/>
  <c r="P411" i="21"/>
  <c r="O411" i="21"/>
  <c r="O411" i="21" a="1"/>
  <c r="V410" i="21"/>
  <c r="U410" i="21"/>
  <c r="T410" i="21"/>
  <c r="S410" i="21"/>
  <c r="R410" i="21"/>
  <c r="Q410" i="21"/>
  <c r="P410" i="21"/>
  <c r="O410" i="21"/>
  <c r="O410" i="21" a="1"/>
  <c r="V409" i="21"/>
  <c r="U409" i="21"/>
  <c r="T409" i="21"/>
  <c r="S409" i="21"/>
  <c r="R409" i="21"/>
  <c r="Q409" i="21"/>
  <c r="P409" i="21"/>
  <c r="O409" i="21"/>
  <c r="O409" i="21" a="1"/>
  <c r="V408" i="21"/>
  <c r="U408" i="21"/>
  <c r="T408" i="21"/>
  <c r="S408" i="21"/>
  <c r="R408" i="21"/>
  <c r="Q408" i="21"/>
  <c r="P408" i="21"/>
  <c r="O408" i="21"/>
  <c r="O408" i="21" a="1"/>
  <c r="V407" i="21"/>
  <c r="U407" i="21"/>
  <c r="T407" i="21"/>
  <c r="S407" i="21"/>
  <c r="R407" i="21"/>
  <c r="Q407" i="21"/>
  <c r="P407" i="21"/>
  <c r="O407" i="21"/>
  <c r="O407" i="21" a="1"/>
  <c r="V406" i="21"/>
  <c r="U406" i="21"/>
  <c r="T406" i="21"/>
  <c r="S406" i="21"/>
  <c r="R406" i="21"/>
  <c r="Q406" i="21"/>
  <c r="P406" i="21"/>
  <c r="O406" i="21"/>
  <c r="O406" i="21" a="1"/>
  <c r="V405" i="21"/>
  <c r="U405" i="21"/>
  <c r="T405" i="21"/>
  <c r="S405" i="21"/>
  <c r="R405" i="21"/>
  <c r="Q405" i="21"/>
  <c r="P405" i="21"/>
  <c r="O405" i="21"/>
  <c r="O405" i="21" a="1"/>
  <c r="V404" i="21"/>
  <c r="U404" i="21"/>
  <c r="T404" i="21"/>
  <c r="S404" i="21"/>
  <c r="R404" i="21"/>
  <c r="Q404" i="21"/>
  <c r="P404" i="21"/>
  <c r="O404" i="21"/>
  <c r="O404" i="21" a="1"/>
  <c r="V403" i="21"/>
  <c r="U403" i="21"/>
  <c r="T403" i="21"/>
  <c r="S403" i="21"/>
  <c r="R403" i="21"/>
  <c r="Q403" i="21"/>
  <c r="P403" i="21"/>
  <c r="O403" i="21"/>
  <c r="O403" i="21" a="1"/>
  <c r="V402" i="21"/>
  <c r="U402" i="21"/>
  <c r="T402" i="21"/>
  <c r="S402" i="21"/>
  <c r="R402" i="21"/>
  <c r="Q402" i="21"/>
  <c r="P402" i="21"/>
  <c r="O402" i="21"/>
  <c r="O402" i="21" a="1"/>
  <c r="V401" i="21"/>
  <c r="U401" i="21"/>
  <c r="T401" i="21"/>
  <c r="S401" i="21"/>
  <c r="R401" i="21"/>
  <c r="Q401" i="21"/>
  <c r="P401" i="21"/>
  <c r="O401" i="21"/>
  <c r="O401" i="21" a="1"/>
  <c r="V400" i="21"/>
  <c r="U400" i="21"/>
  <c r="T400" i="21"/>
  <c r="S400" i="21"/>
  <c r="R400" i="21"/>
  <c r="Q400" i="21"/>
  <c r="P400" i="21"/>
  <c r="O400" i="21"/>
  <c r="O400" i="21" a="1"/>
  <c r="V399" i="21"/>
  <c r="U399" i="21"/>
  <c r="T399" i="21"/>
  <c r="S399" i="21"/>
  <c r="R399" i="21"/>
  <c r="Q399" i="21"/>
  <c r="P399" i="21"/>
  <c r="O399" i="21"/>
  <c r="O399" i="21" a="1"/>
  <c r="V398" i="21"/>
  <c r="U398" i="21"/>
  <c r="T398" i="21"/>
  <c r="S398" i="21"/>
  <c r="R398" i="21"/>
  <c r="Q398" i="21"/>
  <c r="P398" i="21"/>
  <c r="O398" i="21"/>
  <c r="O398" i="21" a="1"/>
  <c r="V397" i="21"/>
  <c r="U397" i="21"/>
  <c r="T397" i="21"/>
  <c r="S397" i="21"/>
  <c r="R397" i="21"/>
  <c r="Q397" i="21"/>
  <c r="P397" i="21"/>
  <c r="O397" i="21"/>
  <c r="O397" i="21" a="1"/>
  <c r="V396" i="21"/>
  <c r="U396" i="21"/>
  <c r="T396" i="21"/>
  <c r="S396" i="21"/>
  <c r="R396" i="21"/>
  <c r="Q396" i="21"/>
  <c r="P396" i="21"/>
  <c r="O396" i="21"/>
  <c r="O396" i="21" a="1"/>
  <c r="V395" i="21"/>
  <c r="U395" i="21"/>
  <c r="T395" i="21"/>
  <c r="S395" i="21"/>
  <c r="R395" i="21"/>
  <c r="Q395" i="21"/>
  <c r="P395" i="21"/>
  <c r="O395" i="21"/>
  <c r="O395" i="21" a="1"/>
  <c r="V394" i="21"/>
  <c r="U394" i="21"/>
  <c r="T394" i="21"/>
  <c r="S394" i="21"/>
  <c r="R394" i="21"/>
  <c r="Q394" i="21"/>
  <c r="P394" i="21"/>
  <c r="O394" i="21"/>
  <c r="O394" i="21" a="1"/>
  <c r="V393" i="21"/>
  <c r="U393" i="21"/>
  <c r="T393" i="21"/>
  <c r="S393" i="21"/>
  <c r="R393" i="21"/>
  <c r="Q393" i="21"/>
  <c r="P393" i="21"/>
  <c r="O393" i="21"/>
  <c r="O393" i="21" a="1"/>
  <c r="V392" i="21"/>
  <c r="U392" i="21"/>
  <c r="T392" i="21"/>
  <c r="S392" i="21"/>
  <c r="R392" i="21"/>
  <c r="Q392" i="21"/>
  <c r="P392" i="21"/>
  <c r="O392" i="21"/>
  <c r="O392" i="21" a="1"/>
  <c r="V391" i="21"/>
  <c r="U391" i="21"/>
  <c r="T391" i="21"/>
  <c r="S391" i="21"/>
  <c r="R391" i="21"/>
  <c r="Q391" i="21"/>
  <c r="P391" i="21"/>
  <c r="O391" i="21"/>
  <c r="O391" i="21" a="1"/>
  <c r="V390" i="21"/>
  <c r="U390" i="21"/>
  <c r="T390" i="21"/>
  <c r="S390" i="21"/>
  <c r="R390" i="21"/>
  <c r="Q390" i="21"/>
  <c r="P390" i="21"/>
  <c r="O390" i="21"/>
  <c r="O390" i="21" a="1"/>
  <c r="V389" i="21"/>
  <c r="U389" i="21"/>
  <c r="T389" i="21"/>
  <c r="S389" i="21"/>
  <c r="R389" i="21"/>
  <c r="Q389" i="21"/>
  <c r="P389" i="21"/>
  <c r="O389" i="21"/>
  <c r="O389" i="21" a="1"/>
  <c r="V388" i="21"/>
  <c r="U388" i="21"/>
  <c r="T388" i="21"/>
  <c r="S388" i="21"/>
  <c r="R388" i="21"/>
  <c r="Q388" i="21"/>
  <c r="P388" i="21"/>
  <c r="O388" i="21"/>
  <c r="O388" i="21" a="1"/>
  <c r="V387" i="21"/>
  <c r="U387" i="21"/>
  <c r="T387" i="21"/>
  <c r="S387" i="21"/>
  <c r="R387" i="21"/>
  <c r="Q387" i="21"/>
  <c r="P387" i="21"/>
  <c r="O387" i="21"/>
  <c r="O387" i="21" a="1"/>
  <c r="V386" i="21"/>
  <c r="U386" i="21"/>
  <c r="T386" i="21"/>
  <c r="S386" i="21"/>
  <c r="R386" i="21"/>
  <c r="Q386" i="21"/>
  <c r="P386" i="21"/>
  <c r="O386" i="21"/>
  <c r="O386" i="21" a="1"/>
  <c r="V385" i="21"/>
  <c r="U385" i="21"/>
  <c r="T385" i="21"/>
  <c r="S385" i="21"/>
  <c r="R385" i="21"/>
  <c r="Q385" i="21"/>
  <c r="P385" i="21"/>
  <c r="O385" i="21"/>
  <c r="O385" i="21" a="1"/>
  <c r="V384" i="21"/>
  <c r="U384" i="21"/>
  <c r="T384" i="21"/>
  <c r="S384" i="21"/>
  <c r="R384" i="21"/>
  <c r="Q384" i="21"/>
  <c r="P384" i="21"/>
  <c r="O384" i="21"/>
  <c r="O384" i="21" a="1"/>
  <c r="V383" i="21"/>
  <c r="U383" i="21"/>
  <c r="T383" i="21"/>
  <c r="S383" i="21"/>
  <c r="R383" i="21"/>
  <c r="Q383" i="21"/>
  <c r="P383" i="21"/>
  <c r="O383" i="21"/>
  <c r="O383" i="21" a="1"/>
  <c r="V382" i="21"/>
  <c r="U382" i="21"/>
  <c r="T382" i="21"/>
  <c r="S382" i="21"/>
  <c r="R382" i="21"/>
  <c r="Q382" i="21"/>
  <c r="P382" i="21"/>
  <c r="O382" i="21"/>
  <c r="O382" i="21" a="1"/>
  <c r="V381" i="21"/>
  <c r="U381" i="21"/>
  <c r="T381" i="21"/>
  <c r="S381" i="21"/>
  <c r="R381" i="21"/>
  <c r="Q381" i="21"/>
  <c r="P381" i="21"/>
  <c r="O381" i="21"/>
  <c r="O381" i="21" a="1"/>
  <c r="V380" i="21"/>
  <c r="U380" i="21"/>
  <c r="T380" i="21"/>
  <c r="S380" i="21"/>
  <c r="R380" i="21"/>
  <c r="Q380" i="21"/>
  <c r="P380" i="21"/>
  <c r="O380" i="21"/>
  <c r="O380" i="21" a="1"/>
  <c r="V379" i="21"/>
  <c r="U379" i="21"/>
  <c r="T379" i="21"/>
  <c r="S379" i="21"/>
  <c r="R379" i="21"/>
  <c r="Q379" i="21"/>
  <c r="P379" i="21"/>
  <c r="O379" i="21"/>
  <c r="O379" i="21" a="1"/>
  <c r="V378" i="21"/>
  <c r="U378" i="21"/>
  <c r="T378" i="21"/>
  <c r="S378" i="21"/>
  <c r="R378" i="21"/>
  <c r="Q378" i="21"/>
  <c r="P378" i="21"/>
  <c r="O378" i="21"/>
  <c r="O378" i="21" a="1"/>
  <c r="V377" i="21"/>
  <c r="U377" i="21"/>
  <c r="T377" i="21"/>
  <c r="S377" i="21"/>
  <c r="R377" i="21"/>
  <c r="Q377" i="21"/>
  <c r="P377" i="21"/>
  <c r="O377" i="21"/>
  <c r="O377" i="21" a="1"/>
  <c r="V376" i="21"/>
  <c r="U376" i="21"/>
  <c r="T376" i="21"/>
  <c r="S376" i="21"/>
  <c r="R376" i="21"/>
  <c r="Q376" i="21"/>
  <c r="P376" i="21"/>
  <c r="O376" i="21"/>
  <c r="O376" i="21" a="1"/>
  <c r="V375" i="21"/>
  <c r="U375" i="21"/>
  <c r="T375" i="21"/>
  <c r="S375" i="21"/>
  <c r="R375" i="21"/>
  <c r="Q375" i="21"/>
  <c r="P375" i="21"/>
  <c r="O375" i="21"/>
  <c r="O375" i="21" a="1"/>
  <c r="V374" i="21"/>
  <c r="U374" i="21"/>
  <c r="T374" i="21"/>
  <c r="S374" i="21"/>
  <c r="R374" i="21"/>
  <c r="Q374" i="21"/>
  <c r="P374" i="21"/>
  <c r="O374" i="21"/>
  <c r="O374" i="21" a="1"/>
  <c r="V373" i="21"/>
  <c r="U373" i="21"/>
  <c r="T373" i="21"/>
  <c r="S373" i="21"/>
  <c r="R373" i="21"/>
  <c r="Q373" i="21"/>
  <c r="P373" i="21"/>
  <c r="O373" i="21"/>
  <c r="O373" i="21" a="1"/>
  <c r="V372" i="21"/>
  <c r="U372" i="21"/>
  <c r="T372" i="21"/>
  <c r="S372" i="21"/>
  <c r="R372" i="21"/>
  <c r="Q372" i="21"/>
  <c r="P372" i="21"/>
  <c r="O372" i="21"/>
  <c r="O372" i="21" a="1"/>
  <c r="V371" i="21"/>
  <c r="U371" i="21"/>
  <c r="T371" i="21"/>
  <c r="S371" i="21"/>
  <c r="R371" i="21"/>
  <c r="Q371" i="21"/>
  <c r="P371" i="21"/>
  <c r="O371" i="21"/>
  <c r="O371" i="21" a="1"/>
  <c r="V370" i="21"/>
  <c r="U370" i="21"/>
  <c r="T370" i="21"/>
  <c r="S370" i="21"/>
  <c r="R370" i="21"/>
  <c r="Q370" i="21"/>
  <c r="P370" i="21"/>
  <c r="O370" i="21"/>
  <c r="O370" i="21" a="1"/>
  <c r="V369" i="21"/>
  <c r="U369" i="21"/>
  <c r="T369" i="21"/>
  <c r="S369" i="21"/>
  <c r="R369" i="21"/>
  <c r="Q369" i="21"/>
  <c r="P369" i="21"/>
  <c r="O369" i="21"/>
  <c r="O369" i="21" a="1"/>
  <c r="V368" i="21"/>
  <c r="U368" i="21"/>
  <c r="T368" i="21"/>
  <c r="S368" i="21"/>
  <c r="R368" i="21"/>
  <c r="Q368" i="21"/>
  <c r="P368" i="21"/>
  <c r="O368" i="21"/>
  <c r="O368" i="21" a="1"/>
  <c r="V367" i="21"/>
  <c r="U367" i="21"/>
  <c r="T367" i="21"/>
  <c r="S367" i="21"/>
  <c r="R367" i="21"/>
  <c r="Q367" i="21"/>
  <c r="P367" i="21"/>
  <c r="O367" i="21"/>
  <c r="O367" i="21" a="1"/>
  <c r="V366" i="21"/>
  <c r="U366" i="21"/>
  <c r="T366" i="21"/>
  <c r="S366" i="21"/>
  <c r="R366" i="21"/>
  <c r="Q366" i="21"/>
  <c r="P366" i="21"/>
  <c r="O366" i="21"/>
  <c r="O366" i="21" a="1"/>
  <c r="V365" i="21"/>
  <c r="U365" i="21"/>
  <c r="T365" i="21"/>
  <c r="S365" i="21"/>
  <c r="R365" i="21"/>
  <c r="Q365" i="21"/>
  <c r="P365" i="21"/>
  <c r="O365" i="21"/>
  <c r="O365" i="21" a="1"/>
  <c r="V364" i="21"/>
  <c r="U364" i="21"/>
  <c r="T364" i="21"/>
  <c r="S364" i="21"/>
  <c r="R364" i="21"/>
  <c r="Q364" i="21"/>
  <c r="P364" i="21"/>
  <c r="O364" i="21"/>
  <c r="O364" i="21" a="1"/>
  <c r="V363" i="21"/>
  <c r="U363" i="21"/>
  <c r="T363" i="21"/>
  <c r="S363" i="21"/>
  <c r="R363" i="21"/>
  <c r="Q363" i="21"/>
  <c r="P363" i="21"/>
  <c r="O363" i="21"/>
  <c r="O363" i="21" a="1"/>
  <c r="V362" i="21"/>
  <c r="U362" i="21"/>
  <c r="T362" i="21"/>
  <c r="S362" i="21"/>
  <c r="R362" i="21"/>
  <c r="Q362" i="21"/>
  <c r="P362" i="21"/>
  <c r="O362" i="21"/>
  <c r="O362" i="21" a="1"/>
  <c r="V361" i="21"/>
  <c r="U361" i="21"/>
  <c r="T361" i="21"/>
  <c r="S361" i="21"/>
  <c r="R361" i="21"/>
  <c r="Q361" i="21"/>
  <c r="P361" i="21"/>
  <c r="O361" i="21"/>
  <c r="O361" i="21" a="1"/>
  <c r="V360" i="21"/>
  <c r="U360" i="21"/>
  <c r="T360" i="21"/>
  <c r="S360" i="21"/>
  <c r="R360" i="21"/>
  <c r="Q360" i="21"/>
  <c r="P360" i="21"/>
  <c r="O360" i="21"/>
  <c r="O360" i="21" a="1"/>
  <c r="V359" i="21"/>
  <c r="U359" i="21"/>
  <c r="T359" i="21"/>
  <c r="S359" i="21"/>
  <c r="R359" i="21"/>
  <c r="Q359" i="21"/>
  <c r="P359" i="21"/>
  <c r="O359" i="21"/>
  <c r="O359" i="21" a="1"/>
  <c r="V358" i="21"/>
  <c r="U358" i="21"/>
  <c r="T358" i="21"/>
  <c r="S358" i="21"/>
  <c r="R358" i="21"/>
  <c r="Q358" i="21"/>
  <c r="P358" i="21"/>
  <c r="O358" i="21"/>
  <c r="O358" i="21" a="1"/>
  <c r="V357" i="21"/>
  <c r="U357" i="21"/>
  <c r="T357" i="21"/>
  <c r="S357" i="21"/>
  <c r="R357" i="21"/>
  <c r="Q357" i="21"/>
  <c r="P357" i="21"/>
  <c r="O357" i="21"/>
  <c r="O357" i="21" a="1"/>
  <c r="V356" i="21"/>
  <c r="U356" i="21"/>
  <c r="T356" i="21"/>
  <c r="S356" i="21"/>
  <c r="R356" i="21"/>
  <c r="Q356" i="21"/>
  <c r="P356" i="21"/>
  <c r="O356" i="21"/>
  <c r="O356" i="21" a="1"/>
  <c r="V355" i="21"/>
  <c r="U355" i="21"/>
  <c r="T355" i="21"/>
  <c r="S355" i="21"/>
  <c r="R355" i="21"/>
  <c r="Q355" i="21"/>
  <c r="P355" i="21"/>
  <c r="O355" i="21"/>
  <c r="O355" i="21" a="1"/>
  <c r="V354" i="21"/>
  <c r="U354" i="21"/>
  <c r="T354" i="21"/>
  <c r="S354" i="21"/>
  <c r="R354" i="21"/>
  <c r="Q354" i="21"/>
  <c r="P354" i="21"/>
  <c r="O354" i="21"/>
  <c r="O354" i="21" a="1"/>
  <c r="V353" i="21"/>
  <c r="U353" i="21"/>
  <c r="T353" i="21"/>
  <c r="S353" i="21"/>
  <c r="R353" i="21"/>
  <c r="Q353" i="21"/>
  <c r="P353" i="21"/>
  <c r="O353" i="21"/>
  <c r="O353" i="21" a="1"/>
  <c r="V352" i="21"/>
  <c r="U352" i="21"/>
  <c r="T352" i="21"/>
  <c r="S352" i="21"/>
  <c r="R352" i="21"/>
  <c r="Q352" i="21"/>
  <c r="P352" i="21"/>
  <c r="O352" i="21"/>
  <c r="O352" i="21" a="1"/>
  <c r="V351" i="21"/>
  <c r="U351" i="21"/>
  <c r="T351" i="21"/>
  <c r="S351" i="21"/>
  <c r="R351" i="21"/>
  <c r="Q351" i="21"/>
  <c r="P351" i="21"/>
  <c r="O351" i="21"/>
  <c r="O351" i="21" a="1"/>
  <c r="V350" i="21"/>
  <c r="U350" i="21"/>
  <c r="T350" i="21"/>
  <c r="S350" i="21"/>
  <c r="R350" i="21"/>
  <c r="Q350" i="21"/>
  <c r="P350" i="21"/>
  <c r="O350" i="21"/>
  <c r="O350" i="21" a="1"/>
  <c r="V349" i="21"/>
  <c r="U349" i="21"/>
  <c r="T349" i="21"/>
  <c r="S349" i="21"/>
  <c r="R349" i="21"/>
  <c r="Q349" i="21"/>
  <c r="P349" i="21"/>
  <c r="O349" i="21"/>
  <c r="O349" i="21" a="1"/>
  <c r="V348" i="21"/>
  <c r="U348" i="21"/>
  <c r="T348" i="21"/>
  <c r="S348" i="21"/>
  <c r="R348" i="21"/>
  <c r="Q348" i="21"/>
  <c r="P348" i="21"/>
  <c r="O348" i="21"/>
  <c r="O348" i="21" a="1"/>
  <c r="V347" i="21"/>
  <c r="U347" i="21"/>
  <c r="T347" i="21"/>
  <c r="S347" i="21"/>
  <c r="R347" i="21"/>
  <c r="Q347" i="21"/>
  <c r="P347" i="21"/>
  <c r="O347" i="21"/>
  <c r="O347" i="21" a="1"/>
  <c r="V346" i="21"/>
  <c r="U346" i="21"/>
  <c r="T346" i="21"/>
  <c r="S346" i="21"/>
  <c r="R346" i="21"/>
  <c r="Q346" i="21"/>
  <c r="P346" i="21"/>
  <c r="O346" i="21"/>
  <c r="O346" i="21" a="1"/>
  <c r="V345" i="21"/>
  <c r="U345" i="21"/>
  <c r="T345" i="21"/>
  <c r="S345" i="21"/>
  <c r="R345" i="21"/>
  <c r="Q345" i="21"/>
  <c r="P345" i="21"/>
  <c r="O345" i="21"/>
  <c r="O345" i="21" a="1"/>
  <c r="V344" i="21"/>
  <c r="U344" i="21"/>
  <c r="T344" i="21"/>
  <c r="S344" i="21"/>
  <c r="R344" i="21"/>
  <c r="Q344" i="21"/>
  <c r="P344" i="21"/>
  <c r="O344" i="21"/>
  <c r="O344" i="21" a="1"/>
  <c r="V343" i="21"/>
  <c r="U343" i="21"/>
  <c r="T343" i="21"/>
  <c r="S343" i="21"/>
  <c r="R343" i="21"/>
  <c r="Q343" i="21"/>
  <c r="P343" i="21"/>
  <c r="O343" i="21"/>
  <c r="O343" i="21" a="1"/>
  <c r="V342" i="21"/>
  <c r="U342" i="21"/>
  <c r="T342" i="21"/>
  <c r="S342" i="21"/>
  <c r="R342" i="21"/>
  <c r="Q342" i="21"/>
  <c r="P342" i="21"/>
  <c r="O342" i="21"/>
  <c r="O342" i="21" a="1"/>
  <c r="V341" i="21"/>
  <c r="U341" i="21"/>
  <c r="T341" i="21"/>
  <c r="S341" i="21"/>
  <c r="R341" i="21"/>
  <c r="Q341" i="21"/>
  <c r="P341" i="21"/>
  <c r="O341" i="21"/>
  <c r="O341" i="21" a="1"/>
  <c r="V340" i="21"/>
  <c r="U340" i="21"/>
  <c r="T340" i="21"/>
  <c r="S340" i="21"/>
  <c r="R340" i="21"/>
  <c r="Q340" i="21"/>
  <c r="P340" i="21"/>
  <c r="O340" i="21"/>
  <c r="O340" i="21" a="1"/>
  <c r="V339" i="21"/>
  <c r="U339" i="21"/>
  <c r="T339" i="21"/>
  <c r="S339" i="21"/>
  <c r="R339" i="21"/>
  <c r="Q339" i="21"/>
  <c r="P339" i="21"/>
  <c r="O339" i="21"/>
  <c r="O339" i="21" a="1"/>
  <c r="V338" i="21"/>
  <c r="U338" i="21"/>
  <c r="T338" i="21"/>
  <c r="S338" i="21"/>
  <c r="R338" i="21"/>
  <c r="Q338" i="21"/>
  <c r="P338" i="21"/>
  <c r="O338" i="21"/>
  <c r="O338" i="21" a="1"/>
  <c r="V337" i="21"/>
  <c r="U337" i="21"/>
  <c r="T337" i="21"/>
  <c r="S337" i="21"/>
  <c r="R337" i="21"/>
  <c r="Q337" i="21"/>
  <c r="P337" i="21"/>
  <c r="O337" i="21"/>
  <c r="O337" i="21" a="1"/>
  <c r="V336" i="21"/>
  <c r="U336" i="21"/>
  <c r="T336" i="21"/>
  <c r="S336" i="21"/>
  <c r="R336" i="21"/>
  <c r="Q336" i="21"/>
  <c r="P336" i="21"/>
  <c r="O336" i="21"/>
  <c r="O336" i="21" a="1"/>
  <c r="V335" i="21"/>
  <c r="U335" i="21"/>
  <c r="T335" i="21"/>
  <c r="S335" i="21"/>
  <c r="R335" i="21"/>
  <c r="Q335" i="21"/>
  <c r="P335" i="21"/>
  <c r="O335" i="21"/>
  <c r="O335" i="21" a="1"/>
  <c r="V334" i="21"/>
  <c r="U334" i="21"/>
  <c r="T334" i="21"/>
  <c r="S334" i="21"/>
  <c r="R334" i="21"/>
  <c r="Q334" i="21"/>
  <c r="P334" i="21"/>
  <c r="O334" i="21"/>
  <c r="O334" i="21" a="1"/>
  <c r="V333" i="21"/>
  <c r="U333" i="21"/>
  <c r="T333" i="21"/>
  <c r="S333" i="21"/>
  <c r="R333" i="21"/>
  <c r="Q333" i="21"/>
  <c r="P333" i="21"/>
  <c r="O333" i="21"/>
  <c r="O333" i="21" a="1"/>
  <c r="V332" i="21"/>
  <c r="U332" i="21"/>
  <c r="T332" i="21"/>
  <c r="S332" i="21"/>
  <c r="R332" i="21"/>
  <c r="Q332" i="21"/>
  <c r="P332" i="21"/>
  <c r="O332" i="21"/>
  <c r="O332" i="21" a="1"/>
  <c r="V331" i="21"/>
  <c r="U331" i="21"/>
  <c r="T331" i="21"/>
  <c r="S331" i="21"/>
  <c r="R331" i="21"/>
  <c r="Q331" i="21"/>
  <c r="P331" i="21"/>
  <c r="O331" i="21"/>
  <c r="O331" i="21" a="1"/>
  <c r="V330" i="21"/>
  <c r="U330" i="21"/>
  <c r="T330" i="21"/>
  <c r="S330" i="21"/>
  <c r="R330" i="21"/>
  <c r="Q330" i="21"/>
  <c r="P330" i="21"/>
  <c r="O330" i="21"/>
  <c r="O330" i="21" a="1"/>
  <c r="V329" i="21"/>
  <c r="U329" i="21"/>
  <c r="T329" i="21"/>
  <c r="S329" i="21"/>
  <c r="R329" i="21"/>
  <c r="Q329" i="21"/>
  <c r="P329" i="21"/>
  <c r="O329" i="21"/>
  <c r="O329" i="21" a="1"/>
  <c r="V328" i="21"/>
  <c r="U328" i="21"/>
  <c r="T328" i="21"/>
  <c r="S328" i="21"/>
  <c r="R328" i="21"/>
  <c r="Q328" i="21"/>
  <c r="P328" i="21"/>
  <c r="O328" i="21"/>
  <c r="O328" i="21" a="1"/>
  <c r="V327" i="21"/>
  <c r="U327" i="21"/>
  <c r="T327" i="21"/>
  <c r="S327" i="21"/>
  <c r="R327" i="21"/>
  <c r="Q327" i="21"/>
  <c r="P327" i="21"/>
  <c r="O327" i="21"/>
  <c r="O327" i="21" a="1"/>
  <c r="V326" i="21"/>
  <c r="U326" i="21"/>
  <c r="T326" i="21"/>
  <c r="S326" i="21"/>
  <c r="R326" i="21"/>
  <c r="Q326" i="21"/>
  <c r="P326" i="21"/>
  <c r="O326" i="21"/>
  <c r="O326" i="21" a="1"/>
  <c r="V325" i="21"/>
  <c r="U325" i="21"/>
  <c r="T325" i="21"/>
  <c r="S325" i="21"/>
  <c r="R325" i="21"/>
  <c r="Q325" i="21"/>
  <c r="P325" i="21"/>
  <c r="O325" i="21"/>
  <c r="O325" i="21" a="1"/>
  <c r="V324" i="21"/>
  <c r="U324" i="21"/>
  <c r="T324" i="21"/>
  <c r="S324" i="21"/>
  <c r="R324" i="21"/>
  <c r="Q324" i="21"/>
  <c r="P324" i="21"/>
  <c r="O324" i="21"/>
  <c r="O324" i="21" a="1"/>
  <c r="V323" i="21"/>
  <c r="U323" i="21"/>
  <c r="T323" i="21"/>
  <c r="S323" i="21"/>
  <c r="R323" i="21"/>
  <c r="Q323" i="21"/>
  <c r="P323" i="21"/>
  <c r="O323" i="21"/>
  <c r="O323" i="21" a="1"/>
  <c r="V322" i="21"/>
  <c r="U322" i="21"/>
  <c r="T322" i="21"/>
  <c r="S322" i="21"/>
  <c r="R322" i="21"/>
  <c r="Q322" i="21"/>
  <c r="P322" i="21"/>
  <c r="O322" i="21"/>
  <c r="O322" i="21" a="1"/>
  <c r="V321" i="21"/>
  <c r="U321" i="21"/>
  <c r="T321" i="21"/>
  <c r="S321" i="21"/>
  <c r="R321" i="21"/>
  <c r="Q321" i="21"/>
  <c r="P321" i="21"/>
  <c r="O321" i="21"/>
  <c r="O321" i="21" a="1"/>
  <c r="V320" i="21"/>
  <c r="U320" i="21"/>
  <c r="T320" i="21"/>
  <c r="S320" i="21"/>
  <c r="R320" i="21"/>
  <c r="Q320" i="21"/>
  <c r="P320" i="21"/>
  <c r="O320" i="21"/>
  <c r="O320" i="21" a="1"/>
  <c r="V319" i="21"/>
  <c r="U319" i="21"/>
  <c r="T319" i="21"/>
  <c r="S319" i="21"/>
  <c r="R319" i="21"/>
  <c r="Q319" i="21"/>
  <c r="P319" i="21"/>
  <c r="O319" i="21"/>
  <c r="O319" i="21" a="1"/>
  <c r="V318" i="21"/>
  <c r="U318" i="21"/>
  <c r="T318" i="21"/>
  <c r="S318" i="21"/>
  <c r="R318" i="21"/>
  <c r="Q318" i="21"/>
  <c r="P318" i="21"/>
  <c r="O318" i="21"/>
  <c r="O318" i="21" a="1"/>
  <c r="V317" i="21"/>
  <c r="U317" i="21"/>
  <c r="T317" i="21"/>
  <c r="S317" i="21"/>
  <c r="R317" i="21"/>
  <c r="Q317" i="21"/>
  <c r="P317" i="21"/>
  <c r="O317" i="21"/>
  <c r="O317" i="21" a="1"/>
  <c r="V316" i="21"/>
  <c r="U316" i="21"/>
  <c r="T316" i="21"/>
  <c r="S316" i="21"/>
  <c r="R316" i="21"/>
  <c r="Q316" i="21"/>
  <c r="P316" i="21"/>
  <c r="O316" i="21"/>
  <c r="O316" i="21" a="1"/>
  <c r="V315" i="21"/>
  <c r="U315" i="21"/>
  <c r="T315" i="21"/>
  <c r="S315" i="21"/>
  <c r="R315" i="21"/>
  <c r="Q315" i="21"/>
  <c r="P315" i="21"/>
  <c r="O315" i="21"/>
  <c r="O315" i="21" a="1"/>
  <c r="V314" i="21"/>
  <c r="U314" i="21"/>
  <c r="T314" i="21"/>
  <c r="S314" i="21"/>
  <c r="R314" i="21"/>
  <c r="Q314" i="21"/>
  <c r="P314" i="21"/>
  <c r="O314" i="21"/>
  <c r="O314" i="21" a="1"/>
  <c r="V313" i="21"/>
  <c r="U313" i="21"/>
  <c r="T313" i="21"/>
  <c r="S313" i="21"/>
  <c r="R313" i="21"/>
  <c r="Q313" i="21"/>
  <c r="P313" i="21"/>
  <c r="O313" i="21"/>
  <c r="O313" i="21" a="1"/>
  <c r="V312" i="21"/>
  <c r="U312" i="21"/>
  <c r="T312" i="21"/>
  <c r="S312" i="21"/>
  <c r="R312" i="21"/>
  <c r="Q312" i="21"/>
  <c r="P312" i="21"/>
  <c r="O312" i="21"/>
  <c r="O312" i="21" a="1"/>
  <c r="V311" i="21"/>
  <c r="U311" i="21"/>
  <c r="T311" i="21"/>
  <c r="S311" i="21"/>
  <c r="R311" i="21"/>
  <c r="Q311" i="21"/>
  <c r="P311" i="21"/>
  <c r="O311" i="21"/>
  <c r="O311" i="21" a="1"/>
  <c r="V310" i="21"/>
  <c r="U310" i="21"/>
  <c r="T310" i="21"/>
  <c r="S310" i="21"/>
  <c r="R310" i="21"/>
  <c r="Q310" i="21"/>
  <c r="P310" i="21"/>
  <c r="O310" i="21"/>
  <c r="O310" i="21" a="1"/>
  <c r="V309" i="21"/>
  <c r="U309" i="21"/>
  <c r="T309" i="21"/>
  <c r="S309" i="21"/>
  <c r="R309" i="21"/>
  <c r="Q309" i="21"/>
  <c r="P309" i="21"/>
  <c r="O309" i="21"/>
  <c r="O309" i="21" a="1"/>
  <c r="V308" i="21"/>
  <c r="U308" i="21"/>
  <c r="T308" i="21"/>
  <c r="S308" i="21"/>
  <c r="R308" i="21"/>
  <c r="Q308" i="21"/>
  <c r="P308" i="21"/>
  <c r="O308" i="21"/>
  <c r="O308" i="21" a="1"/>
  <c r="V307" i="21"/>
  <c r="U307" i="21"/>
  <c r="T307" i="21"/>
  <c r="S307" i="21"/>
  <c r="R307" i="21"/>
  <c r="Q307" i="21"/>
  <c r="P307" i="21"/>
  <c r="O307" i="21"/>
  <c r="O307" i="21" a="1"/>
  <c r="V306" i="21"/>
  <c r="U306" i="21"/>
  <c r="T306" i="21"/>
  <c r="S306" i="21"/>
  <c r="R306" i="21"/>
  <c r="Q306" i="21"/>
  <c r="P306" i="21"/>
  <c r="O306" i="21"/>
  <c r="O306" i="21" a="1"/>
  <c r="V305" i="21"/>
  <c r="U305" i="21"/>
  <c r="T305" i="21"/>
  <c r="S305" i="21"/>
  <c r="R305" i="21"/>
  <c r="Q305" i="21"/>
  <c r="P305" i="21"/>
  <c r="O305" i="21"/>
  <c r="O305" i="21" a="1"/>
  <c r="V304" i="21"/>
  <c r="U304" i="21"/>
  <c r="T304" i="21"/>
  <c r="S304" i="21"/>
  <c r="R304" i="21"/>
  <c r="Q304" i="21"/>
  <c r="P304" i="21"/>
  <c r="O304" i="21"/>
  <c r="O304" i="21" a="1"/>
  <c r="V303" i="21"/>
  <c r="U303" i="21"/>
  <c r="T303" i="21"/>
  <c r="S303" i="21"/>
  <c r="R303" i="21"/>
  <c r="Q303" i="21"/>
  <c r="P303" i="21"/>
  <c r="O303" i="21"/>
  <c r="O303" i="21" a="1"/>
  <c r="V302" i="21"/>
  <c r="U302" i="21"/>
  <c r="T302" i="21"/>
  <c r="S302" i="21"/>
  <c r="R302" i="21"/>
  <c r="Q302" i="21"/>
  <c r="P302" i="21"/>
  <c r="O302" i="21"/>
  <c r="O302" i="21" a="1"/>
  <c r="V301" i="21"/>
  <c r="U301" i="21"/>
  <c r="T301" i="21"/>
  <c r="S301" i="21"/>
  <c r="R301" i="21"/>
  <c r="Q301" i="21"/>
  <c r="P301" i="21"/>
  <c r="O301" i="21"/>
  <c r="O301" i="21" a="1"/>
  <c r="V300" i="21"/>
  <c r="U300" i="21"/>
  <c r="T300" i="21"/>
  <c r="S300" i="21"/>
  <c r="R300" i="21"/>
  <c r="Q300" i="21"/>
  <c r="P300" i="21"/>
  <c r="O300" i="21"/>
  <c r="O300" i="21" a="1"/>
  <c r="V299" i="21"/>
  <c r="U299" i="21"/>
  <c r="T299" i="21"/>
  <c r="S299" i="21"/>
  <c r="R299" i="21"/>
  <c r="Q299" i="21"/>
  <c r="P299" i="21"/>
  <c r="O299" i="21"/>
  <c r="O299" i="21" a="1"/>
  <c r="V298" i="21"/>
  <c r="U298" i="21"/>
  <c r="T298" i="21"/>
  <c r="S298" i="21"/>
  <c r="R298" i="21"/>
  <c r="Q298" i="21"/>
  <c r="P298" i="21"/>
  <c r="O298" i="21"/>
  <c r="O298" i="21" a="1"/>
  <c r="V297" i="21"/>
  <c r="U297" i="21"/>
  <c r="T297" i="21"/>
  <c r="S297" i="21"/>
  <c r="R297" i="21"/>
  <c r="Q297" i="21"/>
  <c r="P297" i="21"/>
  <c r="O297" i="21"/>
  <c r="O297" i="21" a="1"/>
  <c r="V296" i="21"/>
  <c r="U296" i="21"/>
  <c r="T296" i="21"/>
  <c r="S296" i="21"/>
  <c r="R296" i="21"/>
  <c r="Q296" i="21"/>
  <c r="P296" i="21"/>
  <c r="O296" i="21"/>
  <c r="O296" i="21" a="1"/>
  <c r="V295" i="21"/>
  <c r="U295" i="21"/>
  <c r="T295" i="21"/>
  <c r="S295" i="21"/>
  <c r="R295" i="21"/>
  <c r="Q295" i="21"/>
  <c r="P295" i="21"/>
  <c r="O295" i="21"/>
  <c r="O295" i="21" a="1"/>
  <c r="V294" i="21"/>
  <c r="U294" i="21"/>
  <c r="T294" i="21"/>
  <c r="S294" i="21"/>
  <c r="R294" i="21"/>
  <c r="Q294" i="21"/>
  <c r="P294" i="21"/>
  <c r="O294" i="21"/>
  <c r="O294" i="21" a="1"/>
  <c r="V293" i="21"/>
  <c r="U293" i="21"/>
  <c r="T293" i="21"/>
  <c r="S293" i="21"/>
  <c r="R293" i="21"/>
  <c r="Q293" i="21"/>
  <c r="P293" i="21"/>
  <c r="O293" i="21"/>
  <c r="O293" i="21" a="1"/>
  <c r="V292" i="21"/>
  <c r="U292" i="21"/>
  <c r="T292" i="21"/>
  <c r="S292" i="21"/>
  <c r="R292" i="21"/>
  <c r="Q292" i="21"/>
  <c r="P292" i="21"/>
  <c r="O292" i="21"/>
  <c r="O292" i="21" a="1"/>
  <c r="V291" i="21"/>
  <c r="U291" i="21"/>
  <c r="T291" i="21"/>
  <c r="S291" i="21"/>
  <c r="R291" i="21"/>
  <c r="Q291" i="21"/>
  <c r="P291" i="21"/>
  <c r="O291" i="21"/>
  <c r="O291" i="21" a="1"/>
  <c r="V290" i="21"/>
  <c r="U290" i="21"/>
  <c r="T290" i="21"/>
  <c r="S290" i="21"/>
  <c r="R290" i="21"/>
  <c r="Q290" i="21"/>
  <c r="P290" i="21"/>
  <c r="O290" i="21"/>
  <c r="O290" i="21" a="1"/>
  <c r="V289" i="21"/>
  <c r="U289" i="21"/>
  <c r="T289" i="21"/>
  <c r="S289" i="21"/>
  <c r="R289" i="21"/>
  <c r="Q289" i="21"/>
  <c r="P289" i="21"/>
  <c r="O289" i="21"/>
  <c r="O289" i="21" a="1"/>
  <c r="V288" i="21"/>
  <c r="U288" i="21"/>
  <c r="T288" i="21"/>
  <c r="S288" i="21"/>
  <c r="R288" i="21"/>
  <c r="Q288" i="21"/>
  <c r="P288" i="21"/>
  <c r="O288" i="21"/>
  <c r="O288" i="21" a="1"/>
  <c r="V287" i="21"/>
  <c r="U287" i="21"/>
  <c r="T287" i="21"/>
  <c r="S287" i="21"/>
  <c r="R287" i="21"/>
  <c r="Q287" i="21"/>
  <c r="P287" i="21"/>
  <c r="O287" i="21"/>
  <c r="O287" i="21" a="1"/>
  <c r="V286" i="21"/>
  <c r="U286" i="21"/>
  <c r="T286" i="21"/>
  <c r="S286" i="21"/>
  <c r="R286" i="21"/>
  <c r="Q286" i="21"/>
  <c r="P286" i="21"/>
  <c r="O286" i="21"/>
  <c r="O286" i="21" a="1"/>
  <c r="V285" i="21"/>
  <c r="U285" i="21"/>
  <c r="T285" i="21"/>
  <c r="S285" i="21"/>
  <c r="R285" i="21"/>
  <c r="Q285" i="21"/>
  <c r="P285" i="21"/>
  <c r="O285" i="21"/>
  <c r="O285" i="21" a="1"/>
  <c r="V284" i="21"/>
  <c r="U284" i="21"/>
  <c r="T284" i="21"/>
  <c r="S284" i="21"/>
  <c r="R284" i="21"/>
  <c r="Q284" i="21"/>
  <c r="P284" i="21"/>
  <c r="O284" i="21"/>
  <c r="O284" i="21" a="1"/>
  <c r="V283" i="21"/>
  <c r="U283" i="21"/>
  <c r="T283" i="21"/>
  <c r="S283" i="21"/>
  <c r="R283" i="21"/>
  <c r="Q283" i="21"/>
  <c r="P283" i="21"/>
  <c r="O283" i="21"/>
  <c r="O283" i="21" a="1"/>
  <c r="V282" i="21"/>
  <c r="U282" i="21"/>
  <c r="T282" i="21"/>
  <c r="S282" i="21"/>
  <c r="R282" i="21"/>
  <c r="Q282" i="21"/>
  <c r="P282" i="21"/>
  <c r="O282" i="21"/>
  <c r="O282" i="21" a="1"/>
  <c r="V281" i="21"/>
  <c r="U281" i="21"/>
  <c r="T281" i="21"/>
  <c r="S281" i="21"/>
  <c r="R281" i="21"/>
  <c r="Q281" i="21"/>
  <c r="P281" i="21"/>
  <c r="O281" i="21"/>
  <c r="O281" i="21" a="1"/>
  <c r="V280" i="21"/>
  <c r="U280" i="21"/>
  <c r="T280" i="21"/>
  <c r="S280" i="21"/>
  <c r="R280" i="21"/>
  <c r="Q280" i="21"/>
  <c r="P280" i="21"/>
  <c r="O280" i="21"/>
  <c r="O280" i="21" a="1"/>
  <c r="V279" i="21"/>
  <c r="U279" i="21"/>
  <c r="T279" i="21"/>
  <c r="S279" i="21"/>
  <c r="R279" i="21"/>
  <c r="Q279" i="21"/>
  <c r="P279" i="21"/>
  <c r="O279" i="21"/>
  <c r="O279" i="21" a="1"/>
  <c r="V278" i="21"/>
  <c r="U278" i="21"/>
  <c r="T278" i="21"/>
  <c r="S278" i="21"/>
  <c r="R278" i="21"/>
  <c r="Q278" i="21"/>
  <c r="P278" i="21"/>
  <c r="O278" i="21"/>
  <c r="O278" i="21" a="1"/>
  <c r="V277" i="21"/>
  <c r="U277" i="21"/>
  <c r="T277" i="21"/>
  <c r="S277" i="21"/>
  <c r="R277" i="21"/>
  <c r="Q277" i="21"/>
  <c r="P277" i="21"/>
  <c r="O277" i="21"/>
  <c r="O277" i="21" a="1"/>
  <c r="V276" i="21"/>
  <c r="U276" i="21"/>
  <c r="T276" i="21"/>
  <c r="S276" i="21"/>
  <c r="R276" i="21"/>
  <c r="Q276" i="21"/>
  <c r="P276" i="21"/>
  <c r="O276" i="21"/>
  <c r="O276" i="21" a="1"/>
  <c r="V275" i="21"/>
  <c r="U275" i="21"/>
  <c r="T275" i="21"/>
  <c r="S275" i="21"/>
  <c r="R275" i="21"/>
  <c r="Q275" i="21"/>
  <c r="P275" i="21"/>
  <c r="O275" i="21"/>
  <c r="O275" i="21" a="1"/>
  <c r="V274" i="21"/>
  <c r="U274" i="21"/>
  <c r="T274" i="21"/>
  <c r="S274" i="21"/>
  <c r="R274" i="21"/>
  <c r="Q274" i="21"/>
  <c r="P274" i="21"/>
  <c r="O274" i="21"/>
  <c r="O274" i="21" a="1"/>
  <c r="V273" i="21"/>
  <c r="U273" i="21"/>
  <c r="T273" i="21"/>
  <c r="S273" i="21"/>
  <c r="R273" i="21"/>
  <c r="Q273" i="21"/>
  <c r="P273" i="21"/>
  <c r="O273" i="21"/>
  <c r="O273" i="21" a="1"/>
  <c r="V272" i="21"/>
  <c r="U272" i="21"/>
  <c r="T272" i="21"/>
  <c r="S272" i="21"/>
  <c r="R272" i="21"/>
  <c r="Q272" i="21"/>
  <c r="P272" i="21"/>
  <c r="O272" i="21"/>
  <c r="O272" i="21" a="1"/>
  <c r="V271" i="21"/>
  <c r="U271" i="21"/>
  <c r="T271" i="21"/>
  <c r="S271" i="21"/>
  <c r="R271" i="21"/>
  <c r="Q271" i="21"/>
  <c r="P271" i="21"/>
  <c r="O271" i="21"/>
  <c r="O271" i="21" a="1"/>
  <c r="V270" i="21"/>
  <c r="U270" i="21"/>
  <c r="T270" i="21"/>
  <c r="S270" i="21"/>
  <c r="R270" i="21"/>
  <c r="Q270" i="21"/>
  <c r="P270" i="21"/>
  <c r="O270" i="21"/>
  <c r="O270" i="21" a="1"/>
  <c r="V269" i="21"/>
  <c r="U269" i="21"/>
  <c r="T269" i="21"/>
  <c r="S269" i="21"/>
  <c r="R269" i="21"/>
  <c r="Q269" i="21"/>
  <c r="P269" i="21"/>
  <c r="O269" i="21"/>
  <c r="O269" i="21" a="1"/>
  <c r="V268" i="21"/>
  <c r="U268" i="21"/>
  <c r="T268" i="21"/>
  <c r="S268" i="21"/>
  <c r="R268" i="21"/>
  <c r="Q268" i="21"/>
  <c r="P268" i="21"/>
  <c r="O268" i="21"/>
  <c r="O268" i="21" a="1"/>
  <c r="V267" i="21"/>
  <c r="U267" i="21"/>
  <c r="T267" i="21"/>
  <c r="S267" i="21"/>
  <c r="R267" i="21"/>
  <c r="Q267" i="21"/>
  <c r="P267" i="21"/>
  <c r="O267" i="21"/>
  <c r="O267" i="21" a="1"/>
  <c r="V266" i="21"/>
  <c r="U266" i="21"/>
  <c r="T266" i="21"/>
  <c r="S266" i="21"/>
  <c r="R266" i="21"/>
  <c r="Q266" i="21"/>
  <c r="P266" i="21"/>
  <c r="O266" i="21"/>
  <c r="O266" i="21" a="1"/>
  <c r="V265" i="21"/>
  <c r="U265" i="21"/>
  <c r="T265" i="21"/>
  <c r="S265" i="21"/>
  <c r="R265" i="21"/>
  <c r="Q265" i="21"/>
  <c r="P265" i="21"/>
  <c r="O265" i="21"/>
  <c r="O265" i="21" a="1"/>
  <c r="V264" i="21"/>
  <c r="U264" i="21"/>
  <c r="T264" i="21"/>
  <c r="S264" i="21"/>
  <c r="R264" i="21"/>
  <c r="Q264" i="21"/>
  <c r="P264" i="21"/>
  <c r="O264" i="21"/>
  <c r="O264" i="21" a="1"/>
  <c r="V263" i="21"/>
  <c r="U263" i="21"/>
  <c r="T263" i="21"/>
  <c r="S263" i="21"/>
  <c r="R263" i="21"/>
  <c r="Q263" i="21"/>
  <c r="P263" i="21"/>
  <c r="O263" i="21"/>
  <c r="O263" i="21" a="1"/>
  <c r="V262" i="21"/>
  <c r="U262" i="21"/>
  <c r="T262" i="21"/>
  <c r="S262" i="21"/>
  <c r="R262" i="21"/>
  <c r="Q262" i="21"/>
  <c r="P262" i="21"/>
  <c r="O262" i="21"/>
  <c r="O262" i="21" a="1"/>
  <c r="V261" i="21"/>
  <c r="U261" i="21"/>
  <c r="T261" i="21"/>
  <c r="S261" i="21"/>
  <c r="R261" i="21"/>
  <c r="Q261" i="21"/>
  <c r="P261" i="21"/>
  <c r="O261" i="21"/>
  <c r="O261" i="21" a="1"/>
  <c r="V260" i="21"/>
  <c r="U260" i="21"/>
  <c r="T260" i="21"/>
  <c r="S260" i="21"/>
  <c r="R260" i="21"/>
  <c r="Q260" i="21"/>
  <c r="P260" i="21"/>
  <c r="O260" i="21"/>
  <c r="O260" i="21" a="1"/>
  <c r="V259" i="21"/>
  <c r="U259" i="21"/>
  <c r="T259" i="21"/>
  <c r="S259" i="21"/>
  <c r="R259" i="21"/>
  <c r="Q259" i="21"/>
  <c r="P259" i="21"/>
  <c r="O259" i="21"/>
  <c r="O259" i="21" a="1"/>
  <c r="V258" i="21"/>
  <c r="U258" i="21"/>
  <c r="T258" i="21"/>
  <c r="S258" i="21"/>
  <c r="R258" i="21"/>
  <c r="Q258" i="21"/>
  <c r="P258" i="21"/>
  <c r="O258" i="21"/>
  <c r="O258" i="21" a="1"/>
  <c r="V257" i="21"/>
  <c r="U257" i="21"/>
  <c r="T257" i="21"/>
  <c r="S257" i="21"/>
  <c r="R257" i="21"/>
  <c r="Q257" i="21"/>
  <c r="P257" i="21"/>
  <c r="O257" i="21"/>
  <c r="O257" i="21" a="1"/>
  <c r="V256" i="21"/>
  <c r="U256" i="21"/>
  <c r="T256" i="21"/>
  <c r="S256" i="21"/>
  <c r="R256" i="21"/>
  <c r="Q256" i="21"/>
  <c r="P256" i="21"/>
  <c r="O256" i="21"/>
  <c r="O256" i="21" a="1"/>
  <c r="V255" i="21"/>
  <c r="U255" i="21"/>
  <c r="T255" i="21"/>
  <c r="S255" i="21"/>
  <c r="R255" i="21"/>
  <c r="Q255" i="21"/>
  <c r="P255" i="21"/>
  <c r="O255" i="21"/>
  <c r="O255" i="21" a="1"/>
  <c r="V254" i="21"/>
  <c r="U254" i="21"/>
  <c r="T254" i="21"/>
  <c r="S254" i="21"/>
  <c r="R254" i="21"/>
  <c r="Q254" i="21"/>
  <c r="P254" i="21"/>
  <c r="O254" i="21"/>
  <c r="O254" i="21" a="1"/>
  <c r="V253" i="21"/>
  <c r="U253" i="21"/>
  <c r="T253" i="21"/>
  <c r="S253" i="21"/>
  <c r="R253" i="21"/>
  <c r="Q253" i="21"/>
  <c r="P253" i="21"/>
  <c r="O253" i="21"/>
  <c r="O253" i="21" a="1"/>
  <c r="V252" i="21"/>
  <c r="U252" i="21"/>
  <c r="T252" i="21"/>
  <c r="S252" i="21"/>
  <c r="R252" i="21"/>
  <c r="Q252" i="21"/>
  <c r="P252" i="21"/>
  <c r="O252" i="21"/>
  <c r="O252" i="21" a="1"/>
  <c r="V251" i="21"/>
  <c r="U251" i="21"/>
  <c r="T251" i="21"/>
  <c r="S251" i="21"/>
  <c r="R251" i="21"/>
  <c r="Q251" i="21"/>
  <c r="P251" i="21"/>
  <c r="O251" i="21"/>
  <c r="O251" i="21" a="1"/>
  <c r="V250" i="21"/>
  <c r="U250" i="21"/>
  <c r="T250" i="21"/>
  <c r="S250" i="21"/>
  <c r="R250" i="21"/>
  <c r="Q250" i="21"/>
  <c r="P250" i="21"/>
  <c r="O250" i="21"/>
  <c r="O250" i="21" a="1"/>
  <c r="V249" i="21"/>
  <c r="U249" i="21"/>
  <c r="T249" i="21"/>
  <c r="S249" i="21"/>
  <c r="R249" i="21"/>
  <c r="Q249" i="21"/>
  <c r="P249" i="21"/>
  <c r="O249" i="21"/>
  <c r="O249" i="21" a="1"/>
  <c r="V248" i="21"/>
  <c r="U248" i="21"/>
  <c r="T248" i="21"/>
  <c r="S248" i="21"/>
  <c r="R248" i="21"/>
  <c r="Q248" i="21"/>
  <c r="P248" i="21"/>
  <c r="O248" i="21"/>
  <c r="O248" i="21" a="1"/>
  <c r="V247" i="21"/>
  <c r="U247" i="21"/>
  <c r="T247" i="21"/>
  <c r="S247" i="21"/>
  <c r="R247" i="21"/>
  <c r="Q247" i="21"/>
  <c r="P247" i="21"/>
  <c r="O247" i="21"/>
  <c r="O247" i="21" a="1"/>
  <c r="V246" i="21"/>
  <c r="U246" i="21"/>
  <c r="T246" i="21"/>
  <c r="S246" i="21"/>
  <c r="R246" i="21"/>
  <c r="Q246" i="21"/>
  <c r="P246" i="21"/>
  <c r="O246" i="21"/>
  <c r="O246" i="21" a="1"/>
  <c r="V245" i="21"/>
  <c r="U245" i="21"/>
  <c r="T245" i="21"/>
  <c r="S245" i="21"/>
  <c r="R245" i="21"/>
  <c r="Q245" i="21"/>
  <c r="P245" i="21"/>
  <c r="O245" i="21"/>
  <c r="O245" i="21" a="1"/>
  <c r="V244" i="21"/>
  <c r="U244" i="21"/>
  <c r="T244" i="21"/>
  <c r="S244" i="21"/>
  <c r="R244" i="21"/>
  <c r="Q244" i="21"/>
  <c r="P244" i="21"/>
  <c r="O244" i="21"/>
  <c r="O244" i="21" a="1"/>
  <c r="V243" i="21"/>
  <c r="U243" i="21"/>
  <c r="T243" i="21"/>
  <c r="S243" i="21"/>
  <c r="R243" i="21"/>
  <c r="Q243" i="21"/>
  <c r="P243" i="21"/>
  <c r="O243" i="21"/>
  <c r="O243" i="21" a="1"/>
  <c r="V242" i="21"/>
  <c r="U242" i="21"/>
  <c r="T242" i="21"/>
  <c r="S242" i="21"/>
  <c r="R242" i="21"/>
  <c r="Q242" i="21"/>
  <c r="P242" i="21"/>
  <c r="O242" i="21"/>
  <c r="O242" i="21" a="1"/>
  <c r="V241" i="21"/>
  <c r="U241" i="21"/>
  <c r="T241" i="21"/>
  <c r="S241" i="21"/>
  <c r="R241" i="21"/>
  <c r="Q241" i="21"/>
  <c r="P241" i="21"/>
  <c r="O241" i="21"/>
  <c r="O241" i="21" a="1"/>
  <c r="V240" i="21"/>
  <c r="U240" i="21"/>
  <c r="T240" i="21"/>
  <c r="S240" i="21"/>
  <c r="R240" i="21"/>
  <c r="Q240" i="21"/>
  <c r="P240" i="21"/>
  <c r="O240" i="21"/>
  <c r="O240" i="21" a="1"/>
  <c r="V239" i="21"/>
  <c r="U239" i="21"/>
  <c r="T239" i="21"/>
  <c r="S239" i="21"/>
  <c r="R239" i="21"/>
  <c r="Q239" i="21"/>
  <c r="P239" i="21"/>
  <c r="O239" i="21"/>
  <c r="O239" i="21" a="1"/>
  <c r="V238" i="21"/>
  <c r="U238" i="21"/>
  <c r="T238" i="21"/>
  <c r="S238" i="21"/>
  <c r="R238" i="21"/>
  <c r="Q238" i="21"/>
  <c r="P238" i="21"/>
  <c r="O238" i="21"/>
  <c r="O238" i="21" a="1"/>
  <c r="V237" i="21"/>
  <c r="U237" i="21"/>
  <c r="T237" i="21"/>
  <c r="S237" i="21"/>
  <c r="R237" i="21"/>
  <c r="Q237" i="21"/>
  <c r="P237" i="21"/>
  <c r="O237" i="21"/>
  <c r="O237" i="21" a="1"/>
  <c r="V236" i="21"/>
  <c r="U236" i="21"/>
  <c r="T236" i="21"/>
  <c r="S236" i="21"/>
  <c r="R236" i="21"/>
  <c r="Q236" i="21"/>
  <c r="P236" i="21"/>
  <c r="O236" i="21"/>
  <c r="O236" i="21" a="1"/>
  <c r="V235" i="21"/>
  <c r="U235" i="21"/>
  <c r="T235" i="21"/>
  <c r="S235" i="21"/>
  <c r="R235" i="21"/>
  <c r="Q235" i="21"/>
  <c r="P235" i="21"/>
  <c r="O235" i="21"/>
  <c r="O235" i="21" a="1"/>
  <c r="V234" i="21"/>
  <c r="U234" i="21"/>
  <c r="T234" i="21"/>
  <c r="S234" i="21"/>
  <c r="R234" i="21"/>
  <c r="Q234" i="21"/>
  <c r="P234" i="21"/>
  <c r="O234" i="21"/>
  <c r="O234" i="21" a="1"/>
  <c r="V233" i="21"/>
  <c r="U233" i="21"/>
  <c r="T233" i="21"/>
  <c r="S233" i="21"/>
  <c r="R233" i="21"/>
  <c r="Q233" i="21"/>
  <c r="P233" i="21"/>
  <c r="O233" i="21"/>
  <c r="O233" i="21" a="1"/>
  <c r="V232" i="21"/>
  <c r="U232" i="21"/>
  <c r="T232" i="21"/>
  <c r="S232" i="21"/>
  <c r="R232" i="21"/>
  <c r="Q232" i="21"/>
  <c r="P232" i="21"/>
  <c r="O232" i="21"/>
  <c r="O232" i="21" a="1"/>
  <c r="V231" i="21"/>
  <c r="U231" i="21"/>
  <c r="T231" i="21"/>
  <c r="S231" i="21"/>
  <c r="R231" i="21"/>
  <c r="Q231" i="21"/>
  <c r="P231" i="21"/>
  <c r="O231" i="21"/>
  <c r="O231" i="21" a="1"/>
  <c r="V230" i="21"/>
  <c r="U230" i="21"/>
  <c r="T230" i="21"/>
  <c r="S230" i="21"/>
  <c r="R230" i="21"/>
  <c r="Q230" i="21"/>
  <c r="P230" i="21"/>
  <c r="O230" i="21"/>
  <c r="O230" i="21" a="1"/>
  <c r="V229" i="21"/>
  <c r="U229" i="21"/>
  <c r="T229" i="21"/>
  <c r="S229" i="21"/>
  <c r="R229" i="21"/>
  <c r="Q229" i="21"/>
  <c r="P229" i="21"/>
  <c r="O229" i="21"/>
  <c r="O229" i="21" a="1"/>
  <c r="V228" i="21"/>
  <c r="U228" i="21"/>
  <c r="T228" i="21"/>
  <c r="S228" i="21"/>
  <c r="R228" i="21"/>
  <c r="Q228" i="21"/>
  <c r="P228" i="21"/>
  <c r="O228" i="21"/>
  <c r="O228" i="21" a="1"/>
  <c r="V227" i="21"/>
  <c r="U227" i="21"/>
  <c r="T227" i="21"/>
  <c r="S227" i="21"/>
  <c r="R227" i="21"/>
  <c r="Q227" i="21"/>
  <c r="P227" i="21"/>
  <c r="O227" i="21"/>
  <c r="O227" i="21" a="1"/>
  <c r="V226" i="21"/>
  <c r="U226" i="21"/>
  <c r="T226" i="21"/>
  <c r="S226" i="21"/>
  <c r="R226" i="21"/>
  <c r="Q226" i="21"/>
  <c r="P226" i="21"/>
  <c r="O226" i="21"/>
  <c r="O226" i="21" a="1"/>
  <c r="V225" i="21"/>
  <c r="U225" i="21"/>
  <c r="T225" i="21"/>
  <c r="S225" i="21"/>
  <c r="R225" i="21"/>
  <c r="Q225" i="21"/>
  <c r="P225" i="21"/>
  <c r="O225" i="21"/>
  <c r="O225" i="21" a="1"/>
  <c r="V224" i="21"/>
  <c r="U224" i="21"/>
  <c r="T224" i="21"/>
  <c r="S224" i="21"/>
  <c r="R224" i="21"/>
  <c r="Q224" i="21"/>
  <c r="P224" i="21"/>
  <c r="O224" i="21"/>
  <c r="O224" i="21" a="1"/>
  <c r="V223" i="21"/>
  <c r="U223" i="21"/>
  <c r="T223" i="21"/>
  <c r="S223" i="21"/>
  <c r="R223" i="21"/>
  <c r="Q223" i="21"/>
  <c r="P223" i="21"/>
  <c r="O223" i="21"/>
  <c r="O223" i="21" a="1"/>
  <c r="V222" i="21"/>
  <c r="U222" i="21"/>
  <c r="T222" i="21"/>
  <c r="S222" i="21"/>
  <c r="R222" i="21"/>
  <c r="Q222" i="21"/>
  <c r="P222" i="21"/>
  <c r="O222" i="21"/>
  <c r="O222" i="21" a="1"/>
  <c r="V221" i="21"/>
  <c r="U221" i="21"/>
  <c r="T221" i="21"/>
  <c r="S221" i="21"/>
  <c r="R221" i="21"/>
  <c r="Q221" i="21"/>
  <c r="P221" i="21"/>
  <c r="O221" i="21"/>
  <c r="O221" i="21" a="1"/>
  <c r="V220" i="21"/>
  <c r="U220" i="21"/>
  <c r="T220" i="21"/>
  <c r="S220" i="21"/>
  <c r="R220" i="21"/>
  <c r="Q220" i="21"/>
  <c r="P220" i="21"/>
  <c r="O220" i="21"/>
  <c r="O220" i="21" a="1"/>
  <c r="V219" i="21"/>
  <c r="U219" i="21"/>
  <c r="T219" i="21"/>
  <c r="S219" i="21"/>
  <c r="R219" i="21"/>
  <c r="Q219" i="21"/>
  <c r="P219" i="21"/>
  <c r="O219" i="21"/>
  <c r="O219" i="21" a="1"/>
  <c r="V218" i="21"/>
  <c r="U218" i="21"/>
  <c r="T218" i="21"/>
  <c r="S218" i="21"/>
  <c r="R218" i="21"/>
  <c r="Q218" i="21"/>
  <c r="P218" i="21"/>
  <c r="O218" i="21"/>
  <c r="O218" i="21" a="1"/>
  <c r="V217" i="21"/>
  <c r="U217" i="21"/>
  <c r="T217" i="21"/>
  <c r="S217" i="21"/>
  <c r="R217" i="21"/>
  <c r="Q217" i="21"/>
  <c r="P217" i="21"/>
  <c r="O217" i="21"/>
  <c r="O217" i="21" a="1"/>
  <c r="V216" i="21"/>
  <c r="U216" i="21"/>
  <c r="T216" i="21"/>
  <c r="S216" i="21"/>
  <c r="R216" i="21"/>
  <c r="Q216" i="21"/>
  <c r="P216" i="21"/>
  <c r="O216" i="21"/>
  <c r="O216" i="21" a="1"/>
  <c r="V215" i="21"/>
  <c r="U215" i="21"/>
  <c r="T215" i="21"/>
  <c r="S215" i="21"/>
  <c r="R215" i="21"/>
  <c r="Q215" i="21"/>
  <c r="P215" i="21"/>
  <c r="O215" i="21"/>
  <c r="O215" i="21" a="1"/>
  <c r="V214" i="21"/>
  <c r="U214" i="21"/>
  <c r="T214" i="21"/>
  <c r="S214" i="21"/>
  <c r="R214" i="21"/>
  <c r="Q214" i="21"/>
  <c r="P214" i="21"/>
  <c r="O214" i="21"/>
  <c r="O214" i="21" a="1"/>
  <c r="V213" i="21"/>
  <c r="U213" i="21"/>
  <c r="T213" i="21"/>
  <c r="S213" i="21"/>
  <c r="R213" i="21"/>
  <c r="Q213" i="21"/>
  <c r="P213" i="21"/>
  <c r="O213" i="21"/>
  <c r="O213" i="21" a="1"/>
  <c r="V212" i="21"/>
  <c r="U212" i="21"/>
  <c r="T212" i="21"/>
  <c r="S212" i="21"/>
  <c r="R212" i="21"/>
  <c r="Q212" i="21"/>
  <c r="P212" i="21"/>
  <c r="O212" i="21"/>
  <c r="O212" i="21" a="1"/>
  <c r="V211" i="21"/>
  <c r="U211" i="21"/>
  <c r="T211" i="21"/>
  <c r="S211" i="21"/>
  <c r="R211" i="21"/>
  <c r="Q211" i="21"/>
  <c r="P211" i="21"/>
  <c r="O211" i="21"/>
  <c r="O211" i="21" a="1"/>
  <c r="V210" i="21"/>
  <c r="U210" i="21"/>
  <c r="T210" i="21"/>
  <c r="S210" i="21"/>
  <c r="R210" i="21"/>
  <c r="Q210" i="21"/>
  <c r="P210" i="21"/>
  <c r="O210" i="21"/>
  <c r="O210" i="21" a="1"/>
  <c r="V209" i="21"/>
  <c r="U209" i="21"/>
  <c r="T209" i="21"/>
  <c r="S209" i="21"/>
  <c r="R209" i="21"/>
  <c r="Q209" i="21"/>
  <c r="P209" i="21"/>
  <c r="O209" i="21"/>
  <c r="O209" i="21" a="1"/>
  <c r="V208" i="21"/>
  <c r="U208" i="21"/>
  <c r="T208" i="21"/>
  <c r="S208" i="21"/>
  <c r="R208" i="21"/>
  <c r="Q208" i="21"/>
  <c r="P208" i="21"/>
  <c r="O208" i="21"/>
  <c r="O208" i="21" a="1"/>
  <c r="V207" i="21"/>
  <c r="U207" i="21"/>
  <c r="T207" i="21"/>
  <c r="S207" i="21"/>
  <c r="R207" i="21"/>
  <c r="Q207" i="21"/>
  <c r="P207" i="21"/>
  <c r="O207" i="21"/>
  <c r="O207" i="21" a="1"/>
  <c r="V206" i="21"/>
  <c r="U206" i="21"/>
  <c r="T206" i="21"/>
  <c r="S206" i="21"/>
  <c r="R206" i="21"/>
  <c r="Q206" i="21"/>
  <c r="P206" i="21"/>
  <c r="O206" i="21"/>
  <c r="O206" i="21" a="1"/>
  <c r="V205" i="21"/>
  <c r="U205" i="21"/>
  <c r="T205" i="21"/>
  <c r="S205" i="21"/>
  <c r="R205" i="21"/>
  <c r="Q205" i="21"/>
  <c r="P205" i="21"/>
  <c r="O205" i="21"/>
  <c r="O205" i="21" a="1"/>
  <c r="V204" i="21"/>
  <c r="U204" i="21"/>
  <c r="T204" i="21"/>
  <c r="S204" i="21"/>
  <c r="R204" i="21"/>
  <c r="Q204" i="21"/>
  <c r="P204" i="21"/>
  <c r="O204" i="21"/>
  <c r="O204" i="21" a="1"/>
  <c r="V203" i="21"/>
  <c r="U203" i="21"/>
  <c r="T203" i="21"/>
  <c r="S203" i="21"/>
  <c r="R203" i="21"/>
  <c r="Q203" i="21"/>
  <c r="P203" i="21"/>
  <c r="O203" i="21"/>
  <c r="O203" i="21" a="1"/>
  <c r="V202" i="21"/>
  <c r="U202" i="21"/>
  <c r="T202" i="21"/>
  <c r="S202" i="21"/>
  <c r="R202" i="21"/>
  <c r="Q202" i="21"/>
  <c r="P202" i="21"/>
  <c r="O202" i="21"/>
  <c r="O202" i="21" a="1"/>
  <c r="V201" i="21"/>
  <c r="U201" i="21"/>
  <c r="T201" i="21"/>
  <c r="S201" i="21"/>
  <c r="R201" i="21"/>
  <c r="Q201" i="21"/>
  <c r="P201" i="21"/>
  <c r="O201" i="21"/>
  <c r="O201" i="21" a="1"/>
  <c r="V200" i="21"/>
  <c r="U200" i="21"/>
  <c r="T200" i="21"/>
  <c r="S200" i="21"/>
  <c r="R200" i="21"/>
  <c r="Q200" i="21"/>
  <c r="P200" i="21"/>
  <c r="O200" i="21"/>
  <c r="O200" i="21" a="1"/>
  <c r="V199" i="21"/>
  <c r="U199" i="21"/>
  <c r="T199" i="21"/>
  <c r="S199" i="21"/>
  <c r="R199" i="21"/>
  <c r="Q199" i="21"/>
  <c r="P199" i="21"/>
  <c r="O199" i="21"/>
  <c r="O199" i="21" a="1"/>
  <c r="V198" i="21"/>
  <c r="U198" i="21"/>
  <c r="T198" i="21"/>
  <c r="S198" i="21"/>
  <c r="R198" i="21"/>
  <c r="Q198" i="21"/>
  <c r="P198" i="21"/>
  <c r="O198" i="21"/>
  <c r="O198" i="21" a="1"/>
  <c r="V197" i="21"/>
  <c r="U197" i="21"/>
  <c r="T197" i="21"/>
  <c r="S197" i="21"/>
  <c r="R197" i="21"/>
  <c r="Q197" i="21"/>
  <c r="P197" i="21"/>
  <c r="O197" i="21"/>
  <c r="O197" i="21" a="1"/>
  <c r="V196" i="21"/>
  <c r="U196" i="21"/>
  <c r="T196" i="21"/>
  <c r="S196" i="21"/>
  <c r="R196" i="21"/>
  <c r="Q196" i="21"/>
  <c r="P196" i="21"/>
  <c r="O196" i="21"/>
  <c r="O196" i="21" a="1"/>
  <c r="V195" i="21"/>
  <c r="U195" i="21"/>
  <c r="T195" i="21"/>
  <c r="S195" i="21"/>
  <c r="R195" i="21"/>
  <c r="Q195" i="21"/>
  <c r="P195" i="21"/>
  <c r="O195" i="21"/>
  <c r="O195" i="21" a="1"/>
  <c r="V194" i="21"/>
  <c r="U194" i="21"/>
  <c r="T194" i="21"/>
  <c r="S194" i="21"/>
  <c r="R194" i="21"/>
  <c r="Q194" i="21"/>
  <c r="P194" i="21"/>
  <c r="O194" i="21"/>
  <c r="O194" i="21" a="1"/>
  <c r="V193" i="21"/>
  <c r="U193" i="21"/>
  <c r="T193" i="21"/>
  <c r="S193" i="21"/>
  <c r="R193" i="21"/>
  <c r="Q193" i="21"/>
  <c r="P193" i="21"/>
  <c r="O193" i="21"/>
  <c r="O193" i="21" a="1"/>
  <c r="V192" i="21"/>
  <c r="U192" i="21"/>
  <c r="T192" i="21"/>
  <c r="S192" i="21"/>
  <c r="R192" i="21"/>
  <c r="Q192" i="21"/>
  <c r="P192" i="21"/>
  <c r="O192" i="21"/>
  <c r="O192" i="21" a="1"/>
  <c r="V191" i="21"/>
  <c r="U191" i="21"/>
  <c r="T191" i="21"/>
  <c r="S191" i="21"/>
  <c r="R191" i="21"/>
  <c r="Q191" i="21"/>
  <c r="P191" i="21"/>
  <c r="O191" i="21"/>
  <c r="O191" i="21" a="1"/>
  <c r="V190" i="21"/>
  <c r="U190" i="21"/>
  <c r="T190" i="21"/>
  <c r="S190" i="21"/>
  <c r="R190" i="21"/>
  <c r="Q190" i="21"/>
  <c r="P190" i="21"/>
  <c r="O190" i="21"/>
  <c r="O190" i="21" a="1"/>
  <c r="V189" i="21"/>
  <c r="U189" i="21"/>
  <c r="T189" i="21"/>
  <c r="S189" i="21"/>
  <c r="R189" i="21"/>
  <c r="Q189" i="21"/>
  <c r="P189" i="21"/>
  <c r="O189" i="21"/>
  <c r="O189" i="21" a="1"/>
  <c r="V188" i="21"/>
  <c r="U188" i="21"/>
  <c r="T188" i="21"/>
  <c r="S188" i="21"/>
  <c r="R188" i="21"/>
  <c r="Q188" i="21"/>
  <c r="P188" i="21"/>
  <c r="O188" i="21"/>
  <c r="O188" i="21" a="1"/>
  <c r="V187" i="21"/>
  <c r="U187" i="21"/>
  <c r="T187" i="21"/>
  <c r="S187" i="21"/>
  <c r="R187" i="21"/>
  <c r="Q187" i="21"/>
  <c r="P187" i="21"/>
  <c r="O187" i="21"/>
  <c r="O187" i="21" a="1"/>
  <c r="V186" i="21"/>
  <c r="U186" i="21"/>
  <c r="T186" i="21"/>
  <c r="S186" i="21"/>
  <c r="R186" i="21"/>
  <c r="Q186" i="21"/>
  <c r="P186" i="21"/>
  <c r="O186" i="21"/>
  <c r="O186" i="21" a="1"/>
  <c r="V185" i="21"/>
  <c r="U185" i="21"/>
  <c r="T185" i="21"/>
  <c r="S185" i="21"/>
  <c r="R185" i="21"/>
  <c r="Q185" i="21"/>
  <c r="P185" i="21"/>
  <c r="O185" i="21"/>
  <c r="O185" i="21" a="1"/>
  <c r="V184" i="21"/>
  <c r="U184" i="21"/>
  <c r="T184" i="21"/>
  <c r="S184" i="21"/>
  <c r="R184" i="21"/>
  <c r="Q184" i="21"/>
  <c r="P184" i="21"/>
  <c r="O184" i="21"/>
  <c r="O184" i="21" a="1"/>
  <c r="V183" i="21"/>
  <c r="U183" i="21"/>
  <c r="T183" i="21"/>
  <c r="S183" i="21"/>
  <c r="R183" i="21"/>
  <c r="Q183" i="21"/>
  <c r="P183" i="21"/>
  <c r="O183" i="21"/>
  <c r="O183" i="21" a="1"/>
  <c r="V182" i="21"/>
  <c r="U182" i="21"/>
  <c r="T182" i="21"/>
  <c r="S182" i="21"/>
  <c r="R182" i="21"/>
  <c r="Q182" i="21"/>
  <c r="P182" i="21"/>
  <c r="O182" i="21"/>
  <c r="O182" i="21" a="1"/>
  <c r="V181" i="21"/>
  <c r="U181" i="21"/>
  <c r="T181" i="21"/>
  <c r="S181" i="21"/>
  <c r="R181" i="21"/>
  <c r="Q181" i="21"/>
  <c r="P181" i="21"/>
  <c r="O181" i="21"/>
  <c r="O181" i="21" a="1"/>
  <c r="V180" i="21"/>
  <c r="U180" i="21"/>
  <c r="T180" i="21"/>
  <c r="S180" i="21"/>
  <c r="R180" i="21"/>
  <c r="Q180" i="21"/>
  <c r="P180" i="21"/>
  <c r="O180" i="21"/>
  <c r="O180" i="21" a="1"/>
  <c r="V179" i="21"/>
  <c r="U179" i="21"/>
  <c r="T179" i="21"/>
  <c r="S179" i="21"/>
  <c r="R179" i="21"/>
  <c r="Q179" i="21"/>
  <c r="P179" i="21"/>
  <c r="O179" i="21"/>
  <c r="O179" i="21" a="1"/>
  <c r="V178" i="21"/>
  <c r="U178" i="21"/>
  <c r="T178" i="21"/>
  <c r="S178" i="21"/>
  <c r="R178" i="21"/>
  <c r="Q178" i="21"/>
  <c r="P178" i="21"/>
  <c r="O178" i="21"/>
  <c r="O178" i="21" a="1"/>
  <c r="V177" i="21"/>
  <c r="U177" i="21"/>
  <c r="T177" i="21"/>
  <c r="S177" i="21"/>
  <c r="R177" i="21"/>
  <c r="Q177" i="21"/>
  <c r="P177" i="21"/>
  <c r="O177" i="21"/>
  <c r="O177" i="21" a="1"/>
  <c r="V176" i="21"/>
  <c r="U176" i="21"/>
  <c r="T176" i="21"/>
  <c r="S176" i="21"/>
  <c r="R176" i="21"/>
  <c r="Q176" i="21"/>
  <c r="P176" i="21"/>
  <c r="O176" i="21"/>
  <c r="O176" i="21" a="1"/>
  <c r="V175" i="21"/>
  <c r="U175" i="21"/>
  <c r="T175" i="21"/>
  <c r="S175" i="21"/>
  <c r="R175" i="21"/>
  <c r="Q175" i="21"/>
  <c r="P175" i="21"/>
  <c r="O175" i="21"/>
  <c r="O175" i="21" a="1"/>
  <c r="V174" i="21"/>
  <c r="U174" i="21"/>
  <c r="T174" i="21"/>
  <c r="S174" i="21"/>
  <c r="R174" i="21"/>
  <c r="Q174" i="21"/>
  <c r="P174" i="21"/>
  <c r="O174" i="21"/>
  <c r="O174" i="21" a="1"/>
  <c r="V173" i="21"/>
  <c r="U173" i="21"/>
  <c r="T173" i="21"/>
  <c r="S173" i="21"/>
  <c r="R173" i="21"/>
  <c r="Q173" i="21"/>
  <c r="P173" i="21"/>
  <c r="O173" i="21"/>
  <c r="O173" i="21" a="1"/>
  <c r="V172" i="21"/>
  <c r="U172" i="21"/>
  <c r="T172" i="21"/>
  <c r="S172" i="21"/>
  <c r="R172" i="21"/>
  <c r="Q172" i="21"/>
  <c r="P172" i="21"/>
  <c r="O172" i="21"/>
  <c r="O172" i="21" a="1"/>
  <c r="V171" i="21"/>
  <c r="U171" i="21"/>
  <c r="T171" i="21"/>
  <c r="S171" i="21"/>
  <c r="R171" i="21"/>
  <c r="Q171" i="21"/>
  <c r="P171" i="21"/>
  <c r="O171" i="21"/>
  <c r="O171" i="21" a="1"/>
  <c r="V170" i="21"/>
  <c r="U170" i="21"/>
  <c r="T170" i="21"/>
  <c r="S170" i="21"/>
  <c r="R170" i="21"/>
  <c r="Q170" i="21"/>
  <c r="P170" i="21"/>
  <c r="O170" i="21"/>
  <c r="O170" i="21" a="1"/>
  <c r="V169" i="21"/>
  <c r="U169" i="21"/>
  <c r="T169" i="21"/>
  <c r="S169" i="21"/>
  <c r="R169" i="21"/>
  <c r="Q169" i="21"/>
  <c r="P169" i="21"/>
  <c r="O169" i="21"/>
  <c r="O169" i="21" a="1"/>
  <c r="V168" i="21"/>
  <c r="U168" i="21"/>
  <c r="T168" i="21"/>
  <c r="S168" i="21"/>
  <c r="R168" i="21"/>
  <c r="Q168" i="21"/>
  <c r="P168" i="21"/>
  <c r="O168" i="21"/>
  <c r="O168" i="21" a="1"/>
  <c r="V167" i="21"/>
  <c r="U167" i="21"/>
  <c r="T167" i="21"/>
  <c r="S167" i="21"/>
  <c r="R167" i="21"/>
  <c r="Q167" i="21"/>
  <c r="P167" i="21"/>
  <c r="O167" i="21"/>
  <c r="O167" i="21" a="1"/>
  <c r="V166" i="21"/>
  <c r="U166" i="21"/>
  <c r="T166" i="21"/>
  <c r="S166" i="21"/>
  <c r="R166" i="21"/>
  <c r="Q166" i="21"/>
  <c r="P166" i="21"/>
  <c r="O166" i="21"/>
  <c r="O166" i="21" a="1"/>
  <c r="V165" i="21"/>
  <c r="U165" i="21"/>
  <c r="T165" i="21"/>
  <c r="S165" i="21"/>
  <c r="R165" i="21"/>
  <c r="Q165" i="21"/>
  <c r="P165" i="21"/>
  <c r="O165" i="21"/>
  <c r="O165" i="21" a="1"/>
  <c r="V164" i="21"/>
  <c r="U164" i="21"/>
  <c r="T164" i="21"/>
  <c r="S164" i="21"/>
  <c r="R164" i="21"/>
  <c r="Q164" i="21"/>
  <c r="P164" i="21"/>
  <c r="O164" i="21"/>
  <c r="O164" i="21" a="1"/>
  <c r="V163" i="21"/>
  <c r="U163" i="21"/>
  <c r="T163" i="21"/>
  <c r="S163" i="21"/>
  <c r="R163" i="21"/>
  <c r="Q163" i="21"/>
  <c r="P163" i="21"/>
  <c r="O163" i="21"/>
  <c r="O163" i="21" a="1"/>
  <c r="V162" i="21"/>
  <c r="U162" i="21"/>
  <c r="T162" i="21"/>
  <c r="S162" i="21"/>
  <c r="R162" i="21"/>
  <c r="Q162" i="21"/>
  <c r="P162" i="21"/>
  <c r="O162" i="21"/>
  <c r="O162" i="21" a="1"/>
  <c r="V161" i="21"/>
  <c r="U161" i="21"/>
  <c r="T161" i="21"/>
  <c r="S161" i="21"/>
  <c r="R161" i="21"/>
  <c r="Q161" i="21"/>
  <c r="P161" i="21"/>
  <c r="O161" i="21"/>
  <c r="O161" i="21" a="1"/>
  <c r="V160" i="21"/>
  <c r="U160" i="21"/>
  <c r="T160" i="21"/>
  <c r="S160" i="21"/>
  <c r="R160" i="21"/>
  <c r="Q160" i="21"/>
  <c r="P160" i="21"/>
  <c r="O160" i="21"/>
  <c r="O160" i="21" a="1"/>
  <c r="V159" i="21"/>
  <c r="U159" i="21"/>
  <c r="T159" i="21"/>
  <c r="S159" i="21"/>
  <c r="R159" i="21"/>
  <c r="Q159" i="21"/>
  <c r="P159" i="21"/>
  <c r="O159" i="21"/>
  <c r="O159" i="21" a="1"/>
  <c r="V158" i="21"/>
  <c r="U158" i="21"/>
  <c r="T158" i="21"/>
  <c r="S158" i="21"/>
  <c r="R158" i="21"/>
  <c r="Q158" i="21"/>
  <c r="P158" i="21"/>
  <c r="O158" i="21"/>
  <c r="O158" i="21" a="1"/>
  <c r="V157" i="21"/>
  <c r="U157" i="21"/>
  <c r="T157" i="21"/>
  <c r="S157" i="21"/>
  <c r="R157" i="21"/>
  <c r="Q157" i="21"/>
  <c r="P157" i="21"/>
  <c r="O157" i="21"/>
  <c r="O157" i="21" a="1"/>
  <c r="V156" i="21"/>
  <c r="U156" i="21"/>
  <c r="T156" i="21"/>
  <c r="S156" i="21"/>
  <c r="R156" i="21"/>
  <c r="Q156" i="21"/>
  <c r="P156" i="21"/>
  <c r="O156" i="21"/>
  <c r="O156" i="21" a="1"/>
  <c r="V155" i="21"/>
  <c r="U155" i="21"/>
  <c r="T155" i="21"/>
  <c r="S155" i="21"/>
  <c r="R155" i="21"/>
  <c r="Q155" i="21"/>
  <c r="P155" i="21"/>
  <c r="O155" i="21"/>
  <c r="O155" i="21" a="1"/>
  <c r="V154" i="21"/>
  <c r="U154" i="21"/>
  <c r="T154" i="21"/>
  <c r="S154" i="21"/>
  <c r="R154" i="21"/>
  <c r="Q154" i="21"/>
  <c r="P154" i="21"/>
  <c r="O154" i="21"/>
  <c r="O154" i="21" a="1"/>
  <c r="V153" i="21"/>
  <c r="U153" i="21"/>
  <c r="T153" i="21"/>
  <c r="S153" i="21"/>
  <c r="R153" i="21"/>
  <c r="Q153" i="21"/>
  <c r="P153" i="21"/>
  <c r="O153" i="21"/>
  <c r="O153" i="21" a="1"/>
  <c r="V152" i="21"/>
  <c r="U152" i="21"/>
  <c r="T152" i="21"/>
  <c r="S152" i="21"/>
  <c r="R152" i="21"/>
  <c r="Q152" i="21"/>
  <c r="P152" i="21"/>
  <c r="O152" i="21"/>
  <c r="O152" i="21" a="1"/>
  <c r="V151" i="21"/>
  <c r="U151" i="21"/>
  <c r="T151" i="21"/>
  <c r="S151" i="21"/>
  <c r="R151" i="21"/>
  <c r="Q151" i="21"/>
  <c r="P151" i="21"/>
  <c r="O151" i="21"/>
  <c r="O151" i="21" a="1"/>
  <c r="V150" i="21"/>
  <c r="U150" i="21"/>
  <c r="T150" i="21"/>
  <c r="S150" i="21"/>
  <c r="R150" i="21"/>
  <c r="Q150" i="21"/>
  <c r="P150" i="21"/>
  <c r="O150" i="21"/>
  <c r="O150" i="21" a="1"/>
  <c r="V149" i="21"/>
  <c r="U149" i="21"/>
  <c r="T149" i="21"/>
  <c r="S149" i="21"/>
  <c r="R149" i="21"/>
  <c r="Q149" i="21"/>
  <c r="P149" i="21"/>
  <c r="O149" i="21"/>
  <c r="O149" i="21" a="1"/>
  <c r="V148" i="21"/>
  <c r="U148" i="21"/>
  <c r="T148" i="21"/>
  <c r="S148" i="21"/>
  <c r="R148" i="21"/>
  <c r="Q148" i="21"/>
  <c r="P148" i="21"/>
  <c r="O148" i="21"/>
  <c r="O148" i="21" a="1"/>
  <c r="V147" i="21"/>
  <c r="U147" i="21"/>
  <c r="T147" i="21"/>
  <c r="S147" i="21"/>
  <c r="R147" i="21"/>
  <c r="Q147" i="21"/>
  <c r="P147" i="21"/>
  <c r="O147" i="21"/>
  <c r="O147" i="21" a="1"/>
  <c r="V146" i="21"/>
  <c r="U146" i="21"/>
  <c r="T146" i="21"/>
  <c r="S146" i="21"/>
  <c r="R146" i="21"/>
  <c r="Q146" i="21"/>
  <c r="P146" i="21"/>
  <c r="O146" i="21"/>
  <c r="O146" i="21" a="1"/>
  <c r="V145" i="21"/>
  <c r="U145" i="21"/>
  <c r="T145" i="21"/>
  <c r="S145" i="21"/>
  <c r="R145" i="21"/>
  <c r="Q145" i="21"/>
  <c r="P145" i="21"/>
  <c r="O145" i="21"/>
  <c r="O145" i="21" a="1"/>
  <c r="V144" i="21"/>
  <c r="U144" i="21"/>
  <c r="T144" i="21"/>
  <c r="S144" i="21"/>
  <c r="R144" i="21"/>
  <c r="Q144" i="21"/>
  <c r="P144" i="21"/>
  <c r="O144" i="21"/>
  <c r="O144" i="21" a="1"/>
  <c r="V143" i="21"/>
  <c r="U143" i="21"/>
  <c r="T143" i="21"/>
  <c r="S143" i="21"/>
  <c r="R143" i="21"/>
  <c r="Q143" i="21"/>
  <c r="P143" i="21"/>
  <c r="O143" i="21"/>
  <c r="O143" i="21" a="1"/>
  <c r="V142" i="21"/>
  <c r="U142" i="21"/>
  <c r="T142" i="21"/>
  <c r="S142" i="21"/>
  <c r="R142" i="21"/>
  <c r="Q142" i="21"/>
  <c r="P142" i="21"/>
  <c r="O142" i="21"/>
  <c r="O142" i="21" a="1"/>
  <c r="V141" i="21"/>
  <c r="U141" i="21"/>
  <c r="T141" i="21"/>
  <c r="S141" i="21"/>
  <c r="R141" i="21"/>
  <c r="Q141" i="21"/>
  <c r="P141" i="21"/>
  <c r="O141" i="21"/>
  <c r="O141" i="21" a="1"/>
  <c r="V140" i="21"/>
  <c r="U140" i="21"/>
  <c r="T140" i="21"/>
  <c r="S140" i="21"/>
  <c r="R140" i="21"/>
  <c r="Q140" i="21"/>
  <c r="P140" i="21"/>
  <c r="O140" i="21"/>
  <c r="O140" i="21" a="1"/>
  <c r="V139" i="21"/>
  <c r="U139" i="21"/>
  <c r="T139" i="21"/>
  <c r="S139" i="21"/>
  <c r="R139" i="21"/>
  <c r="Q139" i="21"/>
  <c r="P139" i="21"/>
  <c r="O139" i="21"/>
  <c r="O139" i="21" a="1"/>
  <c r="V138" i="21"/>
  <c r="U138" i="21"/>
  <c r="T138" i="21"/>
  <c r="S138" i="21"/>
  <c r="R138" i="21"/>
  <c r="Q138" i="21"/>
  <c r="P138" i="21"/>
  <c r="O138" i="21"/>
  <c r="O138" i="21" a="1"/>
  <c r="V137" i="21"/>
  <c r="U137" i="21"/>
  <c r="T137" i="21"/>
  <c r="S137" i="21"/>
  <c r="R137" i="21"/>
  <c r="Q137" i="21"/>
  <c r="P137" i="21"/>
  <c r="O137" i="21"/>
  <c r="O137" i="21" a="1"/>
  <c r="V136" i="21"/>
  <c r="U136" i="21"/>
  <c r="T136" i="21"/>
  <c r="S136" i="21"/>
  <c r="R136" i="21"/>
  <c r="Q136" i="21"/>
  <c r="P136" i="21"/>
  <c r="O136" i="21"/>
  <c r="O136" i="21" a="1"/>
  <c r="V135" i="21"/>
  <c r="U135" i="21"/>
  <c r="T135" i="21"/>
  <c r="S135" i="21"/>
  <c r="R135" i="21"/>
  <c r="Q135" i="21"/>
  <c r="P135" i="21"/>
  <c r="O135" i="21"/>
  <c r="O135" i="21" a="1"/>
  <c r="V134" i="21"/>
  <c r="U134" i="21"/>
  <c r="T134" i="21"/>
  <c r="S134" i="21"/>
  <c r="R134" i="21"/>
  <c r="Q134" i="21"/>
  <c r="P134" i="21"/>
  <c r="O134" i="21"/>
  <c r="O134" i="21" a="1"/>
  <c r="V133" i="21"/>
  <c r="U133" i="21"/>
  <c r="T133" i="21"/>
  <c r="S133" i="21"/>
  <c r="R133" i="21"/>
  <c r="Q133" i="21"/>
  <c r="P133" i="21"/>
  <c r="O133" i="21"/>
  <c r="O133" i="21" a="1"/>
  <c r="V132" i="21"/>
  <c r="U132" i="21"/>
  <c r="T132" i="21"/>
  <c r="S132" i="21"/>
  <c r="R132" i="21"/>
  <c r="Q132" i="21"/>
  <c r="P132" i="21"/>
  <c r="O132" i="21"/>
  <c r="O132" i="21" a="1"/>
  <c r="V131" i="21"/>
  <c r="U131" i="21"/>
  <c r="T131" i="21"/>
  <c r="S131" i="21"/>
  <c r="R131" i="21"/>
  <c r="Q131" i="21"/>
  <c r="P131" i="21"/>
  <c r="O131" i="21"/>
  <c r="O131" i="21" a="1"/>
  <c r="V130" i="21"/>
  <c r="U130" i="21"/>
  <c r="T130" i="21"/>
  <c r="S130" i="21"/>
  <c r="R130" i="21"/>
  <c r="Q130" i="21"/>
  <c r="P130" i="21"/>
  <c r="O130" i="21"/>
  <c r="O130" i="21" a="1"/>
  <c r="V129" i="21"/>
  <c r="U129" i="21"/>
  <c r="T129" i="21"/>
  <c r="S129" i="21"/>
  <c r="R129" i="21"/>
  <c r="Q129" i="21"/>
  <c r="P129" i="21"/>
  <c r="O129" i="21"/>
  <c r="O129" i="21" a="1"/>
  <c r="V128" i="21"/>
  <c r="U128" i="21"/>
  <c r="T128" i="21"/>
  <c r="S128" i="21"/>
  <c r="R128" i="21"/>
  <c r="Q128" i="21"/>
  <c r="P128" i="21"/>
  <c r="O128" i="21"/>
  <c r="O128" i="21" a="1"/>
  <c r="V127" i="21"/>
  <c r="U127" i="21"/>
  <c r="T127" i="21"/>
  <c r="S127" i="21"/>
  <c r="R127" i="21"/>
  <c r="Q127" i="21"/>
  <c r="P127" i="21"/>
  <c r="O127" i="21"/>
  <c r="O127" i="21" a="1"/>
  <c r="V126" i="21"/>
  <c r="U126" i="21"/>
  <c r="T126" i="21"/>
  <c r="S126" i="21"/>
  <c r="R126" i="21"/>
  <c r="Q126" i="21"/>
  <c r="P126" i="21"/>
  <c r="O126" i="21"/>
  <c r="O126" i="21" a="1"/>
  <c r="V125" i="21"/>
  <c r="U125" i="21"/>
  <c r="T125" i="21"/>
  <c r="S125" i="21"/>
  <c r="R125" i="21"/>
  <c r="Q125" i="21"/>
  <c r="P125" i="21"/>
  <c r="O125" i="21"/>
  <c r="O125" i="21" a="1"/>
  <c r="V124" i="21"/>
  <c r="U124" i="21"/>
  <c r="T124" i="21"/>
  <c r="S124" i="21"/>
  <c r="R124" i="21"/>
  <c r="Q124" i="21"/>
  <c r="P124" i="21"/>
  <c r="O124" i="21"/>
  <c r="O124" i="21" a="1"/>
  <c r="V123" i="21"/>
  <c r="U123" i="21"/>
  <c r="T123" i="21"/>
  <c r="S123" i="21"/>
  <c r="R123" i="21"/>
  <c r="Q123" i="21"/>
  <c r="P123" i="21"/>
  <c r="O123" i="21"/>
  <c r="O123" i="21" a="1"/>
  <c r="V122" i="21"/>
  <c r="U122" i="21"/>
  <c r="T122" i="21"/>
  <c r="S122" i="21"/>
  <c r="R122" i="21"/>
  <c r="Q122" i="21"/>
  <c r="P122" i="21"/>
  <c r="O122" i="21"/>
  <c r="O122" i="21" a="1"/>
  <c r="V121" i="21"/>
  <c r="U121" i="21"/>
  <c r="T121" i="21"/>
  <c r="S121" i="21"/>
  <c r="R121" i="21"/>
  <c r="Q121" i="21"/>
  <c r="P121" i="21"/>
  <c r="O121" i="21"/>
  <c r="O121" i="21" a="1"/>
  <c r="V120" i="21"/>
  <c r="U120" i="21"/>
  <c r="T120" i="21"/>
  <c r="S120" i="21"/>
  <c r="R120" i="21"/>
  <c r="Q120" i="21"/>
  <c r="P120" i="21"/>
  <c r="O120" i="21"/>
  <c r="O120" i="21" a="1"/>
  <c r="V119" i="21"/>
  <c r="U119" i="21"/>
  <c r="T119" i="21"/>
  <c r="S119" i="21"/>
  <c r="R119" i="21"/>
  <c r="Q119" i="21"/>
  <c r="P119" i="21"/>
  <c r="O119" i="21"/>
  <c r="O119" i="21" a="1"/>
  <c r="V118" i="21"/>
  <c r="U118" i="21"/>
  <c r="T118" i="21"/>
  <c r="S118" i="21"/>
  <c r="R118" i="21"/>
  <c r="Q118" i="21"/>
  <c r="P118" i="21"/>
  <c r="O118" i="21"/>
  <c r="O118" i="21" a="1"/>
  <c r="V117" i="21"/>
  <c r="U117" i="21"/>
  <c r="T117" i="21"/>
  <c r="S117" i="21"/>
  <c r="R117" i="21"/>
  <c r="Q117" i="21"/>
  <c r="P117" i="21"/>
  <c r="O117" i="21"/>
  <c r="O117" i="21" a="1"/>
  <c r="V116" i="21"/>
  <c r="U116" i="21"/>
  <c r="T116" i="21"/>
  <c r="S116" i="21"/>
  <c r="R116" i="21"/>
  <c r="Q116" i="21"/>
  <c r="P116" i="21"/>
  <c r="O116" i="21"/>
  <c r="O116" i="21" a="1"/>
  <c r="V115" i="21"/>
  <c r="U115" i="21"/>
  <c r="T115" i="21"/>
  <c r="S115" i="21"/>
  <c r="R115" i="21"/>
  <c r="Q115" i="21"/>
  <c r="P115" i="21"/>
  <c r="O115" i="21"/>
  <c r="O115" i="21" a="1"/>
  <c r="V114" i="21"/>
  <c r="U114" i="21"/>
  <c r="T114" i="21"/>
  <c r="S114" i="21"/>
  <c r="R114" i="21"/>
  <c r="Q114" i="21"/>
  <c r="P114" i="21"/>
  <c r="O114" i="21"/>
  <c r="O114" i="21" a="1"/>
  <c r="V113" i="21"/>
  <c r="U113" i="21"/>
  <c r="T113" i="21"/>
  <c r="S113" i="21"/>
  <c r="R113" i="21"/>
  <c r="Q113" i="21"/>
  <c r="P113" i="21"/>
  <c r="O113" i="21"/>
  <c r="O113" i="21" a="1"/>
  <c r="V112" i="21"/>
  <c r="U112" i="21"/>
  <c r="T112" i="21"/>
  <c r="S112" i="21"/>
  <c r="R112" i="21"/>
  <c r="Q112" i="21"/>
  <c r="P112" i="21"/>
  <c r="O112" i="21"/>
  <c r="O112" i="21" a="1"/>
  <c r="V111" i="21"/>
  <c r="U111" i="21"/>
  <c r="T111" i="21"/>
  <c r="S111" i="21"/>
  <c r="R111" i="21"/>
  <c r="Q111" i="21"/>
  <c r="P111" i="21"/>
  <c r="O111" i="21"/>
  <c r="O111" i="21" a="1"/>
  <c r="V110" i="21"/>
  <c r="U110" i="21"/>
  <c r="T110" i="21"/>
  <c r="S110" i="21"/>
  <c r="R110" i="21"/>
  <c r="Q110" i="21"/>
  <c r="P110" i="21"/>
  <c r="O110" i="21"/>
  <c r="O110" i="21" a="1"/>
  <c r="V109" i="21"/>
  <c r="U109" i="21"/>
  <c r="T109" i="21"/>
  <c r="S109" i="21"/>
  <c r="R109" i="21"/>
  <c r="Q109" i="21"/>
  <c r="P109" i="21"/>
  <c r="O109" i="21"/>
  <c r="O109" i="21" a="1"/>
  <c r="V108" i="21"/>
  <c r="U108" i="21"/>
  <c r="T108" i="21"/>
  <c r="S108" i="21"/>
  <c r="R108" i="21"/>
  <c r="Q108" i="21"/>
  <c r="P108" i="21"/>
  <c r="O108" i="21"/>
  <c r="O108" i="21" a="1"/>
  <c r="V107" i="21"/>
  <c r="U107" i="21"/>
  <c r="T107" i="21"/>
  <c r="S107" i="21"/>
  <c r="R107" i="21"/>
  <c r="Q107" i="21"/>
  <c r="P107" i="21"/>
  <c r="O107" i="21"/>
  <c r="O107" i="21" a="1"/>
  <c r="V106" i="21"/>
  <c r="U106" i="21"/>
  <c r="T106" i="21"/>
  <c r="S106" i="21"/>
  <c r="R106" i="21"/>
  <c r="Q106" i="21"/>
  <c r="P106" i="21"/>
  <c r="O106" i="21"/>
  <c r="O106" i="21" a="1"/>
  <c r="V105" i="21"/>
  <c r="U105" i="21"/>
  <c r="T105" i="21"/>
  <c r="S105" i="21"/>
  <c r="R105" i="21"/>
  <c r="Q105" i="21"/>
  <c r="P105" i="21"/>
  <c r="O105" i="21"/>
  <c r="O105" i="21" a="1"/>
  <c r="V104" i="21"/>
  <c r="U104" i="21"/>
  <c r="T104" i="21"/>
  <c r="S104" i="21"/>
  <c r="R104" i="21"/>
  <c r="Q104" i="21"/>
  <c r="P104" i="21"/>
  <c r="O104" i="21"/>
  <c r="O104" i="21" a="1"/>
  <c r="V103" i="21"/>
  <c r="U103" i="21"/>
  <c r="T103" i="21"/>
  <c r="S103" i="21"/>
  <c r="R103" i="21"/>
  <c r="Q103" i="21"/>
  <c r="P103" i="21"/>
  <c r="O103" i="21"/>
  <c r="O103" i="21" a="1"/>
  <c r="V102" i="21"/>
  <c r="U102" i="21"/>
  <c r="T102" i="21"/>
  <c r="S102" i="21"/>
  <c r="R102" i="21"/>
  <c r="Q102" i="21"/>
  <c r="P102" i="21"/>
  <c r="O102" i="21"/>
  <c r="O102" i="21" a="1"/>
  <c r="V101" i="21"/>
  <c r="U101" i="21"/>
  <c r="T101" i="21"/>
  <c r="S101" i="21"/>
  <c r="R101" i="21"/>
  <c r="Q101" i="21"/>
  <c r="P101" i="21"/>
  <c r="O101" i="21"/>
  <c r="O101" i="21" a="1"/>
  <c r="V100" i="21"/>
  <c r="U100" i="21"/>
  <c r="T100" i="21"/>
  <c r="S100" i="21"/>
  <c r="R100" i="21"/>
  <c r="Q100" i="21"/>
  <c r="P100" i="21"/>
  <c r="O100" i="21"/>
  <c r="O100" i="21" a="1"/>
  <c r="V99" i="21"/>
  <c r="U99" i="21"/>
  <c r="T99" i="21"/>
  <c r="S99" i="21"/>
  <c r="R99" i="21"/>
  <c r="Q99" i="21"/>
  <c r="P99" i="21"/>
  <c r="O99" i="21"/>
  <c r="O99" i="21" a="1"/>
  <c r="V98" i="21"/>
  <c r="U98" i="21"/>
  <c r="T98" i="21"/>
  <c r="S98" i="21"/>
  <c r="R98" i="21"/>
  <c r="Q98" i="21"/>
  <c r="P98" i="21"/>
  <c r="O98" i="21"/>
  <c r="O98" i="21" a="1"/>
  <c r="V97" i="21"/>
  <c r="U97" i="21"/>
  <c r="T97" i="21"/>
  <c r="S97" i="21"/>
  <c r="R97" i="21"/>
  <c r="Q97" i="21"/>
  <c r="P97" i="21"/>
  <c r="O97" i="21"/>
  <c r="O97" i="21" a="1"/>
  <c r="V96" i="21"/>
  <c r="U96" i="21"/>
  <c r="T96" i="21"/>
  <c r="S96" i="21"/>
  <c r="R96" i="21"/>
  <c r="Q96" i="21"/>
  <c r="P96" i="21"/>
  <c r="O96" i="21"/>
  <c r="O96" i="21" a="1"/>
  <c r="V95" i="21"/>
  <c r="U95" i="21"/>
  <c r="T95" i="21"/>
  <c r="S95" i="21"/>
  <c r="R95" i="21"/>
  <c r="Q95" i="21"/>
  <c r="P95" i="21"/>
  <c r="O95" i="21"/>
  <c r="O95" i="21" a="1"/>
  <c r="V94" i="21"/>
  <c r="U94" i="21"/>
  <c r="T94" i="21"/>
  <c r="S94" i="21"/>
  <c r="R94" i="21"/>
  <c r="Q94" i="21"/>
  <c r="P94" i="21"/>
  <c r="O94" i="21"/>
  <c r="O94" i="21" a="1"/>
  <c r="V93" i="21"/>
  <c r="U93" i="21"/>
  <c r="T93" i="21"/>
  <c r="S93" i="21"/>
  <c r="R93" i="21"/>
  <c r="Q93" i="21"/>
  <c r="P93" i="21"/>
  <c r="O93" i="21"/>
  <c r="O93" i="21" a="1"/>
  <c r="V92" i="21"/>
  <c r="U92" i="21"/>
  <c r="T92" i="21"/>
  <c r="S92" i="21"/>
  <c r="R92" i="21"/>
  <c r="Q92" i="21"/>
  <c r="P92" i="21"/>
  <c r="O92" i="21"/>
  <c r="O92" i="21" a="1"/>
  <c r="V91" i="21"/>
  <c r="U91" i="21"/>
  <c r="T91" i="21"/>
  <c r="S91" i="21"/>
  <c r="R91" i="21"/>
  <c r="Q91" i="21"/>
  <c r="P91" i="21"/>
  <c r="O91" i="21"/>
  <c r="O91" i="21" a="1"/>
  <c r="V90" i="21"/>
  <c r="U90" i="21"/>
  <c r="T90" i="21"/>
  <c r="S90" i="21"/>
  <c r="R90" i="21"/>
  <c r="Q90" i="21"/>
  <c r="P90" i="21"/>
  <c r="O90" i="21"/>
  <c r="O90" i="21" a="1"/>
  <c r="V89" i="21"/>
  <c r="U89" i="21"/>
  <c r="T89" i="21"/>
  <c r="S89" i="21"/>
  <c r="R89" i="21"/>
  <c r="Q89" i="21"/>
  <c r="P89" i="21"/>
  <c r="O89" i="21"/>
  <c r="O89" i="21" a="1"/>
  <c r="V88" i="21"/>
  <c r="U88" i="21"/>
  <c r="T88" i="21"/>
  <c r="S88" i="21"/>
  <c r="R88" i="21"/>
  <c r="Q88" i="21"/>
  <c r="P88" i="21"/>
  <c r="O88" i="21"/>
  <c r="O88" i="21" a="1"/>
  <c r="V87" i="21"/>
  <c r="U87" i="21"/>
  <c r="T87" i="21"/>
  <c r="S87" i="21"/>
  <c r="R87" i="21"/>
  <c r="Q87" i="21"/>
  <c r="P87" i="21"/>
  <c r="O87" i="21"/>
  <c r="O87" i="21" a="1"/>
  <c r="V86" i="21"/>
  <c r="U86" i="21"/>
  <c r="T86" i="21"/>
  <c r="S86" i="21"/>
  <c r="R86" i="21"/>
  <c r="Q86" i="21"/>
  <c r="P86" i="21"/>
  <c r="O86" i="21"/>
  <c r="O86" i="21" a="1"/>
  <c r="V85" i="21"/>
  <c r="U85" i="21"/>
  <c r="T85" i="21"/>
  <c r="S85" i="21"/>
  <c r="R85" i="21"/>
  <c r="Q85" i="21"/>
  <c r="P85" i="21"/>
  <c r="O85" i="21"/>
  <c r="O85" i="21" a="1"/>
  <c r="V84" i="21"/>
  <c r="U84" i="21"/>
  <c r="T84" i="21"/>
  <c r="S84" i="21"/>
  <c r="R84" i="21"/>
  <c r="Q84" i="21"/>
  <c r="P84" i="21"/>
  <c r="O84" i="21"/>
  <c r="O84" i="21" a="1"/>
  <c r="V83" i="21"/>
  <c r="U83" i="21"/>
  <c r="T83" i="21"/>
  <c r="S83" i="21"/>
  <c r="R83" i="21"/>
  <c r="Q83" i="21"/>
  <c r="P83" i="21"/>
  <c r="O83" i="21"/>
  <c r="O83" i="21" a="1"/>
  <c r="V82" i="21"/>
  <c r="U82" i="21"/>
  <c r="T82" i="21"/>
  <c r="S82" i="21"/>
  <c r="R82" i="21"/>
  <c r="Q82" i="21"/>
  <c r="P82" i="21"/>
  <c r="O82" i="21"/>
  <c r="O82" i="21" a="1"/>
  <c r="V81" i="21"/>
  <c r="U81" i="21"/>
  <c r="T81" i="21"/>
  <c r="S81" i="21"/>
  <c r="R81" i="21"/>
  <c r="Q81" i="21"/>
  <c r="P81" i="21"/>
  <c r="O81" i="21"/>
  <c r="O81" i="21" a="1"/>
  <c r="V80" i="21"/>
  <c r="U80" i="21"/>
  <c r="T80" i="21"/>
  <c r="S80" i="21"/>
  <c r="R80" i="21"/>
  <c r="Q80" i="21"/>
  <c r="P80" i="21"/>
  <c r="O80" i="21"/>
  <c r="O80" i="21" a="1"/>
  <c r="V79" i="21"/>
  <c r="U79" i="21"/>
  <c r="T79" i="21"/>
  <c r="S79" i="21"/>
  <c r="R79" i="21"/>
  <c r="Q79" i="21"/>
  <c r="P79" i="21"/>
  <c r="O79" i="21"/>
  <c r="O79" i="21" a="1"/>
  <c r="V78" i="21"/>
  <c r="U78" i="21"/>
  <c r="T78" i="21"/>
  <c r="S78" i="21"/>
  <c r="R78" i="21"/>
  <c r="Q78" i="21"/>
  <c r="P78" i="21"/>
  <c r="O78" i="21"/>
  <c r="O78" i="21" a="1"/>
  <c r="V77" i="21"/>
  <c r="U77" i="21"/>
  <c r="T77" i="21"/>
  <c r="S77" i="21"/>
  <c r="R77" i="21"/>
  <c r="Q77" i="21"/>
  <c r="P77" i="21"/>
  <c r="O77" i="21"/>
  <c r="O77" i="21" a="1"/>
  <c r="V76" i="21"/>
  <c r="U76" i="21"/>
  <c r="T76" i="21"/>
  <c r="S76" i="21"/>
  <c r="R76" i="21"/>
  <c r="Q76" i="21"/>
  <c r="P76" i="21"/>
  <c r="O76" i="21"/>
  <c r="O76" i="21" a="1"/>
  <c r="V75" i="21"/>
  <c r="U75" i="21"/>
  <c r="T75" i="21"/>
  <c r="S75" i="21"/>
  <c r="R75" i="21"/>
  <c r="Q75" i="21"/>
  <c r="P75" i="21"/>
  <c r="O75" i="21"/>
  <c r="O75" i="21" a="1"/>
  <c r="V74" i="21"/>
  <c r="U74" i="21"/>
  <c r="T74" i="21"/>
  <c r="S74" i="21"/>
  <c r="R74" i="21"/>
  <c r="Q74" i="21"/>
  <c r="P74" i="21"/>
  <c r="O74" i="21"/>
  <c r="O74" i="21" a="1"/>
  <c r="V73" i="21"/>
  <c r="U73" i="21"/>
  <c r="T73" i="21"/>
  <c r="S73" i="21"/>
  <c r="R73" i="21"/>
  <c r="Q73" i="21"/>
  <c r="P73" i="21"/>
  <c r="O73" i="21"/>
  <c r="O73" i="21" a="1"/>
  <c r="V72" i="21"/>
  <c r="U72" i="21"/>
  <c r="T72" i="21"/>
  <c r="S72" i="21"/>
  <c r="R72" i="21"/>
  <c r="Q72" i="21"/>
  <c r="P72" i="21"/>
  <c r="O72" i="21"/>
  <c r="O72" i="21" a="1"/>
  <c r="V71" i="21"/>
  <c r="U71" i="21"/>
  <c r="T71" i="21"/>
  <c r="S71" i="21"/>
  <c r="R71" i="21"/>
  <c r="Q71" i="21"/>
  <c r="P71" i="21"/>
  <c r="O71" i="21"/>
  <c r="O71" i="21" a="1"/>
  <c r="V70" i="21"/>
  <c r="U70" i="21"/>
  <c r="T70" i="21"/>
  <c r="S70" i="21"/>
  <c r="R70" i="21"/>
  <c r="Q70" i="21"/>
  <c r="P70" i="21"/>
  <c r="O70" i="21"/>
  <c r="O70" i="21" a="1"/>
  <c r="V69" i="21"/>
  <c r="U69" i="21"/>
  <c r="T69" i="21"/>
  <c r="S69" i="21"/>
  <c r="R69" i="21"/>
  <c r="Q69" i="21"/>
  <c r="P69" i="21"/>
  <c r="O69" i="21"/>
  <c r="O69" i="21" a="1"/>
  <c r="V68" i="21"/>
  <c r="U68" i="21"/>
  <c r="T68" i="21"/>
  <c r="S68" i="21"/>
  <c r="R68" i="21"/>
  <c r="Q68" i="21"/>
  <c r="P68" i="21"/>
  <c r="O68" i="21"/>
  <c r="O68" i="21" a="1"/>
  <c r="V67" i="21"/>
  <c r="U67" i="21"/>
  <c r="T67" i="21"/>
  <c r="S67" i="21"/>
  <c r="R67" i="21"/>
  <c r="Q67" i="21"/>
  <c r="P67" i="21"/>
  <c r="O67" i="21"/>
  <c r="O67" i="21" a="1"/>
  <c r="V66" i="21"/>
  <c r="U66" i="21"/>
  <c r="T66" i="21"/>
  <c r="S66" i="21"/>
  <c r="R66" i="21"/>
  <c r="Q66" i="21"/>
  <c r="P66" i="21"/>
  <c r="O66" i="21"/>
  <c r="O66" i="21" a="1"/>
  <c r="V65" i="21"/>
  <c r="U65" i="21"/>
  <c r="T65" i="21"/>
  <c r="S65" i="21"/>
  <c r="R65" i="21"/>
  <c r="Q65" i="21"/>
  <c r="P65" i="21"/>
  <c r="O65" i="21"/>
  <c r="O65" i="21" a="1"/>
  <c r="V64" i="21"/>
  <c r="U64" i="21"/>
  <c r="T64" i="21"/>
  <c r="S64" i="21"/>
  <c r="R64" i="21"/>
  <c r="Q64" i="21"/>
  <c r="P64" i="21"/>
  <c r="O64" i="21"/>
  <c r="O64" i="21" a="1"/>
  <c r="V63" i="21"/>
  <c r="U63" i="21"/>
  <c r="T63" i="21"/>
  <c r="S63" i="21"/>
  <c r="R63" i="21"/>
  <c r="Q63" i="21"/>
  <c r="P63" i="21"/>
  <c r="O63" i="21"/>
  <c r="O63" i="21" a="1"/>
  <c r="V62" i="21"/>
  <c r="U62" i="21"/>
  <c r="T62" i="21"/>
  <c r="S62" i="21"/>
  <c r="R62" i="21"/>
  <c r="Q62" i="21"/>
  <c r="P62" i="21"/>
  <c r="O62" i="21"/>
  <c r="O62" i="21" a="1"/>
  <c r="V61" i="21"/>
  <c r="U61" i="21"/>
  <c r="T61" i="21"/>
  <c r="S61" i="21"/>
  <c r="R61" i="21"/>
  <c r="Q61" i="21"/>
  <c r="P61" i="21"/>
  <c r="O61" i="21"/>
  <c r="O61" i="21" a="1"/>
  <c r="V60" i="21"/>
  <c r="U60" i="21"/>
  <c r="T60" i="21"/>
  <c r="S60" i="21"/>
  <c r="R60" i="21"/>
  <c r="Q60" i="21"/>
  <c r="P60" i="21"/>
  <c r="O60" i="21"/>
  <c r="O60" i="21" a="1"/>
  <c r="V59" i="21"/>
  <c r="U59" i="21"/>
  <c r="T59" i="21"/>
  <c r="S59" i="21"/>
  <c r="R59" i="21"/>
  <c r="Q59" i="21"/>
  <c r="P59" i="21"/>
  <c r="O59" i="21"/>
  <c r="O59" i="21" a="1"/>
  <c r="V58" i="21"/>
  <c r="U58" i="21"/>
  <c r="T58" i="21"/>
  <c r="S58" i="21"/>
  <c r="R58" i="21"/>
  <c r="Q58" i="21"/>
  <c r="P58" i="21"/>
  <c r="O58" i="21"/>
  <c r="O58" i="21" a="1"/>
  <c r="V57" i="21"/>
  <c r="U57" i="21"/>
  <c r="T57" i="21"/>
  <c r="S57" i="21"/>
  <c r="R57" i="21"/>
  <c r="Q57" i="21"/>
  <c r="P57" i="21"/>
  <c r="O57" i="21"/>
  <c r="O57" i="21" a="1"/>
  <c r="V56" i="21"/>
  <c r="U56" i="21"/>
  <c r="T56" i="21"/>
  <c r="S56" i="21"/>
  <c r="R56" i="21"/>
  <c r="Q56" i="21"/>
  <c r="P56" i="21"/>
  <c r="O56" i="21"/>
  <c r="O56" i="21" a="1"/>
  <c r="V55" i="21"/>
  <c r="U55" i="21"/>
  <c r="T55" i="21"/>
  <c r="S55" i="21"/>
  <c r="R55" i="21"/>
  <c r="Q55" i="21"/>
  <c r="P55" i="21"/>
  <c r="O55" i="21"/>
  <c r="O55" i="21" a="1"/>
  <c r="V54" i="21"/>
  <c r="U54" i="21"/>
  <c r="T54" i="21"/>
  <c r="S54" i="21"/>
  <c r="R54" i="21"/>
  <c r="Q54" i="21"/>
  <c r="P54" i="21"/>
  <c r="O54" i="21"/>
  <c r="O54" i="21" a="1"/>
  <c r="V53" i="21"/>
  <c r="U53" i="21"/>
  <c r="T53" i="21"/>
  <c r="S53" i="21"/>
  <c r="R53" i="21"/>
  <c r="Q53" i="21"/>
  <c r="P53" i="21"/>
  <c r="O53" i="21"/>
  <c r="O53" i="21" a="1"/>
  <c r="V52" i="21"/>
  <c r="U52" i="21"/>
  <c r="T52" i="21"/>
  <c r="S52" i="21"/>
  <c r="R52" i="21"/>
  <c r="Q52" i="21"/>
  <c r="P52" i="21"/>
  <c r="O52" i="21"/>
  <c r="O52" i="21" a="1"/>
  <c r="V51" i="21"/>
  <c r="U51" i="21"/>
  <c r="T51" i="21"/>
  <c r="S51" i="21"/>
  <c r="R51" i="21"/>
  <c r="Q51" i="21"/>
  <c r="P51" i="21"/>
  <c r="O51" i="21"/>
  <c r="O51" i="21" a="1"/>
  <c r="V50" i="21"/>
  <c r="U50" i="21"/>
  <c r="T50" i="21"/>
  <c r="S50" i="21"/>
  <c r="R50" i="21"/>
  <c r="Q50" i="21"/>
  <c r="P50" i="21"/>
  <c r="O50" i="21"/>
  <c r="O50" i="21" a="1"/>
  <c r="V49" i="21"/>
  <c r="U49" i="21"/>
  <c r="T49" i="21"/>
  <c r="S49" i="21"/>
  <c r="R49" i="21"/>
  <c r="Q49" i="21"/>
  <c r="P49" i="21"/>
  <c r="O49" i="21"/>
  <c r="O49" i="21" a="1"/>
  <c r="V48" i="21"/>
  <c r="U48" i="21"/>
  <c r="T48" i="21"/>
  <c r="S48" i="21"/>
  <c r="R48" i="21"/>
  <c r="Q48" i="21"/>
  <c r="P48" i="21"/>
  <c r="O48" i="21"/>
  <c r="O48" i="21" a="1"/>
  <c r="V47" i="21"/>
  <c r="U47" i="21"/>
  <c r="T47" i="21"/>
  <c r="S47" i="21"/>
  <c r="R47" i="21"/>
  <c r="Q47" i="21"/>
  <c r="P47" i="21"/>
  <c r="O47" i="21"/>
  <c r="O47" i="21" a="1"/>
  <c r="V46" i="21"/>
  <c r="U46" i="21"/>
  <c r="T46" i="21"/>
  <c r="S46" i="21"/>
  <c r="R46" i="21"/>
  <c r="Q46" i="21"/>
  <c r="P46" i="21"/>
  <c r="O46" i="21"/>
  <c r="O46" i="21" a="1"/>
  <c r="V45" i="21"/>
  <c r="U45" i="21"/>
  <c r="T45" i="21"/>
  <c r="S45" i="21"/>
  <c r="R45" i="21"/>
  <c r="Q45" i="21"/>
  <c r="P45" i="21"/>
  <c r="O45" i="21"/>
  <c r="O45" i="21" a="1"/>
  <c r="V44" i="21"/>
  <c r="U44" i="21"/>
  <c r="T44" i="21"/>
  <c r="S44" i="21"/>
  <c r="R44" i="21"/>
  <c r="Q44" i="21"/>
  <c r="P44" i="21"/>
  <c r="O44" i="21"/>
  <c r="O44" i="21" a="1"/>
  <c r="V43" i="21"/>
  <c r="U43" i="21"/>
  <c r="T43" i="21"/>
  <c r="S43" i="21"/>
  <c r="R43" i="21"/>
  <c r="Q43" i="21"/>
  <c r="P43" i="21"/>
  <c r="O43" i="21"/>
  <c r="O43" i="21" a="1"/>
  <c r="V42" i="21"/>
  <c r="U42" i="21"/>
  <c r="T42" i="21"/>
  <c r="S42" i="21"/>
  <c r="R42" i="21"/>
  <c r="Q42" i="21"/>
  <c r="P42" i="21"/>
  <c r="O42" i="21"/>
  <c r="O42" i="21" a="1"/>
  <c r="V41" i="21"/>
  <c r="U41" i="21"/>
  <c r="T41" i="21"/>
  <c r="S41" i="21"/>
  <c r="R41" i="21"/>
  <c r="Q41" i="21"/>
  <c r="P41" i="21"/>
  <c r="O41" i="21"/>
  <c r="O41" i="21" a="1"/>
  <c r="V40" i="21"/>
  <c r="U40" i="21"/>
  <c r="T40" i="21"/>
  <c r="S40" i="21"/>
  <c r="R40" i="21"/>
  <c r="Q40" i="21"/>
  <c r="P40" i="21"/>
  <c r="O40" i="21"/>
  <c r="O40" i="21" a="1"/>
  <c r="V39" i="21"/>
  <c r="U39" i="21"/>
  <c r="T39" i="21"/>
  <c r="S39" i="21"/>
  <c r="R39" i="21"/>
  <c r="Q39" i="21"/>
  <c r="P39" i="21"/>
  <c r="O39" i="21"/>
  <c r="O39" i="21" a="1"/>
  <c r="V38" i="21"/>
  <c r="U38" i="21"/>
  <c r="T38" i="21"/>
  <c r="S38" i="21"/>
  <c r="R38" i="21"/>
  <c r="Q38" i="21"/>
  <c r="P38" i="21"/>
  <c r="O38" i="21"/>
  <c r="O38" i="21" a="1"/>
  <c r="V37" i="21"/>
  <c r="U37" i="21"/>
  <c r="T37" i="21"/>
  <c r="S37" i="21"/>
  <c r="R37" i="21"/>
  <c r="Q37" i="21"/>
  <c r="P37" i="21"/>
  <c r="O37" i="21"/>
  <c r="O37" i="21" a="1"/>
  <c r="V36" i="21"/>
  <c r="U36" i="21"/>
  <c r="T36" i="21"/>
  <c r="S36" i="21"/>
  <c r="R36" i="21"/>
  <c r="Q36" i="21"/>
  <c r="P36" i="21"/>
  <c r="O36" i="21"/>
  <c r="O36" i="21" a="1"/>
  <c r="V35" i="21"/>
  <c r="U35" i="21"/>
  <c r="T35" i="21"/>
  <c r="S35" i="21"/>
  <c r="R35" i="21"/>
  <c r="Q35" i="21"/>
  <c r="P35" i="21"/>
  <c r="O35" i="21"/>
  <c r="O35" i="21" a="1"/>
  <c r="V34" i="21"/>
  <c r="U34" i="21"/>
  <c r="T34" i="21"/>
  <c r="S34" i="21"/>
  <c r="R34" i="21"/>
  <c r="Q34" i="21"/>
  <c r="P34" i="21"/>
  <c r="O34" i="21"/>
  <c r="O34" i="21" a="1"/>
  <c r="V33" i="21"/>
  <c r="U33" i="21"/>
  <c r="T33" i="21"/>
  <c r="S33" i="21"/>
  <c r="R33" i="21"/>
  <c r="Q33" i="21"/>
  <c r="P33" i="21"/>
  <c r="O33" i="21"/>
  <c r="O33" i="21" a="1"/>
  <c r="V32" i="21"/>
  <c r="U32" i="21"/>
  <c r="T32" i="21"/>
  <c r="S32" i="21"/>
  <c r="R32" i="21"/>
  <c r="Q32" i="21"/>
  <c r="P32" i="21"/>
  <c r="O32" i="21"/>
  <c r="O32" i="21" a="1"/>
  <c r="V31" i="21"/>
  <c r="U31" i="21"/>
  <c r="T31" i="21"/>
  <c r="S31" i="21"/>
  <c r="R31" i="21"/>
  <c r="Q31" i="21"/>
  <c r="P31" i="21"/>
  <c r="O31" i="21"/>
  <c r="O31" i="21" a="1"/>
  <c r="V30" i="21"/>
  <c r="U30" i="21"/>
  <c r="T30" i="21"/>
  <c r="S30" i="21"/>
  <c r="R30" i="21"/>
  <c r="Q30" i="21"/>
  <c r="P30" i="21"/>
  <c r="O30" i="21"/>
  <c r="O30" i="21" a="1"/>
  <c r="V29" i="21"/>
  <c r="U29" i="21"/>
  <c r="T29" i="21"/>
  <c r="S29" i="21"/>
  <c r="R29" i="21"/>
  <c r="Q29" i="21"/>
  <c r="P29" i="21"/>
  <c r="O29" i="21"/>
  <c r="O29" i="21" a="1"/>
  <c r="V28" i="21"/>
  <c r="U28" i="21"/>
  <c r="T28" i="21"/>
  <c r="S28" i="21"/>
  <c r="R28" i="21"/>
  <c r="Q28" i="21"/>
  <c r="P28" i="21"/>
  <c r="O28" i="21"/>
  <c r="O28" i="21" a="1"/>
  <c r="V27" i="21"/>
  <c r="U27" i="21"/>
  <c r="T27" i="21"/>
  <c r="S27" i="21"/>
  <c r="R27" i="21"/>
  <c r="Q27" i="21"/>
  <c r="P27" i="21"/>
  <c r="O27" i="21"/>
  <c r="O27" i="21" a="1"/>
  <c r="V26" i="21"/>
  <c r="U26" i="21"/>
  <c r="T26" i="21"/>
  <c r="S26" i="21"/>
  <c r="R26" i="21"/>
  <c r="Q26" i="21"/>
  <c r="P26" i="21"/>
  <c r="O26" i="21"/>
  <c r="O26" i="21" a="1"/>
  <c r="V25" i="21"/>
  <c r="U25" i="21"/>
  <c r="T25" i="21"/>
  <c r="S25" i="21"/>
  <c r="R25" i="21"/>
  <c r="Q25" i="21"/>
  <c r="P25" i="21"/>
  <c r="O25" i="21"/>
  <c r="O25" i="21" a="1"/>
  <c r="V24" i="21"/>
  <c r="U24" i="21"/>
  <c r="T24" i="21"/>
  <c r="S24" i="21"/>
  <c r="R24" i="21"/>
  <c r="Q24" i="21"/>
  <c r="P24" i="21"/>
  <c r="O24" i="21"/>
  <c r="O24" i="21" a="1"/>
  <c r="V23" i="21"/>
  <c r="U23" i="21"/>
  <c r="T23" i="21"/>
  <c r="S23" i="21"/>
  <c r="R23" i="21"/>
  <c r="Q23" i="21"/>
  <c r="P23" i="21"/>
  <c r="O23" i="21"/>
  <c r="O23" i="21" a="1"/>
  <c r="V22" i="21"/>
  <c r="U22" i="21"/>
  <c r="T22" i="21"/>
  <c r="S22" i="21"/>
  <c r="R22" i="21"/>
  <c r="Q22" i="21"/>
  <c r="P22" i="21"/>
  <c r="O22" i="21"/>
  <c r="O22" i="21" a="1"/>
  <c r="V21" i="21"/>
  <c r="U21" i="21"/>
  <c r="T21" i="21"/>
  <c r="S21" i="21"/>
  <c r="R21" i="21"/>
  <c r="Q21" i="21"/>
  <c r="P21" i="21"/>
  <c r="O21" i="21"/>
  <c r="O21" i="21" a="1"/>
  <c r="V20" i="21"/>
  <c r="U20" i="21"/>
  <c r="T20" i="21"/>
  <c r="S20" i="21"/>
  <c r="R20" i="21"/>
  <c r="Q20" i="21"/>
  <c r="P20" i="21"/>
  <c r="O20" i="21"/>
  <c r="O20" i="21" a="1"/>
  <c r="V19" i="21"/>
  <c r="U19" i="21"/>
  <c r="T19" i="21"/>
  <c r="S19" i="21"/>
  <c r="R19" i="21"/>
  <c r="Q19" i="21"/>
  <c r="P19" i="21"/>
  <c r="O19" i="21"/>
  <c r="O19" i="21" a="1"/>
  <c r="V18" i="21"/>
  <c r="U18" i="21"/>
  <c r="T18" i="21"/>
  <c r="S18" i="21"/>
  <c r="R18" i="21"/>
  <c r="Q18" i="21"/>
  <c r="P18" i="21"/>
  <c r="O18" i="21"/>
  <c r="O18" i="21" a="1"/>
  <c r="V17" i="21"/>
  <c r="U17" i="21"/>
  <c r="T17" i="21"/>
  <c r="S17" i="21"/>
  <c r="R17" i="21"/>
  <c r="Q17" i="21"/>
  <c r="P17" i="21"/>
  <c r="O17" i="21"/>
  <c r="O17" i="21" a="1"/>
  <c r="V16" i="21"/>
  <c r="U16" i="21"/>
  <c r="T16" i="21"/>
  <c r="S16" i="21"/>
  <c r="R16" i="21"/>
  <c r="Q16" i="21"/>
  <c r="P16" i="21"/>
  <c r="O16" i="21"/>
  <c r="O16" i="21" a="1"/>
  <c r="V15" i="21"/>
  <c r="U15" i="21"/>
  <c r="T15" i="21"/>
  <c r="S15" i="21"/>
  <c r="R15" i="21"/>
  <c r="Q15" i="21"/>
  <c r="P15" i="21"/>
  <c r="O15" i="21"/>
  <c r="O15" i="21" a="1"/>
  <c r="V14" i="21"/>
  <c r="U14" i="21"/>
  <c r="T14" i="21"/>
  <c r="S14" i="21"/>
  <c r="R14" i="21"/>
  <c r="Q14" i="21"/>
  <c r="P14" i="21"/>
  <c r="O14" i="21"/>
  <c r="O14" i="21" a="1"/>
  <c r="V13" i="21"/>
  <c r="U13" i="21"/>
  <c r="T13" i="21"/>
  <c r="S13" i="21"/>
  <c r="R13" i="21"/>
  <c r="Q13" i="21"/>
  <c r="P13" i="21"/>
  <c r="O13" i="21"/>
  <c r="O13" i="21" a="1"/>
  <c r="V12" i="21"/>
  <c r="U12" i="21"/>
  <c r="T12" i="21"/>
  <c r="S12" i="21"/>
  <c r="R12" i="21"/>
  <c r="Q12" i="21"/>
  <c r="P12" i="21"/>
  <c r="O12" i="21"/>
  <c r="O12" i="21" a="1"/>
  <c r="V11" i="21"/>
  <c r="U11" i="21"/>
  <c r="T11" i="21"/>
  <c r="S11" i="21"/>
  <c r="R11" i="21"/>
  <c r="Q11" i="21"/>
  <c r="P11" i="21"/>
  <c r="O11" i="21"/>
  <c r="O11" i="21" a="1"/>
  <c r="V10" i="21"/>
  <c r="U10" i="21"/>
  <c r="T10" i="21"/>
  <c r="S10" i="21"/>
  <c r="R10" i="21"/>
  <c r="Q10" i="21"/>
  <c r="P10" i="21"/>
  <c r="O10" i="21"/>
  <c r="O10" i="21" a="1"/>
  <c r="V9" i="21"/>
  <c r="U9" i="21"/>
  <c r="T9" i="21"/>
  <c r="S9" i="21"/>
  <c r="R9" i="21"/>
  <c r="Q9" i="21"/>
  <c r="P9" i="21"/>
  <c r="O9" i="21"/>
  <c r="O9" i="21" a="1"/>
  <c r="V8" i="21"/>
  <c r="U8" i="21"/>
  <c r="T8" i="21"/>
  <c r="S8" i="21"/>
  <c r="R8" i="21"/>
  <c r="Q8" i="21"/>
  <c r="P8" i="21"/>
  <c r="O8" i="21"/>
  <c r="O8" i="21" a="1"/>
  <c r="V7" i="21"/>
  <c r="U7" i="21"/>
  <c r="T7" i="21"/>
  <c r="S7" i="21"/>
  <c r="R7" i="21"/>
  <c r="Q7" i="21"/>
  <c r="P7" i="21"/>
  <c r="O7" i="21"/>
  <c r="O7" i="21" a="1"/>
  <c r="V6" i="21"/>
  <c r="U6" i="21"/>
  <c r="T6" i="21"/>
  <c r="S6" i="21"/>
  <c r="R6" i="21"/>
  <c r="Q6" i="21"/>
  <c r="P6" i="21"/>
  <c r="O6" i="21"/>
  <c r="O6" i="21" a="1"/>
  <c r="V5" i="21"/>
  <c r="U5" i="21"/>
  <c r="T5" i="21"/>
  <c r="S5" i="21"/>
  <c r="R5" i="21"/>
  <c r="Q5" i="21"/>
  <c r="P5" i="21"/>
  <c r="O5" i="21"/>
  <c r="O5" i="21" a="1"/>
  <c r="V4" i="21"/>
  <c r="U4" i="21"/>
  <c r="T4" i="21"/>
  <c r="S4" i="21"/>
  <c r="R4" i="21"/>
  <c r="Q4" i="21"/>
  <c r="P4" i="21"/>
  <c r="O4" i="21"/>
  <c r="O4" i="21" a="1"/>
  <c r="V3" i="21"/>
  <c r="U3" i="21"/>
  <c r="T3" i="21"/>
  <c r="S3" i="21"/>
  <c r="R3" i="21"/>
  <c r="Q3" i="21"/>
  <c r="P3" i="21"/>
  <c r="O3" i="21"/>
  <c r="O3" i="21" a="1"/>
  <c r="V2" i="21"/>
  <c r="U2" i="21"/>
  <c r="T2" i="21"/>
  <c r="S2" i="21"/>
  <c r="R2" i="21"/>
  <c r="Q2" i="21"/>
  <c r="P2" i="21"/>
  <c r="O2" i="21"/>
  <c r="O2" i="21" a="1"/>
</calcChain>
</file>

<file path=xl/sharedStrings.xml><?xml version="1.0" encoding="utf-8"?>
<sst xmlns="http://schemas.openxmlformats.org/spreadsheetml/2006/main" count="13168" uniqueCount="549">
  <si>
    <t>Service</t>
  </si>
  <si>
    <t>Install</t>
  </si>
  <si>
    <t>Repair</t>
  </si>
  <si>
    <t>Yes</t>
  </si>
  <si>
    <t>Techs</t>
  </si>
  <si>
    <t>WO</t>
  </si>
  <si>
    <t>Michner</t>
  </si>
  <si>
    <t>Ling</t>
  </si>
  <si>
    <t>Khan</t>
  </si>
  <si>
    <t>Burton</t>
  </si>
  <si>
    <t>LeadTech</t>
  </si>
  <si>
    <t>Deliver</t>
  </si>
  <si>
    <t>Assess</t>
  </si>
  <si>
    <t>Replace</t>
  </si>
  <si>
    <t>ReqDate</t>
  </si>
  <si>
    <t>WorkDate</t>
  </si>
  <si>
    <t>Payment</t>
  </si>
  <si>
    <t>Account</t>
  </si>
  <si>
    <t>C.O.D.</t>
  </si>
  <si>
    <t>P.O.</t>
  </si>
  <si>
    <t>Warranty</t>
  </si>
  <si>
    <t>Credit</t>
  </si>
  <si>
    <t>Wait</t>
  </si>
  <si>
    <t>Rush</t>
  </si>
  <si>
    <t>District</t>
  </si>
  <si>
    <t>WtyLbr</t>
  </si>
  <si>
    <t>WtyParts</t>
  </si>
  <si>
    <t>LbrHrs</t>
  </si>
  <si>
    <t>PartsCost</t>
  </si>
  <si>
    <t>LbrCost</t>
  </si>
  <si>
    <t>LbrFee</t>
  </si>
  <si>
    <t>PartsFee</t>
  </si>
  <si>
    <t>TotalCost</t>
  </si>
  <si>
    <t>TotalFee</t>
  </si>
  <si>
    <t>Central</t>
  </si>
  <si>
    <t>Northwest</t>
  </si>
  <si>
    <t>North</t>
  </si>
  <si>
    <t>South</t>
  </si>
  <si>
    <t>West</t>
  </si>
  <si>
    <t>Southeast</t>
  </si>
  <si>
    <t>East</t>
  </si>
  <si>
    <t>Northeast</t>
  </si>
  <si>
    <t>Southwest</t>
  </si>
  <si>
    <t>Lopez</t>
  </si>
  <si>
    <t>Cartier</t>
  </si>
  <si>
    <t>ReqDay</t>
  </si>
  <si>
    <t>WorkDay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</si>
  <si>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</si>
  <si>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</si>
  <si>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</si>
  <si>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</si>
  <si>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</si>
  <si>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</si>
  <si>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</si>
  <si>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</si>
  <si>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</si>
  <si>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</si>
  <si>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</si>
  <si>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</si>
  <si>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</si>
  <si>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</si>
  <si>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</si>
  <si>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</si>
  <si>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</si>
  <si>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</si>
  <si>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</si>
  <si>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</si>
  <si>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</si>
  <si>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</si>
  <si>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</si>
  <si>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</si>
  <si>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</si>
  <si>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</si>
  <si>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</si>
  <si>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</si>
  <si>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</si>
  <si>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</si>
  <si>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</si>
  <si>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</si>
  <si>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</si>
  <si>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</si>
  <si>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</si>
  <si>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</si>
  <si>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</si>
  <si>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</si>
  <si>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</si>
  <si>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</si>
  <si>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</si>
  <si>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</si>
  <si>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</si>
  <si>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</si>
  <si>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</si>
  <si>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</si>
  <si>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</si>
  <si>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</si>
  <si>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</si>
  <si>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</si>
  <si>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</si>
  <si>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</si>
  <si>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</si>
  <si>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</si>
  <si>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</si>
  <si>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</si>
  <si>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</si>
  <si>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</si>
  <si>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</si>
  <si>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</si>
  <si>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</si>
  <si>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</si>
  <si>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</si>
  <si>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</si>
  <si>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</si>
  <si>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</si>
  <si>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</si>
  <si>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</si>
  <si>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</si>
  <si>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</si>
  <si>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</si>
  <si>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</si>
  <si>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</si>
  <si>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</si>
  <si>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</si>
  <si>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</si>
  <si>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</si>
  <si>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</si>
  <si>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</si>
  <si>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</si>
  <si>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</si>
  <si>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</si>
  <si>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</si>
  <si>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</si>
  <si>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</si>
  <si>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</si>
  <si>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</si>
  <si>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</si>
  <si>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</si>
  <si>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</si>
  <si>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</si>
  <si>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</si>
  <si>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</si>
  <si>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</si>
  <si>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</si>
  <si>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</si>
  <si>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</si>
  <si>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</si>
  <si>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</si>
  <si>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</si>
  <si>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</si>
  <si>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</si>
  <si>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</si>
  <si>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</si>
  <si>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</si>
  <si>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</si>
  <si>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</si>
  <si>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</si>
  <si>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</si>
  <si>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</si>
  <si>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</si>
  <si>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</si>
  <si>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</si>
  <si>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</si>
  <si>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</si>
  <si>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</si>
  <si>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</si>
  <si>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</si>
  <si>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</si>
  <si>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</si>
  <si>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</si>
  <si>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</si>
  <si>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</si>
  <si>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</si>
  <si>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</si>
  <si>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</si>
  <si>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</si>
  <si>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</si>
  <si>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</si>
  <si>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</si>
  <si>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</si>
  <si>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</si>
  <si>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</si>
  <si>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</si>
  <si>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</si>
  <si>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</si>
  <si>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</si>
  <si>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</si>
  <si>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</si>
  <si>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</si>
  <si>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</si>
  <si>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</si>
  <si>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</si>
  <si>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</si>
  <si>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</si>
  <si>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</si>
  <si>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</si>
  <si>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</si>
  <si>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</si>
  <si>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</si>
  <si>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</si>
  <si>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</si>
  <si>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</si>
  <si>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</si>
  <si>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</si>
  <si>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</si>
  <si>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</si>
  <si>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</si>
  <si>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</si>
  <si>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</si>
  <si>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</si>
  <si>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</si>
  <si>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</si>
  <si>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</si>
  <si>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</si>
  <si>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</si>
  <si>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</si>
  <si>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</si>
  <si>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</si>
  <si>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</si>
  <si>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</si>
  <si>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</si>
  <si>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</si>
  <si>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</si>
  <si>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</si>
  <si>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</si>
  <si>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</si>
  <si>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</si>
  <si>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</si>
  <si>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</si>
  <si>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</si>
  <si>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</si>
  <si>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</si>
  <si>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</si>
  <si>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</si>
  <si>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</si>
  <si>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</si>
  <si>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</si>
  <si>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</si>
  <si>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</si>
  <si>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</si>
  <si>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</si>
  <si>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</si>
  <si>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</si>
  <si>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</si>
  <si>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</si>
  <si>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</si>
  <si>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</si>
  <si>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</si>
  <si>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</si>
  <si>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</si>
  <si>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</si>
  <si>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</si>
  <si>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</si>
  <si>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</si>
  <si>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</si>
  <si>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</si>
  <si>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</si>
  <si>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</si>
  <si>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</si>
  <si>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</si>
  <si>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</si>
  <si>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</si>
  <si>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</si>
  <si>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</si>
  <si>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</si>
  <si>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</si>
  <si>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</si>
  <si>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</si>
  <si>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</si>
  <si>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</si>
  <si>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</si>
  <si>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</si>
  <si>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</si>
  <si>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</si>
  <si>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</si>
  <si>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</si>
  <si>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</si>
  <si>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</si>
  <si>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</si>
  <si>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</si>
  <si>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</si>
  <si>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</si>
  <si>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</si>
  <si>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</si>
  <si>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</si>
  <si>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</si>
  <si>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</si>
  <si>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</si>
  <si>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</si>
  <si>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</si>
  <si>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</si>
  <si>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</si>
  <si>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</si>
  <si>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</si>
  <si>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</si>
  <si>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</si>
  <si>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</si>
  <si>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</si>
  <si>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</si>
  <si>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</si>
  <si>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</si>
  <si>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</si>
  <si>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</si>
  <si>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</si>
  <si>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</si>
  <si>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</si>
  <si>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</si>
  <si>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</si>
  <si>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</si>
  <si>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</si>
  <si>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</si>
  <si>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</si>
  <si>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</si>
  <si>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</si>
  <si>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</si>
  <si>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</si>
  <si>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</si>
  <si>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</si>
  <si>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</si>
  <si>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</si>
  <si>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</si>
  <si>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</si>
  <si>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</si>
  <si>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</si>
  <si>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</si>
  <si>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</si>
  <si>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</si>
  <si>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</si>
  <si>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</si>
  <si>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</si>
  <si>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</si>
  <si>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</si>
  <si>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</si>
  <si>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</si>
  <si>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</si>
  <si>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</si>
  <si>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</si>
  <si>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</si>
  <si>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</si>
  <si>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</si>
  <si>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</si>
  <si>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</si>
  <si>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</si>
  <si>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</si>
  <si>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</si>
  <si>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</si>
  <si>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</si>
  <si>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</si>
  <si>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</si>
  <si>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</si>
  <si>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</si>
  <si>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</si>
  <si>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</si>
  <si>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</si>
  <si>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</si>
  <si>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</si>
  <si>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</si>
  <si>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</si>
  <si>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</si>
  <si>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</si>
  <si>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</si>
  <si>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</si>
  <si>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</si>
  <si>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</si>
  <si>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</si>
  <si>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</si>
  <si>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</si>
  <si>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</si>
  <si>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</si>
  <si>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</si>
  <si>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</si>
  <si>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</si>
  <si>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</si>
  <si>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</si>
  <si>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</si>
  <si>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</si>
  <si>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</si>
  <si>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</si>
  <si>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</si>
  <si>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</si>
  <si>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</si>
  <si>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</si>
  <si>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</si>
  <si>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</si>
  <si>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</si>
  <si>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</si>
  <si>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</si>
  <si>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</si>
  <si>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</si>
  <si>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</si>
  <si>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</si>
  <si>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</si>
  <si>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</si>
  <si>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</si>
  <si>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</si>
  <si>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</si>
  <si>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</si>
  <si>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</si>
  <si>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</si>
  <si>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</si>
  <si>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</si>
  <si>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</si>
  <si>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</si>
  <si>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</si>
  <si>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</si>
  <si>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</si>
  <si>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</si>
  <si>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</si>
  <si>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</si>
  <si>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</si>
  <si>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</si>
  <si>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</si>
  <si>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</si>
  <si>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</si>
  <si>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</si>
  <si>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</si>
  <si>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</si>
  <si>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</si>
  <si>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</si>
  <si>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</si>
  <si>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</si>
  <si>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</si>
  <si>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</si>
  <si>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</si>
  <si>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</si>
  <si>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</si>
  <si>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</si>
  <si>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</si>
  <si>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</si>
  <si>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</si>
  <si>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</si>
  <si>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</si>
  <si>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</si>
  <si>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</si>
  <si>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</si>
  <si>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</si>
  <si>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</si>
  <si>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</si>
  <si>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</si>
  <si>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</si>
  <si>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</si>
  <si>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</si>
  <si>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</si>
  <si>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</si>
  <si>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</si>
  <si>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</si>
  <si>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</si>
  <si>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</si>
  <si>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</si>
  <si>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</si>
  <si>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</si>
  <si>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</si>
  <si>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</si>
  <si>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</si>
  <si>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</si>
  <si>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</si>
  <si>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</si>
  <si>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</si>
  <si>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</si>
  <si>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</si>
  <si>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</si>
  <si>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</si>
  <si>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</si>
  <si>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</si>
  <si>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</si>
  <si>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</si>
  <si>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</si>
  <si>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</si>
  <si>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</si>
  <si>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</si>
  <si>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</si>
  <si>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</si>
  <si>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</si>
  <si>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</si>
  <si>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</si>
  <si>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</si>
  <si>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</si>
  <si>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</si>
  <si>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</si>
  <si>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</si>
  <si>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</si>
  <si>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</si>
  <si>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</si>
  <si>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</si>
  <si>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</si>
  <si>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</si>
  <si>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</si>
  <si>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</si>
  <si>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</si>
  <si>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</si>
  <si>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</si>
  <si>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</si>
  <si>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</si>
  <si>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</si>
  <si>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</si>
  <si>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</si>
  <si>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</si>
  <si>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</si>
  <si>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</si>
  <si>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</si>
  <si>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</si>
  <si>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</si>
  <si>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</si>
  <si>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</si>
  <si>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</si>
  <si>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</si>
  <si>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</si>
  <si>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</si>
  <si>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</si>
  <si>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</si>
  <si>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</si>
  <si>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</si>
  <si>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</si>
  <si>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</si>
  <si>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</si>
  <si>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</si>
  <si>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</si>
  <si>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</si>
  <si>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</si>
  <si>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</si>
  <si>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</si>
  <si>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</si>
  <si>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</si>
  <si>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</si>
  <si>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</si>
  <si>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</si>
  <si>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</si>
  <si>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</si>
  <si>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</si>
  <si>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</si>
  <si>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</si>
  <si>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</si>
  <si>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</si>
  <si>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</si>
  <si>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</si>
  <si>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</si>
  <si>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</si>
  <si>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</si>
  <si>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</si>
  <si>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</si>
  <si>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</si>
  <si>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</si>
  <si>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</si>
  <si>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</si>
  <si>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</si>
  <si>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</si>
  <si>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</si>
  <si>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</si>
  <si>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LbrRate</t>
  </si>
  <si>
    <t>Highest T.Cost</t>
  </si>
  <si>
    <t>Lowest T.Cost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</si>
</sst>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&quot;$&quot;#,##0.00;\(&quot;$&quot;#,##0.00\)"/>
    <numFmt numFmtId="165" formatCode="dd\-mmm\-yy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horizontal="left" indent="1"/>
    </xf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/>
    </xf>
    <xf numFmtId="43" fontId="0" fillId="0" borderId="0" xfId="2" applyFont="1" applyFill="1" applyBorder="1" applyAlignment="1">
      <alignment horizontal="right"/>
    </xf>
    <xf numFmtId="0" fontId="0" fillId="2" borderId="0" xfId="0" applyFill="1"/>
    <xf numFmtId="166" fontId="0" fillId="2" borderId="0" xfId="2" applyNumberFormat="1" applyFont="1" applyFill="1" applyBorder="1" applyAlignment="1">
      <alignment horizontal="right"/>
    </xf>
    <xf numFmtId="43" fontId="0" fillId="2" borderId="0" xfId="2" applyFont="1" applyFill="1" applyBorder="1" applyAlignment="1">
      <alignment horizontal="right"/>
    </xf>
    <xf numFmtId="0" fontId="0" fillId="0" borderId="0" xfId="0" applyAlignment="1">
      <alignment horizontal="left" vertical="top"/>
    </xf>
    <xf numFmtId="43" fontId="0" fillId="0" borderId="0" xfId="2" applyFont="1" applyFill="1" applyBorder="1" applyAlignment="1">
      <alignment horizontal="left" vertical="top"/>
    </xf>
    <xf numFmtId="166" fontId="0" fillId="0" borderId="0" xfId="2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5" fillId="0" borderId="0" xfId="0" applyFont="1"/>
    <xf numFmtId="2" fontId="0" fillId="2" borderId="0" xfId="2" applyNumberFormat="1" applyFont="1" applyFill="1" applyBorder="1" applyAlignment="1">
      <alignment horizontal="right"/>
    </xf>
  </cellXfs>
  <cellStyles count="4">
    <cellStyle name="Comma" xfId="2" builtinId="3"/>
    <cellStyle name="Ctx_Hyperlink" xfId="1"/>
    <cellStyle name="Normal" xfId="0" builtinId="0"/>
    <cellStyle name="Normal 4" xfId="3"/>
  </cellStyles>
  <dxfs count="68"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6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none">
          <fgColor indexed="64"/>
          <bgColor auto="1"/>
        </patternFill>
      </fill>
    </dxf>
    <dxf>
      <alignment horizontal="left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6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orkOrders2" displayName="WorkOrders2" ref="A1:V500" totalsRowShown="0" headerRowDxfId="67">
  <autoFilter ref="A1:V500">
    <filterColumn colId="3">
      <customFilters>
        <customFilter val="*Repair*"/>
      </customFilters>
    </filterColumn>
  </autoFilter>
  <sortState ref="A2:V500">
    <sortCondition ref="B1:B500"/>
  </sortState>
  <tableColumns count="22">
    <tableColumn id="1" name="WO"/>
    <tableColumn id="2" name="District"/>
    <tableColumn id="3" name="LeadTech"/>
    <tableColumn id="4" name="Service"/>
    <tableColumn id="5" name="Rush"/>
    <tableColumn id="6" name="ReqDate"/>
    <tableColumn id="7" name="WorkDate"/>
    <tableColumn id="9" name="Techs"/>
    <tableColumn id="10" name="WtyLbr"/>
    <tableColumn id="11" name="WtyParts"/>
    <tableColumn id="12" name="LbrHrs"/>
    <tableColumn id="15" name="PartsCost"/>
    <tableColumn id="19" name="Payment" dataDxfId="66"/>
    <tableColumn id="8" name="Wait" dataDxfId="65" dataCellStyle="Comma"/>
    <tableColumn id="22" name="LbrRate" dataDxfId="64">
      <calculatedColumnFormula array="1">INDEX(TechRate,MATCH(H2,TechNum,0))</calculatedColumnFormula>
    </tableColumn>
    <tableColumn id="13" name="LbrCost" dataDxfId="63">
      <calculatedColumnFormula>WorkOrders2[[#This Row],[Techs]]*(WorkOrders2[[#This Row],[PartsCost]]*WorkOrders2[[#This Row],[LbrHrs]])</calculatedColumnFormula>
    </tableColumn>
    <tableColumn id="14" name="LbrFee" dataDxfId="62">
      <calculatedColumnFormula>IF(I2="Yes",0,P2)</calculatedColumnFormula>
    </tableColumn>
    <tableColumn id="16" name="PartsFee" dataDxfId="61">
      <calculatedColumnFormula>IF(J2="Yes",0,L2)</calculatedColumnFormula>
    </tableColumn>
    <tableColumn id="17" name="TotalCost" dataDxfId="60">
      <calculatedColumnFormula>SUM(L2,P2)</calculatedColumnFormula>
    </tableColumn>
    <tableColumn id="18" name="TotalFee" dataDxfId="59">
      <calculatedColumnFormula>SUM(Q2,R2)</calculatedColumnFormula>
    </tableColumn>
    <tableColumn id="20" name="ReqDay" dataDxfId="58">
      <calculatedColumnFormula>TEXT(F2,"ddd")</calculatedColumnFormula>
    </tableColumn>
    <tableColumn id="21" name="WorkDay" dataDxfId="57">
      <calculatedColumnFormula>TEXT(G2,"ddd")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WorkOrders27" displayName="WorkOrders27" ref="A502:V1001" totalsRowShown="0" headerRowDxfId="56">
  <autoFilter ref="A502:V1001"/>
  <tableColumns count="22">
    <tableColumn id="1" name="WO"/>
    <tableColumn id="2" name="District"/>
    <tableColumn id="3" name="LeadTech"/>
    <tableColumn id="4" name="Service"/>
    <tableColumn id="5" name="Rush"/>
    <tableColumn id="6" name="ReqDate"/>
    <tableColumn id="7" name="WorkDate"/>
    <tableColumn id="9" name="Techs"/>
    <tableColumn id="10" name="WtyLbr"/>
    <tableColumn id="11" name="WtyParts"/>
    <tableColumn id="12" name="LbrHrs"/>
    <tableColumn id="15" name="PartsCost"/>
    <tableColumn id="19" name="Payment" dataDxfId="55"/>
    <tableColumn id="8" name="Wait" dataDxfId="22" dataCellStyle="Comma">
      <calculatedColumnFormula>POWER(SQRT(WorkOrders27[[#This Row],[WorkDate]]-WorkOrders27[[#This Row],[ReqDate]]),2)</calculatedColumnFormula>
    </tableColumn>
    <tableColumn id="22" name="LbrRate" dataDxfId="54">
      <calculatedColumnFormula array="1">INDEX(TechRate,MATCH(H503,TechNum,0))</calculatedColumnFormula>
    </tableColumn>
    <tableColumn id="13" name="LbrCost" dataDxfId="53">
      <calculatedColumnFormula>WorkOrders27[[#This Row],[Techs]]*(WorkOrders27[[#This Row],[PartsCost]]*WorkOrders27[[#This Row],[LbrHrs]])</calculatedColumnFormula>
    </tableColumn>
    <tableColumn id="14" name="LbrFee" dataDxfId="52">
      <calculatedColumnFormula>IF(I503="Yes",0,P503)</calculatedColumnFormula>
    </tableColumn>
    <tableColumn id="16" name="PartsFee" dataDxfId="51">
      <calculatedColumnFormula>IF(J503="Yes",0,L503)</calculatedColumnFormula>
    </tableColumn>
    <tableColumn id="17" name="TotalCost" dataDxfId="50">
      <calculatedColumnFormula>SUM(L503,P503)</calculatedColumnFormula>
    </tableColumn>
    <tableColumn id="18" name="TotalFee" dataDxfId="49">
      <calculatedColumnFormula>SUM(Q503,R503)</calculatedColumnFormula>
    </tableColumn>
    <tableColumn id="20" name="ReqDay" dataDxfId="48">
      <calculatedColumnFormula>TEXT(F503,"ddd")</calculatedColumnFormula>
    </tableColumn>
    <tableColumn id="21" name="WorkDay" dataDxfId="47">
      <calculatedColumnFormula>TEXT(G503,"ddd")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7" name="WorkOrders278" displayName="WorkOrders278" ref="A1003:V1502" totalsRowShown="0" headerRowDxfId="46">
  <autoFilter ref="A1003:V1502">
    <filterColumn colId="0">
      <filters>
        <filter val="A00100"/>
        <filter val="A00101"/>
        <filter val="A00102"/>
      </filters>
    </filterColumn>
  </autoFilter>
  <tableColumns count="22">
    <tableColumn id="1" name="WO"/>
    <tableColumn id="2" name="District"/>
    <tableColumn id="3" name="LeadTech"/>
    <tableColumn id="4" name="Service"/>
    <tableColumn id="5" name="Rush"/>
    <tableColumn id="6" name="ReqDate"/>
    <tableColumn id="7" name="WorkDate"/>
    <tableColumn id="9" name="Techs"/>
    <tableColumn id="10" name="WtyLbr"/>
    <tableColumn id="11" name="WtyParts"/>
    <tableColumn id="12" name="LbrHrs"/>
    <tableColumn id="15" name="PartsCost"/>
    <tableColumn id="19" name="Payment" dataDxfId="45"/>
    <tableColumn id="8" name="Wait" dataDxfId="44" dataCellStyle="Comma"/>
    <tableColumn id="22" name="LbrRate" dataDxfId="43">
      <calculatedColumnFormula array="1">INDEX(TechRate,MATCH(H1004,TechNum,0))</calculatedColumnFormula>
    </tableColumn>
    <tableColumn id="13" name="LbrCost" dataDxfId="42">
      <calculatedColumnFormula>WorkOrders278[[#This Row],[Techs]]*(WorkOrders278[[#This Row],[PartsCost]]*WorkOrders278[[#This Row],[LbrHrs]])</calculatedColumnFormula>
    </tableColumn>
    <tableColumn id="14" name="LbrFee" dataDxfId="41">
      <calculatedColumnFormula>IF(I1004="Yes",0,P1004)</calculatedColumnFormula>
    </tableColumn>
    <tableColumn id="16" name="PartsFee" dataDxfId="40">
      <calculatedColumnFormula>IF(J1004="Yes",0,L1004)</calculatedColumnFormula>
    </tableColumn>
    <tableColumn id="17" name="TotalCost" dataDxfId="39">
      <calculatedColumnFormula>SUM(L1004,P1004)</calculatedColumnFormula>
    </tableColumn>
    <tableColumn id="18" name="TotalFee" dataDxfId="38">
      <calculatedColumnFormula>SUM(Q1004,R1004)</calculatedColumnFormula>
    </tableColumn>
    <tableColumn id="20" name="ReqDay" dataDxfId="37">
      <calculatedColumnFormula>TEXT(F1004,"ddd")</calculatedColumnFormula>
    </tableColumn>
    <tableColumn id="21" name="WorkDay" dataDxfId="36">
      <calculatedColumnFormula>TEXT(G1004,"ddd")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8" name="WorkOrders279" displayName="WorkOrders279" ref="A1504:V2003" totalsRowShown="0" headerRowDxfId="21">
  <autoFilter ref="A1504:V2003">
    <filterColumn colId="0">
      <filters>
        <filter val="A00100"/>
        <filter val="A00101"/>
        <filter val="A00102"/>
        <filter val="A00103"/>
        <filter val="A00104"/>
      </filters>
    </filterColumn>
  </autoFilter>
  <tableColumns count="22">
    <tableColumn id="1" name="WO"/>
    <tableColumn id="2" name="District"/>
    <tableColumn id="3" name="LeadTech"/>
    <tableColumn id="4" name="Service"/>
    <tableColumn id="5" name="Rush"/>
    <tableColumn id="6" name="ReqDate"/>
    <tableColumn id="7" name="WorkDate"/>
    <tableColumn id="9" name="Techs"/>
    <tableColumn id="10" name="WtyLbr"/>
    <tableColumn id="11" name="WtyParts"/>
    <tableColumn id="12" name="LbrHrs"/>
    <tableColumn id="15" name="PartsCost"/>
    <tableColumn id="19" name="Payment" dataDxfId="20"/>
    <tableColumn id="8" name="Wait" dataDxfId="19" dataCellStyle="Comma">
      <calculatedColumnFormula>POWER(SQRT(WorkOrders279[[#This Row],[WorkDate]]-WorkOrders279[[#This Row],[ReqDate]]),2)</calculatedColumnFormula>
    </tableColumn>
    <tableColumn id="22" name="LbrRate" dataDxfId="18">
      <calculatedColumnFormula array="1">INDEX(TechRate,MATCH(H1505,TechNum,0))</calculatedColumnFormula>
    </tableColumn>
    <tableColumn id="13" name="LbrCost" dataDxfId="17">
      <calculatedColumnFormula>WorkOrders279[[#This Row],[Techs]]*(WorkOrders279[[#This Row],[PartsCost]]*WorkOrders279[[#This Row],[LbrHrs]])</calculatedColumnFormula>
    </tableColumn>
    <tableColumn id="14" name="LbrFee" dataDxfId="16">
      <calculatedColumnFormula>IF(I1505="Yes",0,P1505)</calculatedColumnFormula>
    </tableColumn>
    <tableColumn id="16" name="PartsFee" dataDxfId="15">
      <calculatedColumnFormula>IF(J1505="Yes",0,L1505)</calculatedColumnFormula>
    </tableColumn>
    <tableColumn id="17" name="TotalCost" dataDxfId="14">
      <calculatedColumnFormula>SUM(L1505,P1505)</calculatedColumnFormula>
    </tableColumn>
    <tableColumn id="18" name="TotalFee" dataDxfId="13">
      <calculatedColumnFormula>SUM(Q1505,R1505)</calculatedColumnFormula>
    </tableColumn>
    <tableColumn id="20" name="ReqDay" dataDxfId="12">
      <calculatedColumnFormula>TEXT(F1505,"ddd")</calculatedColumnFormula>
    </tableColumn>
    <tableColumn id="21" name="WorkDay" dataDxfId="11">
      <calculatedColumnFormula>TEXT(G1505,"ddd")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9" name="WorkOrders2710" displayName="WorkOrders2710" ref="A2008:V2507" totalsRowShown="0" headerRowDxfId="10">
  <autoFilter ref="A2008:V2507">
    <filterColumn colId="18">
      <filters>
        <filter val="0.91"/>
        <filter val="86,555.00"/>
      </filters>
    </filterColumn>
  </autoFilter>
  <tableColumns count="22">
    <tableColumn id="1" name="WO"/>
    <tableColumn id="2" name="District"/>
    <tableColumn id="3" name="LeadTech"/>
    <tableColumn id="4" name="Service"/>
    <tableColumn id="5" name="Rush"/>
    <tableColumn id="6" name="ReqDate"/>
    <tableColumn id="7" name="WorkDate"/>
    <tableColumn id="9" name="Techs"/>
    <tableColumn id="10" name="WtyLbr"/>
    <tableColumn id="11" name="WtyParts"/>
    <tableColumn id="12" name="LbrHrs"/>
    <tableColumn id="15" name="PartsCost"/>
    <tableColumn id="19" name="Payment" dataDxfId="9"/>
    <tableColumn id="8" name="Wait" dataDxfId="8" dataCellStyle="Comma">
      <calculatedColumnFormula>POWER(SQRT(WorkOrders2710[[#This Row],[WorkDate]]-WorkOrders2710[[#This Row],[ReqDate]]),2)</calculatedColumnFormula>
    </tableColumn>
    <tableColumn id="22" name="LbrRate" dataDxfId="7">
      <calculatedColumnFormula array="1">INDEX(TechRate,MATCH(H2009,TechNum,0))</calculatedColumnFormula>
    </tableColumn>
    <tableColumn id="13" name="LbrCost" dataDxfId="6">
      <calculatedColumnFormula>WorkOrders2710[[#This Row],[Techs]]*(WorkOrders2710[[#This Row],[PartsCost]]*WorkOrders2710[[#This Row],[LbrHrs]])</calculatedColumnFormula>
    </tableColumn>
    <tableColumn id="14" name="LbrFee" dataDxfId="5">
      <calculatedColumnFormula>IF(I2009="Yes",0,P2009)</calculatedColumnFormula>
    </tableColumn>
    <tableColumn id="16" name="PartsFee" dataDxfId="4">
      <calculatedColumnFormula>IF(J2009="Yes",0,L2009)</calculatedColumnFormula>
    </tableColumn>
    <tableColumn id="17" name="TotalCost" dataDxfId="3">
      <calculatedColumnFormula>SUM(L2009,P2009)</calculatedColumnFormula>
    </tableColumn>
    <tableColumn id="18" name="TotalFee" dataDxfId="2">
      <calculatedColumnFormula>SUM(Q2009,R2009)</calculatedColumnFormula>
    </tableColumn>
    <tableColumn id="20" name="ReqDay" dataDxfId="1">
      <calculatedColumnFormula>TEXT(F2009,"ddd")</calculatedColumnFormula>
    </tableColumn>
    <tableColumn id="21" name="WorkDay" dataDxfId="0">
      <calculatedColumnFormula>TEXT(G2009,"ddd")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2" name="tblTech" displayName="tblTech" ref="G1:G7" totalsRowShown="0" headerRowDxfId="35" dataDxfId="34">
  <autoFilter ref="G1:G7"/>
  <tableColumns count="1">
    <tableColumn id="1" name="LeadTech" dataDxfId="3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3" name="tblServ" displayName="tblServ" ref="I1:I6" totalsRowShown="0" headerRowDxfId="32" dataDxfId="31">
  <autoFilter ref="I1:I6"/>
  <tableColumns count="1">
    <tableColumn id="1" name="Service" dataDxfId="30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id="4" name="tblPmt" displayName="tblPmt" ref="E1:E6" totalsRowShown="0" headerRowDxfId="29" dataDxfId="28">
  <autoFilter ref="E1:E6"/>
  <tableColumns count="1">
    <tableColumn id="1" name="Payment" dataDxfId="27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id="5" name="tblRates" displayName="tblRates" ref="B1:C4" totalsRowShown="0" headerRowDxfId="26" dataDxfId="25">
  <autoFilter ref="B1:C4"/>
  <tableColumns count="2">
    <tableColumn id="1" name="Techs" dataDxfId="24"/>
    <tableColumn id="2" name="LbrRate" dataDxfId="2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2507"/>
  <sheetViews>
    <sheetView tabSelected="1" zoomScale="77" zoomScaleNormal="77" workbookViewId="0">
      <pane ySplit="1" topLeftCell="A940" activePane="bottomLeft" state="frozen"/>
      <selection pane="bottomLeft" activeCell="L2520" sqref="L2520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12.42578125" bestFit="1" customWidth="1"/>
    <col min="4" max="4" width="10.5703125" bestFit="1" customWidth="1"/>
    <col min="5" max="5" width="8.28515625" bestFit="1" customWidth="1"/>
    <col min="6" max="6" width="11.7109375" bestFit="1" customWidth="1"/>
    <col min="7" max="7" width="13" bestFit="1" customWidth="1"/>
    <col min="8" max="8" width="9" bestFit="1" customWidth="1"/>
    <col min="9" max="9" width="10.5703125" bestFit="1" customWidth="1"/>
    <col min="10" max="10" width="12" bestFit="1" customWidth="1"/>
    <col min="11" max="11" width="10.85546875" bestFit="1" customWidth="1"/>
    <col min="12" max="12" width="13.28515625" bestFit="1" customWidth="1"/>
    <col min="13" max="13" width="11.85546875" bestFit="1" customWidth="1"/>
    <col min="14" max="14" width="13.5703125" customWidth="1"/>
    <col min="15" max="15" width="10.85546875" bestFit="1" customWidth="1"/>
    <col min="16" max="16" width="11.85546875" bestFit="1" customWidth="1"/>
    <col min="17" max="17" width="11.28515625" bestFit="1" customWidth="1"/>
    <col min="18" max="18" width="12.7109375" bestFit="1" customWidth="1"/>
    <col min="19" max="19" width="13.28515625" bestFit="1" customWidth="1"/>
    <col min="20" max="20" width="12.7109375" bestFit="1" customWidth="1"/>
    <col min="21" max="21" width="10.7109375" bestFit="1" customWidth="1"/>
    <col min="22" max="22" width="12" bestFit="1" customWidth="1"/>
  </cols>
  <sheetData>
    <row r="1" spans="1:22" s="1" customFormat="1" x14ac:dyDescent="0.25">
      <c r="A1" s="11" t="s">
        <v>5</v>
      </c>
      <c r="B1" s="11" t="s">
        <v>24</v>
      </c>
      <c r="C1" s="11" t="s">
        <v>10</v>
      </c>
      <c r="D1" s="11" t="s">
        <v>0</v>
      </c>
      <c r="E1" s="11" t="s">
        <v>23</v>
      </c>
      <c r="F1" s="11" t="s">
        <v>14</v>
      </c>
      <c r="G1" s="11" t="s">
        <v>15</v>
      </c>
      <c r="H1" s="11" t="s">
        <v>4</v>
      </c>
      <c r="I1" s="11" t="s">
        <v>25</v>
      </c>
      <c r="J1" s="11" t="s">
        <v>26</v>
      </c>
      <c r="K1" s="12" t="s">
        <v>27</v>
      </c>
      <c r="L1" s="12" t="s">
        <v>28</v>
      </c>
      <c r="M1" s="11" t="s">
        <v>16</v>
      </c>
      <c r="N1" s="13" t="s">
        <v>22</v>
      </c>
      <c r="O1" s="11" t="s">
        <v>546</v>
      </c>
      <c r="P1" s="12" t="s">
        <v>29</v>
      </c>
      <c r="Q1" s="12" t="s">
        <v>30</v>
      </c>
      <c r="R1" s="12" t="s">
        <v>31</v>
      </c>
      <c r="S1" s="12" t="s">
        <v>32</v>
      </c>
      <c r="T1" s="12" t="s">
        <v>33</v>
      </c>
      <c r="U1" s="1" t="s">
        <v>45</v>
      </c>
      <c r="V1" s="1" t="s">
        <v>46</v>
      </c>
    </row>
    <row r="2" spans="1:22" hidden="1" x14ac:dyDescent="0.25">
      <c r="A2" t="s">
        <v>49</v>
      </c>
      <c r="B2" t="s">
        <v>34</v>
      </c>
      <c r="C2" t="s">
        <v>44</v>
      </c>
      <c r="D2" t="s">
        <v>11</v>
      </c>
      <c r="F2" s="5">
        <v>44075</v>
      </c>
      <c r="G2" s="5">
        <v>44091</v>
      </c>
      <c r="H2" s="2">
        <v>1</v>
      </c>
      <c r="I2" s="6"/>
      <c r="J2" s="6"/>
      <c r="K2" s="7">
        <v>0.25</v>
      </c>
      <c r="L2" s="7">
        <v>120</v>
      </c>
      <c r="M2" t="s">
        <v>19</v>
      </c>
      <c r="N2" s="9"/>
      <c r="O2" s="8">
        <f t="array" ref="O2">INDEX(TechRate,MATCH(H2,TechNum,0))</f>
        <v>80</v>
      </c>
      <c r="P2" s="10">
        <f>WorkOrders2[[#This Row],[Techs]]*(WorkOrders2[[#This Row],[PartsCost]]*WorkOrders2[[#This Row],[LbrHrs]])</f>
        <v>30</v>
      </c>
      <c r="Q2" s="10">
        <f t="shared" ref="Q2:Q65" si="0">IF(I2="Yes",0,P2)</f>
        <v>30</v>
      </c>
      <c r="R2" s="10">
        <f t="shared" ref="R2:R65" si="1">IF(J2="Yes",0,L2)</f>
        <v>120</v>
      </c>
      <c r="S2" s="10">
        <f t="shared" ref="S2:S65" si="2">SUM(L2,P2)</f>
        <v>150</v>
      </c>
      <c r="T2" s="10">
        <f t="shared" ref="T2:T65" si="3">SUM(Q2,R2)</f>
        <v>150</v>
      </c>
      <c r="U2" s="8" t="str">
        <f t="shared" ref="U2:U65" si="4">TEXT(F2,"ddd")</f>
        <v>Tue</v>
      </c>
      <c r="V2" s="8" t="str">
        <f t="shared" ref="V2:V65" si="5">TEXT(G2,"ddd")</f>
        <v>Thu</v>
      </c>
    </row>
    <row r="3" spans="1:22" hidden="1" x14ac:dyDescent="0.25">
      <c r="A3" t="s">
        <v>53</v>
      </c>
      <c r="B3" t="s">
        <v>34</v>
      </c>
      <c r="C3" t="s">
        <v>44</v>
      </c>
      <c r="D3" t="s">
        <v>12</v>
      </c>
      <c r="F3" s="5">
        <v>44076</v>
      </c>
      <c r="G3" s="5">
        <v>44090</v>
      </c>
      <c r="H3" s="2">
        <v>2</v>
      </c>
      <c r="I3" s="6"/>
      <c r="J3" s="6"/>
      <c r="K3" s="7">
        <v>0.25</v>
      </c>
      <c r="L3" s="7">
        <v>29.13</v>
      </c>
      <c r="M3" t="s">
        <v>17</v>
      </c>
      <c r="N3" s="9"/>
      <c r="O3" s="8">
        <f t="array" ref="O3">INDEX(TechRate,MATCH(H3,TechNum,0))</f>
        <v>140</v>
      </c>
      <c r="P3" s="10">
        <f>WorkOrders2[[#This Row],[Techs]]*(WorkOrders2[[#This Row],[PartsCost]]*WorkOrders2[[#This Row],[LbrHrs]])</f>
        <v>14.565</v>
      </c>
      <c r="Q3" s="10">
        <f t="shared" si="0"/>
        <v>14.565</v>
      </c>
      <c r="R3" s="10">
        <f t="shared" si="1"/>
        <v>29.13</v>
      </c>
      <c r="S3" s="10">
        <f t="shared" si="2"/>
        <v>43.695</v>
      </c>
      <c r="T3" s="10">
        <f t="shared" si="3"/>
        <v>43.695</v>
      </c>
      <c r="U3" s="8" t="str">
        <f t="shared" si="4"/>
        <v>Wed</v>
      </c>
      <c r="V3" s="8" t="str">
        <f t="shared" si="5"/>
        <v>Wed</v>
      </c>
    </row>
    <row r="4" spans="1:22" x14ac:dyDescent="0.25">
      <c r="A4" t="s">
        <v>56</v>
      </c>
      <c r="B4" t="s">
        <v>34</v>
      </c>
      <c r="C4" t="s">
        <v>8</v>
      </c>
      <c r="D4" t="s">
        <v>2</v>
      </c>
      <c r="E4" t="s">
        <v>3</v>
      </c>
      <c r="F4" s="5">
        <v>44076</v>
      </c>
      <c r="G4" s="5">
        <v>44110</v>
      </c>
      <c r="H4" s="2">
        <v>1</v>
      </c>
      <c r="I4" s="6"/>
      <c r="J4" s="6"/>
      <c r="K4" s="7">
        <v>1.5</v>
      </c>
      <c r="L4" s="7">
        <v>374.07940000000002</v>
      </c>
      <c r="M4" t="s">
        <v>18</v>
      </c>
      <c r="N4" s="9"/>
      <c r="O4" s="8">
        <f t="array" ref="O4">INDEX(TechRate,MATCH(H4,TechNum,0))</f>
        <v>80</v>
      </c>
      <c r="P4" s="10">
        <f>WorkOrders2[[#This Row],[Techs]]*(WorkOrders2[[#This Row],[PartsCost]]*WorkOrders2[[#This Row],[LbrHrs]])</f>
        <v>561.1191</v>
      </c>
      <c r="Q4" s="10">
        <f t="shared" si="0"/>
        <v>561.1191</v>
      </c>
      <c r="R4" s="10">
        <f t="shared" si="1"/>
        <v>374.07940000000002</v>
      </c>
      <c r="S4" s="10">
        <f t="shared" si="2"/>
        <v>935.19849999999997</v>
      </c>
      <c r="T4" s="10">
        <f t="shared" si="3"/>
        <v>935.19849999999997</v>
      </c>
      <c r="U4" s="8" t="str">
        <f t="shared" si="4"/>
        <v>Wed</v>
      </c>
      <c r="V4" s="8" t="str">
        <f t="shared" si="5"/>
        <v>Tue</v>
      </c>
    </row>
    <row r="5" spans="1:22" hidden="1" x14ac:dyDescent="0.25">
      <c r="A5" t="s">
        <v>60</v>
      </c>
      <c r="B5" t="s">
        <v>34</v>
      </c>
      <c r="C5" t="s">
        <v>6</v>
      </c>
      <c r="D5" t="s">
        <v>12</v>
      </c>
      <c r="F5" s="5">
        <v>44078</v>
      </c>
      <c r="G5" s="5">
        <v>44128</v>
      </c>
      <c r="H5" s="2">
        <v>2</v>
      </c>
      <c r="I5" s="6"/>
      <c r="J5" s="6"/>
      <c r="K5" s="7">
        <v>1.5</v>
      </c>
      <c r="L5" s="7">
        <v>275</v>
      </c>
      <c r="M5" t="s">
        <v>18</v>
      </c>
      <c r="N5" s="9"/>
      <c r="O5" s="8">
        <f t="array" ref="O5">INDEX(TechRate,MATCH(H5,TechNum,0))</f>
        <v>140</v>
      </c>
      <c r="P5" s="10">
        <f>WorkOrders2[[#This Row],[Techs]]*(WorkOrders2[[#This Row],[PartsCost]]*WorkOrders2[[#This Row],[LbrHrs]])</f>
        <v>825</v>
      </c>
      <c r="Q5" s="10">
        <f t="shared" si="0"/>
        <v>825</v>
      </c>
      <c r="R5" s="10">
        <f t="shared" si="1"/>
        <v>275</v>
      </c>
      <c r="S5" s="10">
        <f t="shared" si="2"/>
        <v>1100</v>
      </c>
      <c r="T5" s="10">
        <f t="shared" si="3"/>
        <v>1100</v>
      </c>
      <c r="U5" s="8" t="str">
        <f t="shared" si="4"/>
        <v>Fri</v>
      </c>
      <c r="V5" s="8" t="str">
        <f t="shared" si="5"/>
        <v>Sat</v>
      </c>
    </row>
    <row r="6" spans="1:22" x14ac:dyDescent="0.25">
      <c r="A6" t="s">
        <v>67</v>
      </c>
      <c r="B6" t="s">
        <v>34</v>
      </c>
      <c r="C6" t="s">
        <v>44</v>
      </c>
      <c r="D6" t="s">
        <v>2</v>
      </c>
      <c r="F6" s="5">
        <v>44082</v>
      </c>
      <c r="G6" s="5">
        <v>44095</v>
      </c>
      <c r="H6" s="2">
        <v>1</v>
      </c>
      <c r="I6" s="6"/>
      <c r="J6" s="6"/>
      <c r="K6" s="7">
        <v>1.75</v>
      </c>
      <c r="L6" s="7">
        <v>475</v>
      </c>
      <c r="M6" t="s">
        <v>17</v>
      </c>
      <c r="N6" s="9"/>
      <c r="O6" s="8">
        <f t="array" ref="O6">INDEX(TechRate,MATCH(H6,TechNum,0))</f>
        <v>80</v>
      </c>
      <c r="P6" s="10">
        <f>WorkOrders2[[#This Row],[Techs]]*(WorkOrders2[[#This Row],[PartsCost]]*WorkOrders2[[#This Row],[LbrHrs]])</f>
        <v>831.25</v>
      </c>
      <c r="Q6" s="10">
        <f t="shared" si="0"/>
        <v>831.25</v>
      </c>
      <c r="R6" s="10">
        <f t="shared" si="1"/>
        <v>475</v>
      </c>
      <c r="S6" s="10">
        <f t="shared" si="2"/>
        <v>1306.25</v>
      </c>
      <c r="T6" s="10">
        <f t="shared" si="3"/>
        <v>1306.25</v>
      </c>
      <c r="U6" s="8" t="str">
        <f t="shared" si="4"/>
        <v>Tue</v>
      </c>
      <c r="V6" s="8" t="str">
        <f t="shared" si="5"/>
        <v>Mon</v>
      </c>
    </row>
    <row r="7" spans="1:22" hidden="1" x14ac:dyDescent="0.25">
      <c r="A7" t="s">
        <v>94</v>
      </c>
      <c r="B7" t="s">
        <v>34</v>
      </c>
      <c r="C7" t="s">
        <v>44</v>
      </c>
      <c r="D7" t="s">
        <v>12</v>
      </c>
      <c r="F7" s="5">
        <v>44091</v>
      </c>
      <c r="G7" s="5">
        <v>44116</v>
      </c>
      <c r="H7" s="2">
        <v>2</v>
      </c>
      <c r="I7" s="6"/>
      <c r="J7" s="6"/>
      <c r="K7" s="7">
        <v>0.75</v>
      </c>
      <c r="L7" s="7">
        <v>40</v>
      </c>
      <c r="M7" t="s">
        <v>18</v>
      </c>
      <c r="N7" s="9"/>
      <c r="O7" s="8">
        <f t="array" ref="O7">INDEX(TechRate,MATCH(H7,TechNum,0))</f>
        <v>140</v>
      </c>
      <c r="P7" s="10">
        <f>WorkOrders2[[#This Row],[Techs]]*(WorkOrders2[[#This Row],[PartsCost]]*WorkOrders2[[#This Row],[LbrHrs]])</f>
        <v>60</v>
      </c>
      <c r="Q7" s="10">
        <f t="shared" si="0"/>
        <v>60</v>
      </c>
      <c r="R7" s="10">
        <f t="shared" si="1"/>
        <v>40</v>
      </c>
      <c r="S7" s="10">
        <f t="shared" si="2"/>
        <v>100</v>
      </c>
      <c r="T7" s="10">
        <f t="shared" si="3"/>
        <v>100</v>
      </c>
      <c r="U7" s="8" t="str">
        <f t="shared" si="4"/>
        <v>Thu</v>
      </c>
      <c r="V7" s="8" t="str">
        <f t="shared" si="5"/>
        <v>Mon</v>
      </c>
    </row>
    <row r="8" spans="1:22" hidden="1" x14ac:dyDescent="0.25">
      <c r="A8" t="s">
        <v>103</v>
      </c>
      <c r="B8" t="s">
        <v>34</v>
      </c>
      <c r="C8" t="s">
        <v>44</v>
      </c>
      <c r="D8" t="s">
        <v>13</v>
      </c>
      <c r="F8" s="5">
        <v>44097</v>
      </c>
      <c r="G8" s="5">
        <v>44128</v>
      </c>
      <c r="H8" s="2">
        <v>1</v>
      </c>
      <c r="I8" s="6"/>
      <c r="J8" s="6"/>
      <c r="K8" s="7">
        <v>0.5</v>
      </c>
      <c r="L8" s="7">
        <v>193.88310000000001</v>
      </c>
      <c r="M8" t="s">
        <v>17</v>
      </c>
      <c r="N8" s="9"/>
      <c r="O8" s="8">
        <f t="array" ref="O8">INDEX(TechRate,MATCH(H8,TechNum,0))</f>
        <v>80</v>
      </c>
      <c r="P8" s="10">
        <f>WorkOrders2[[#This Row],[Techs]]*(WorkOrders2[[#This Row],[PartsCost]]*WorkOrders2[[#This Row],[LbrHrs]])</f>
        <v>96.941550000000007</v>
      </c>
      <c r="Q8" s="10">
        <f t="shared" si="0"/>
        <v>96.941550000000007</v>
      </c>
      <c r="R8" s="10">
        <f t="shared" si="1"/>
        <v>193.88310000000001</v>
      </c>
      <c r="S8" s="10">
        <f t="shared" si="2"/>
        <v>290.82465000000002</v>
      </c>
      <c r="T8" s="10">
        <f t="shared" si="3"/>
        <v>290.82465000000002</v>
      </c>
      <c r="U8" s="8" t="str">
        <f t="shared" si="4"/>
        <v>Wed</v>
      </c>
      <c r="V8" s="8" t="str">
        <f t="shared" si="5"/>
        <v>Sat</v>
      </c>
    </row>
    <row r="9" spans="1:22" hidden="1" x14ac:dyDescent="0.25">
      <c r="A9" t="s">
        <v>105</v>
      </c>
      <c r="B9" t="s">
        <v>34</v>
      </c>
      <c r="C9" t="s">
        <v>6</v>
      </c>
      <c r="D9" t="s">
        <v>12</v>
      </c>
      <c r="F9" s="5">
        <v>44098</v>
      </c>
      <c r="G9" s="5">
        <v>44109</v>
      </c>
      <c r="H9" s="2">
        <v>2</v>
      </c>
      <c r="I9" s="6"/>
      <c r="J9" s="6"/>
      <c r="K9" s="7">
        <v>0.75</v>
      </c>
      <c r="L9" s="7">
        <v>664.78880000000004</v>
      </c>
      <c r="M9" t="s">
        <v>17</v>
      </c>
      <c r="N9" s="9"/>
      <c r="O9" s="8">
        <f t="array" ref="O9">INDEX(TechRate,MATCH(H9,TechNum,0))</f>
        <v>140</v>
      </c>
      <c r="P9" s="10">
        <f>WorkOrders2[[#This Row],[Techs]]*(WorkOrders2[[#This Row],[PartsCost]]*WorkOrders2[[#This Row],[LbrHrs]])</f>
        <v>997.18320000000006</v>
      </c>
      <c r="Q9" s="10">
        <f t="shared" si="0"/>
        <v>997.18320000000006</v>
      </c>
      <c r="R9" s="10">
        <f t="shared" si="1"/>
        <v>664.78880000000004</v>
      </c>
      <c r="S9" s="10">
        <f t="shared" si="2"/>
        <v>1661.9720000000002</v>
      </c>
      <c r="T9" s="10">
        <f t="shared" si="3"/>
        <v>1661.9720000000002</v>
      </c>
      <c r="U9" s="8" t="str">
        <f t="shared" si="4"/>
        <v>Thu</v>
      </c>
      <c r="V9" s="8" t="str">
        <f t="shared" si="5"/>
        <v>Mon</v>
      </c>
    </row>
    <row r="10" spans="1:22" hidden="1" x14ac:dyDescent="0.25">
      <c r="A10" t="s">
        <v>111</v>
      </c>
      <c r="B10" t="s">
        <v>34</v>
      </c>
      <c r="C10" t="s">
        <v>6</v>
      </c>
      <c r="D10" t="s">
        <v>13</v>
      </c>
      <c r="F10" s="5">
        <v>44102</v>
      </c>
      <c r="G10" s="5">
        <v>44131</v>
      </c>
      <c r="H10" s="2">
        <v>2</v>
      </c>
      <c r="I10" s="6"/>
      <c r="J10" s="6"/>
      <c r="K10" s="7">
        <v>0.75</v>
      </c>
      <c r="L10" s="7">
        <v>1.8240000000000001</v>
      </c>
      <c r="M10" t="s">
        <v>18</v>
      </c>
      <c r="N10" s="9"/>
      <c r="O10" s="8">
        <f t="array" ref="O10">INDEX(TechRate,MATCH(H10,TechNum,0))</f>
        <v>140</v>
      </c>
      <c r="P10" s="10">
        <f>WorkOrders2[[#This Row],[Techs]]*(WorkOrders2[[#This Row],[PartsCost]]*WorkOrders2[[#This Row],[LbrHrs]])</f>
        <v>2.7360000000000002</v>
      </c>
      <c r="Q10" s="10">
        <f t="shared" si="0"/>
        <v>2.7360000000000002</v>
      </c>
      <c r="R10" s="10">
        <f t="shared" si="1"/>
        <v>1.8240000000000001</v>
      </c>
      <c r="S10" s="10">
        <f t="shared" si="2"/>
        <v>4.5600000000000005</v>
      </c>
      <c r="T10" s="10">
        <f t="shared" si="3"/>
        <v>4.5600000000000005</v>
      </c>
      <c r="U10" s="8" t="str">
        <f t="shared" si="4"/>
        <v>Mon</v>
      </c>
      <c r="V10" s="8" t="str">
        <f t="shared" si="5"/>
        <v>Tue</v>
      </c>
    </row>
    <row r="11" spans="1:22" x14ac:dyDescent="0.25">
      <c r="A11" t="s">
        <v>116</v>
      </c>
      <c r="B11" t="s">
        <v>34</v>
      </c>
      <c r="C11" t="s">
        <v>9</v>
      </c>
      <c r="D11" t="s">
        <v>2</v>
      </c>
      <c r="F11" s="5">
        <v>44103</v>
      </c>
      <c r="G11" s="5">
        <v>44159</v>
      </c>
      <c r="H11" s="2">
        <v>1</v>
      </c>
      <c r="I11" s="6"/>
      <c r="J11" s="6"/>
      <c r="K11" s="7">
        <v>1</v>
      </c>
      <c r="L11" s="7">
        <v>122.4273</v>
      </c>
      <c r="M11" t="s">
        <v>18</v>
      </c>
      <c r="N11" s="9"/>
      <c r="O11" s="8">
        <f t="array" ref="O11">INDEX(TechRate,MATCH(H11,TechNum,0))</f>
        <v>80</v>
      </c>
      <c r="P11" s="10">
        <f>WorkOrders2[[#This Row],[Techs]]*(WorkOrders2[[#This Row],[PartsCost]]*WorkOrders2[[#This Row],[LbrHrs]])</f>
        <v>122.4273</v>
      </c>
      <c r="Q11" s="10">
        <f t="shared" si="0"/>
        <v>122.4273</v>
      </c>
      <c r="R11" s="10">
        <f t="shared" si="1"/>
        <v>122.4273</v>
      </c>
      <c r="S11" s="10">
        <f t="shared" si="2"/>
        <v>244.8546</v>
      </c>
      <c r="T11" s="10">
        <f t="shared" si="3"/>
        <v>244.8546</v>
      </c>
      <c r="U11" s="8" t="str">
        <f t="shared" si="4"/>
        <v>Tue</v>
      </c>
      <c r="V11" s="8" t="str">
        <f t="shared" si="5"/>
        <v>Tue</v>
      </c>
    </row>
    <row r="12" spans="1:22" hidden="1" x14ac:dyDescent="0.25">
      <c r="A12" t="s">
        <v>119</v>
      </c>
      <c r="B12" t="s">
        <v>34</v>
      </c>
      <c r="C12" t="s">
        <v>44</v>
      </c>
      <c r="D12" t="s">
        <v>13</v>
      </c>
      <c r="F12" s="5">
        <v>44104</v>
      </c>
      <c r="G12" s="5">
        <v>44123</v>
      </c>
      <c r="H12" s="2">
        <v>1</v>
      </c>
      <c r="I12" s="6"/>
      <c r="J12" s="6"/>
      <c r="K12" s="7">
        <v>0.5</v>
      </c>
      <c r="L12" s="7">
        <v>61.180599999999998</v>
      </c>
      <c r="M12" t="s">
        <v>18</v>
      </c>
      <c r="N12" s="9"/>
      <c r="O12" s="8">
        <f t="array" ref="O12">INDEX(TechRate,MATCH(H12,TechNum,0))</f>
        <v>80</v>
      </c>
      <c r="P12" s="10">
        <f>WorkOrders2[[#This Row],[Techs]]*(WorkOrders2[[#This Row],[PartsCost]]*WorkOrders2[[#This Row],[LbrHrs]])</f>
        <v>30.590299999999999</v>
      </c>
      <c r="Q12" s="10">
        <f t="shared" si="0"/>
        <v>30.590299999999999</v>
      </c>
      <c r="R12" s="10">
        <f t="shared" si="1"/>
        <v>61.180599999999998</v>
      </c>
      <c r="S12" s="10">
        <f t="shared" si="2"/>
        <v>91.770899999999997</v>
      </c>
      <c r="T12" s="10">
        <f t="shared" si="3"/>
        <v>91.770899999999997</v>
      </c>
      <c r="U12" s="8" t="str">
        <f t="shared" si="4"/>
        <v>Wed</v>
      </c>
      <c r="V12" s="8" t="str">
        <f t="shared" si="5"/>
        <v>Mon</v>
      </c>
    </row>
    <row r="13" spans="1:22" hidden="1" x14ac:dyDescent="0.25">
      <c r="A13" t="s">
        <v>125</v>
      </c>
      <c r="B13" t="s">
        <v>34</v>
      </c>
      <c r="C13" t="s">
        <v>44</v>
      </c>
      <c r="D13" t="s">
        <v>12</v>
      </c>
      <c r="F13" s="5">
        <v>44109</v>
      </c>
      <c r="G13" s="5">
        <v>44128</v>
      </c>
      <c r="H13" s="2">
        <v>1</v>
      </c>
      <c r="I13" s="6"/>
      <c r="J13" s="6"/>
      <c r="K13" s="7">
        <v>0.5</v>
      </c>
      <c r="L13" s="7">
        <v>288.20800000000003</v>
      </c>
      <c r="M13" t="s">
        <v>18</v>
      </c>
      <c r="N13" s="9"/>
      <c r="O13" s="8">
        <f t="array" ref="O13">INDEX(TechRate,MATCH(H13,TechNum,0))</f>
        <v>80</v>
      </c>
      <c r="P13" s="10">
        <f>WorkOrders2[[#This Row],[Techs]]*(WorkOrders2[[#This Row],[PartsCost]]*WorkOrders2[[#This Row],[LbrHrs]])</f>
        <v>144.10400000000001</v>
      </c>
      <c r="Q13" s="10">
        <f t="shared" si="0"/>
        <v>144.10400000000001</v>
      </c>
      <c r="R13" s="10">
        <f t="shared" si="1"/>
        <v>288.20800000000003</v>
      </c>
      <c r="S13" s="10">
        <f t="shared" si="2"/>
        <v>432.31200000000001</v>
      </c>
      <c r="T13" s="10">
        <f t="shared" si="3"/>
        <v>432.31200000000001</v>
      </c>
      <c r="U13" s="8" t="str">
        <f t="shared" si="4"/>
        <v>Mon</v>
      </c>
      <c r="V13" s="8" t="str">
        <f t="shared" si="5"/>
        <v>Sat</v>
      </c>
    </row>
    <row r="14" spans="1:22" hidden="1" x14ac:dyDescent="0.25">
      <c r="A14" t="s">
        <v>129</v>
      </c>
      <c r="B14" t="s">
        <v>34</v>
      </c>
      <c r="C14" t="s">
        <v>9</v>
      </c>
      <c r="D14" t="s">
        <v>11</v>
      </c>
      <c r="F14" s="5">
        <v>44110</v>
      </c>
      <c r="G14" s="5">
        <v>44130</v>
      </c>
      <c r="H14" s="2">
        <v>1</v>
      </c>
      <c r="I14" s="6"/>
      <c r="J14" s="6"/>
      <c r="K14" s="7">
        <v>0.25</v>
      </c>
      <c r="L14" s="7">
        <v>21.63</v>
      </c>
      <c r="M14" t="s">
        <v>17</v>
      </c>
      <c r="N14" s="9"/>
      <c r="O14" s="8">
        <f t="array" ref="O14">INDEX(TechRate,MATCH(H14,TechNum,0))</f>
        <v>80</v>
      </c>
      <c r="P14" s="10">
        <f>WorkOrders2[[#This Row],[Techs]]*(WorkOrders2[[#This Row],[PartsCost]]*WorkOrders2[[#This Row],[LbrHrs]])</f>
        <v>5.4074999999999998</v>
      </c>
      <c r="Q14" s="10">
        <f t="shared" si="0"/>
        <v>5.4074999999999998</v>
      </c>
      <c r="R14" s="10">
        <f t="shared" si="1"/>
        <v>21.63</v>
      </c>
      <c r="S14" s="10">
        <f t="shared" si="2"/>
        <v>27.037499999999998</v>
      </c>
      <c r="T14" s="10">
        <f t="shared" si="3"/>
        <v>27.037499999999998</v>
      </c>
      <c r="U14" s="8" t="str">
        <f t="shared" si="4"/>
        <v>Tue</v>
      </c>
      <c r="V14" s="8" t="str">
        <f t="shared" si="5"/>
        <v>Mon</v>
      </c>
    </row>
    <row r="15" spans="1:22" hidden="1" x14ac:dyDescent="0.25">
      <c r="A15" t="s">
        <v>139</v>
      </c>
      <c r="B15" t="s">
        <v>34</v>
      </c>
      <c r="C15" t="s">
        <v>9</v>
      </c>
      <c r="D15" t="s">
        <v>12</v>
      </c>
      <c r="F15" s="5">
        <v>44116</v>
      </c>
      <c r="G15" s="5">
        <v>44130</v>
      </c>
      <c r="H15" s="2">
        <v>2</v>
      </c>
      <c r="I15" s="6"/>
      <c r="J15" s="6"/>
      <c r="K15" s="7">
        <v>1</v>
      </c>
      <c r="L15" s="7">
        <v>128.9796</v>
      </c>
      <c r="M15" t="s">
        <v>17</v>
      </c>
      <c r="N15" s="9"/>
      <c r="O15" s="8">
        <f t="array" ref="O15">INDEX(TechRate,MATCH(H15,TechNum,0))</f>
        <v>140</v>
      </c>
      <c r="P15" s="10">
        <f>WorkOrders2[[#This Row],[Techs]]*(WorkOrders2[[#This Row],[PartsCost]]*WorkOrders2[[#This Row],[LbrHrs]])</f>
        <v>257.95920000000001</v>
      </c>
      <c r="Q15" s="10">
        <f t="shared" si="0"/>
        <v>257.95920000000001</v>
      </c>
      <c r="R15" s="10">
        <f t="shared" si="1"/>
        <v>128.9796</v>
      </c>
      <c r="S15" s="10">
        <f t="shared" si="2"/>
        <v>386.93880000000001</v>
      </c>
      <c r="T15" s="10">
        <f t="shared" si="3"/>
        <v>386.93880000000001</v>
      </c>
      <c r="U15" s="8" t="str">
        <f t="shared" si="4"/>
        <v>Mon</v>
      </c>
      <c r="V15" s="8" t="str">
        <f t="shared" si="5"/>
        <v>Mon</v>
      </c>
    </row>
    <row r="16" spans="1:22" hidden="1" x14ac:dyDescent="0.25">
      <c r="A16" t="s">
        <v>141</v>
      </c>
      <c r="B16" t="s">
        <v>34</v>
      </c>
      <c r="C16" t="s">
        <v>6</v>
      </c>
      <c r="D16" t="s">
        <v>12</v>
      </c>
      <c r="F16" s="5">
        <v>44116</v>
      </c>
      <c r="G16" s="5">
        <v>44140</v>
      </c>
      <c r="H16" s="2">
        <v>2</v>
      </c>
      <c r="I16" s="6"/>
      <c r="J16" s="6"/>
      <c r="K16" s="7">
        <v>1</v>
      </c>
      <c r="L16" s="7">
        <v>1211.8269</v>
      </c>
      <c r="M16" t="s">
        <v>17</v>
      </c>
      <c r="N16" s="9"/>
      <c r="O16" s="8">
        <f t="array" ref="O16">INDEX(TechRate,MATCH(H16,TechNum,0))</f>
        <v>140</v>
      </c>
      <c r="P16" s="10">
        <f>WorkOrders2[[#This Row],[Techs]]*(WorkOrders2[[#This Row],[PartsCost]]*WorkOrders2[[#This Row],[LbrHrs]])</f>
        <v>2423.6538</v>
      </c>
      <c r="Q16" s="10">
        <f t="shared" si="0"/>
        <v>2423.6538</v>
      </c>
      <c r="R16" s="10">
        <f t="shared" si="1"/>
        <v>1211.8269</v>
      </c>
      <c r="S16" s="10">
        <f t="shared" si="2"/>
        <v>3635.4807000000001</v>
      </c>
      <c r="T16" s="10">
        <f t="shared" si="3"/>
        <v>3635.4807000000001</v>
      </c>
      <c r="U16" s="8" t="str">
        <f t="shared" si="4"/>
        <v>Mon</v>
      </c>
      <c r="V16" s="8" t="str">
        <f t="shared" si="5"/>
        <v>Thu</v>
      </c>
    </row>
    <row r="17" spans="1:22" x14ac:dyDescent="0.25">
      <c r="A17" t="s">
        <v>149</v>
      </c>
      <c r="B17" t="s">
        <v>34</v>
      </c>
      <c r="C17" t="s">
        <v>9</v>
      </c>
      <c r="D17" t="s">
        <v>2</v>
      </c>
      <c r="F17" s="5">
        <v>44118</v>
      </c>
      <c r="G17" s="5">
        <v>44138</v>
      </c>
      <c r="H17" s="2">
        <v>2</v>
      </c>
      <c r="I17" s="6"/>
      <c r="J17" s="6"/>
      <c r="K17" s="7">
        <v>2</v>
      </c>
      <c r="L17" s="7">
        <v>619.51329999999996</v>
      </c>
      <c r="M17" t="s">
        <v>19</v>
      </c>
      <c r="N17" s="9"/>
      <c r="O17" s="8">
        <f t="array" ref="O17">INDEX(TechRate,MATCH(H17,TechNum,0))</f>
        <v>140</v>
      </c>
      <c r="P17" s="10">
        <f>WorkOrders2[[#This Row],[Techs]]*(WorkOrders2[[#This Row],[PartsCost]]*WorkOrders2[[#This Row],[LbrHrs]])</f>
        <v>2478.0531999999998</v>
      </c>
      <c r="Q17" s="10">
        <f t="shared" si="0"/>
        <v>2478.0531999999998</v>
      </c>
      <c r="R17" s="10">
        <f t="shared" si="1"/>
        <v>619.51329999999996</v>
      </c>
      <c r="S17" s="10">
        <f t="shared" si="2"/>
        <v>3097.5664999999999</v>
      </c>
      <c r="T17" s="10">
        <f t="shared" si="3"/>
        <v>3097.5664999999999</v>
      </c>
      <c r="U17" s="8" t="str">
        <f t="shared" si="4"/>
        <v>Wed</v>
      </c>
      <c r="V17" s="8" t="str">
        <f t="shared" si="5"/>
        <v>Tue</v>
      </c>
    </row>
    <row r="18" spans="1:22" hidden="1" x14ac:dyDescent="0.25">
      <c r="A18" t="s">
        <v>151</v>
      </c>
      <c r="B18" t="s">
        <v>34</v>
      </c>
      <c r="C18" t="s">
        <v>6</v>
      </c>
      <c r="D18" t="s">
        <v>12</v>
      </c>
      <c r="F18" s="5">
        <v>44119</v>
      </c>
      <c r="G18" s="5">
        <v>44126</v>
      </c>
      <c r="H18" s="2">
        <v>1</v>
      </c>
      <c r="I18" s="6"/>
      <c r="J18" s="6"/>
      <c r="K18" s="7">
        <v>0.75</v>
      </c>
      <c r="L18" s="7">
        <v>163.26</v>
      </c>
      <c r="M18" t="s">
        <v>17</v>
      </c>
      <c r="N18" s="9"/>
      <c r="O18" s="8">
        <f t="array" ref="O18">INDEX(TechRate,MATCH(H18,TechNum,0))</f>
        <v>80</v>
      </c>
      <c r="P18" s="10">
        <f>WorkOrders2[[#This Row],[Techs]]*(WorkOrders2[[#This Row],[PartsCost]]*WorkOrders2[[#This Row],[LbrHrs]])</f>
        <v>122.44499999999999</v>
      </c>
      <c r="Q18" s="10">
        <f t="shared" si="0"/>
        <v>122.44499999999999</v>
      </c>
      <c r="R18" s="10">
        <f t="shared" si="1"/>
        <v>163.26</v>
      </c>
      <c r="S18" s="10">
        <f t="shared" si="2"/>
        <v>285.70499999999998</v>
      </c>
      <c r="T18" s="10">
        <f t="shared" si="3"/>
        <v>285.70499999999998</v>
      </c>
      <c r="U18" s="8" t="str">
        <f t="shared" si="4"/>
        <v>Thu</v>
      </c>
      <c r="V18" s="8" t="str">
        <f t="shared" si="5"/>
        <v>Thu</v>
      </c>
    </row>
    <row r="19" spans="1:22" hidden="1" x14ac:dyDescent="0.25">
      <c r="A19" t="s">
        <v>158</v>
      </c>
      <c r="B19" t="s">
        <v>34</v>
      </c>
      <c r="C19" t="s">
        <v>44</v>
      </c>
      <c r="D19" t="s">
        <v>11</v>
      </c>
      <c r="F19" s="5">
        <v>44124</v>
      </c>
      <c r="G19" s="5">
        <v>44159</v>
      </c>
      <c r="H19" s="2">
        <v>1</v>
      </c>
      <c r="I19" s="6"/>
      <c r="J19" s="6"/>
      <c r="K19" s="7">
        <v>0.25</v>
      </c>
      <c r="L19" s="7">
        <v>27.63</v>
      </c>
      <c r="M19" t="s">
        <v>17</v>
      </c>
      <c r="N19" s="9"/>
      <c r="O19" s="8">
        <f t="array" ref="O19">INDEX(TechRate,MATCH(H19,TechNum,0))</f>
        <v>80</v>
      </c>
      <c r="P19" s="10">
        <f>WorkOrders2[[#This Row],[Techs]]*(WorkOrders2[[#This Row],[PartsCost]]*WorkOrders2[[#This Row],[LbrHrs]])</f>
        <v>6.9074999999999998</v>
      </c>
      <c r="Q19" s="10">
        <f t="shared" si="0"/>
        <v>6.9074999999999998</v>
      </c>
      <c r="R19" s="10">
        <f t="shared" si="1"/>
        <v>27.63</v>
      </c>
      <c r="S19" s="10">
        <f t="shared" si="2"/>
        <v>34.537500000000001</v>
      </c>
      <c r="T19" s="10">
        <f t="shared" si="3"/>
        <v>34.537500000000001</v>
      </c>
      <c r="U19" s="8" t="str">
        <f t="shared" si="4"/>
        <v>Tue</v>
      </c>
      <c r="V19" s="8" t="str">
        <f t="shared" si="5"/>
        <v>Tue</v>
      </c>
    </row>
    <row r="20" spans="1:22" hidden="1" x14ac:dyDescent="0.25">
      <c r="A20" t="s">
        <v>159</v>
      </c>
      <c r="B20" t="s">
        <v>34</v>
      </c>
      <c r="C20" t="s">
        <v>9</v>
      </c>
      <c r="D20" t="s">
        <v>12</v>
      </c>
      <c r="F20" s="5">
        <v>44125</v>
      </c>
      <c r="G20" s="5">
        <v>44141</v>
      </c>
      <c r="H20" s="2">
        <v>1</v>
      </c>
      <c r="I20" s="6"/>
      <c r="J20" s="6"/>
      <c r="K20" s="7">
        <v>0.25</v>
      </c>
      <c r="L20" s="7">
        <v>250.42240000000001</v>
      </c>
      <c r="M20" t="s">
        <v>17</v>
      </c>
      <c r="N20" s="9"/>
      <c r="O20" s="8">
        <f t="array" ref="O20">INDEX(TechRate,MATCH(H20,TechNum,0))</f>
        <v>80</v>
      </c>
      <c r="P20" s="10">
        <f>WorkOrders2[[#This Row],[Techs]]*(WorkOrders2[[#This Row],[PartsCost]]*WorkOrders2[[#This Row],[LbrHrs]])</f>
        <v>62.605600000000003</v>
      </c>
      <c r="Q20" s="10">
        <f t="shared" si="0"/>
        <v>62.605600000000003</v>
      </c>
      <c r="R20" s="10">
        <f t="shared" si="1"/>
        <v>250.42240000000001</v>
      </c>
      <c r="S20" s="10">
        <f t="shared" si="2"/>
        <v>313.02800000000002</v>
      </c>
      <c r="T20" s="10">
        <f t="shared" si="3"/>
        <v>313.02800000000002</v>
      </c>
      <c r="U20" s="8" t="str">
        <f t="shared" si="4"/>
        <v>Wed</v>
      </c>
      <c r="V20" s="8" t="str">
        <f t="shared" si="5"/>
        <v>Fri</v>
      </c>
    </row>
    <row r="21" spans="1:22" hidden="1" x14ac:dyDescent="0.25">
      <c r="A21" t="s">
        <v>163</v>
      </c>
      <c r="B21" t="s">
        <v>34</v>
      </c>
      <c r="C21" t="s">
        <v>6</v>
      </c>
      <c r="D21" t="s">
        <v>1</v>
      </c>
      <c r="F21" s="5">
        <v>44125</v>
      </c>
      <c r="G21" s="5">
        <v>44221</v>
      </c>
      <c r="H21" s="2">
        <v>2</v>
      </c>
      <c r="I21" s="6"/>
      <c r="J21" s="6"/>
      <c r="K21" s="7">
        <v>8.25</v>
      </c>
      <c r="L21" s="7">
        <v>4946</v>
      </c>
      <c r="M21" t="s">
        <v>17</v>
      </c>
      <c r="N21" s="9"/>
      <c r="O21" s="8">
        <f t="array" ref="O21">INDEX(TechRate,MATCH(H21,TechNum,0))</f>
        <v>140</v>
      </c>
      <c r="P21" s="10">
        <f>WorkOrders2[[#This Row],[Techs]]*(WorkOrders2[[#This Row],[PartsCost]]*WorkOrders2[[#This Row],[LbrHrs]])</f>
        <v>81609</v>
      </c>
      <c r="Q21" s="10">
        <f t="shared" si="0"/>
        <v>81609</v>
      </c>
      <c r="R21" s="10">
        <f t="shared" si="1"/>
        <v>4946</v>
      </c>
      <c r="S21" s="10">
        <f t="shared" si="2"/>
        <v>86555</v>
      </c>
      <c r="T21" s="10">
        <f t="shared" si="3"/>
        <v>86555</v>
      </c>
      <c r="U21" s="8" t="str">
        <f t="shared" si="4"/>
        <v>Wed</v>
      </c>
      <c r="V21" s="8" t="str">
        <f t="shared" si="5"/>
        <v>Mon</v>
      </c>
    </row>
    <row r="22" spans="1:22" hidden="1" x14ac:dyDescent="0.25">
      <c r="A22" t="s">
        <v>165</v>
      </c>
      <c r="B22" t="s">
        <v>34</v>
      </c>
      <c r="C22" t="s">
        <v>9</v>
      </c>
      <c r="D22" t="s">
        <v>12</v>
      </c>
      <c r="F22" s="5">
        <v>44128</v>
      </c>
      <c r="G22" s="5">
        <v>44141</v>
      </c>
      <c r="H22" s="2">
        <v>2</v>
      </c>
      <c r="I22" s="6"/>
      <c r="J22" s="6"/>
      <c r="K22" s="7">
        <v>0.25</v>
      </c>
      <c r="L22" s="7">
        <v>25</v>
      </c>
      <c r="M22" t="s">
        <v>17</v>
      </c>
      <c r="N22" s="9"/>
      <c r="O22" s="8">
        <f t="array" ref="O22">INDEX(TechRate,MATCH(H22,TechNum,0))</f>
        <v>140</v>
      </c>
      <c r="P22" s="10">
        <f>WorkOrders2[[#This Row],[Techs]]*(WorkOrders2[[#This Row],[PartsCost]]*WorkOrders2[[#This Row],[LbrHrs]])</f>
        <v>12.5</v>
      </c>
      <c r="Q22" s="10">
        <f t="shared" si="0"/>
        <v>12.5</v>
      </c>
      <c r="R22" s="10">
        <f t="shared" si="1"/>
        <v>25</v>
      </c>
      <c r="S22" s="10">
        <f t="shared" si="2"/>
        <v>37.5</v>
      </c>
      <c r="T22" s="10">
        <f t="shared" si="3"/>
        <v>37.5</v>
      </c>
      <c r="U22" s="8" t="str">
        <f t="shared" si="4"/>
        <v>Sat</v>
      </c>
      <c r="V22" s="8" t="str">
        <f t="shared" si="5"/>
        <v>Fri</v>
      </c>
    </row>
    <row r="23" spans="1:22" hidden="1" x14ac:dyDescent="0.25">
      <c r="A23" t="s">
        <v>180</v>
      </c>
      <c r="B23" t="s">
        <v>34</v>
      </c>
      <c r="C23" t="s">
        <v>6</v>
      </c>
      <c r="D23" t="s">
        <v>13</v>
      </c>
      <c r="F23" s="5">
        <v>44137</v>
      </c>
      <c r="G23" s="5">
        <v>44207</v>
      </c>
      <c r="H23" s="2">
        <v>2</v>
      </c>
      <c r="I23" s="6"/>
      <c r="J23" s="6"/>
      <c r="K23" s="7">
        <v>0.5</v>
      </c>
      <c r="L23" s="7">
        <v>263.0523</v>
      </c>
      <c r="M23" t="s">
        <v>18</v>
      </c>
      <c r="N23" s="9"/>
      <c r="O23" s="8">
        <f t="array" ref="O23">INDEX(TechRate,MATCH(H23,TechNum,0))</f>
        <v>140</v>
      </c>
      <c r="P23" s="10">
        <f>WorkOrders2[[#This Row],[Techs]]*(WorkOrders2[[#This Row],[PartsCost]]*WorkOrders2[[#This Row],[LbrHrs]])</f>
        <v>263.0523</v>
      </c>
      <c r="Q23" s="10">
        <f t="shared" si="0"/>
        <v>263.0523</v>
      </c>
      <c r="R23" s="10">
        <f t="shared" si="1"/>
        <v>263.0523</v>
      </c>
      <c r="S23" s="10">
        <f t="shared" si="2"/>
        <v>526.1046</v>
      </c>
      <c r="T23" s="10">
        <f t="shared" si="3"/>
        <v>526.1046</v>
      </c>
      <c r="U23" s="8" t="str">
        <f t="shared" si="4"/>
        <v>Mon</v>
      </c>
      <c r="V23" s="8" t="str">
        <f t="shared" si="5"/>
        <v>Mon</v>
      </c>
    </row>
    <row r="24" spans="1:22" hidden="1" x14ac:dyDescent="0.25">
      <c r="A24" t="s">
        <v>183</v>
      </c>
      <c r="B24" t="s">
        <v>34</v>
      </c>
      <c r="C24" t="s">
        <v>6</v>
      </c>
      <c r="D24" t="s">
        <v>13</v>
      </c>
      <c r="F24" s="5">
        <v>44138</v>
      </c>
      <c r="G24" s="5">
        <v>44167</v>
      </c>
      <c r="H24" s="2">
        <v>1</v>
      </c>
      <c r="I24" s="6"/>
      <c r="J24" s="6"/>
      <c r="K24" s="7">
        <v>0.5</v>
      </c>
      <c r="L24" s="7">
        <v>15.63</v>
      </c>
      <c r="M24" t="s">
        <v>17</v>
      </c>
      <c r="N24" s="9"/>
      <c r="O24" s="8">
        <f t="array" ref="O24">INDEX(TechRate,MATCH(H24,TechNum,0))</f>
        <v>80</v>
      </c>
      <c r="P24" s="10">
        <f>WorkOrders2[[#This Row],[Techs]]*(WorkOrders2[[#This Row],[PartsCost]]*WorkOrders2[[#This Row],[LbrHrs]])</f>
        <v>7.8150000000000004</v>
      </c>
      <c r="Q24" s="10">
        <f t="shared" si="0"/>
        <v>7.8150000000000004</v>
      </c>
      <c r="R24" s="10">
        <f t="shared" si="1"/>
        <v>15.63</v>
      </c>
      <c r="S24" s="10">
        <f t="shared" si="2"/>
        <v>23.445</v>
      </c>
      <c r="T24" s="10">
        <f t="shared" si="3"/>
        <v>23.445</v>
      </c>
      <c r="U24" s="8" t="str">
        <f t="shared" si="4"/>
        <v>Tue</v>
      </c>
      <c r="V24" s="8" t="str">
        <f t="shared" si="5"/>
        <v>Wed</v>
      </c>
    </row>
    <row r="25" spans="1:22" hidden="1" x14ac:dyDescent="0.25">
      <c r="A25" t="s">
        <v>188</v>
      </c>
      <c r="B25" t="s">
        <v>34</v>
      </c>
      <c r="C25" t="s">
        <v>44</v>
      </c>
      <c r="D25" t="s">
        <v>13</v>
      </c>
      <c r="F25" s="5">
        <v>44139</v>
      </c>
      <c r="G25" s="5">
        <v>44159</v>
      </c>
      <c r="H25" s="2">
        <v>2</v>
      </c>
      <c r="I25" s="6"/>
      <c r="J25" s="6"/>
      <c r="K25" s="7">
        <v>0.5</v>
      </c>
      <c r="L25" s="7">
        <v>279.31</v>
      </c>
      <c r="M25" t="s">
        <v>17</v>
      </c>
      <c r="N25" s="9"/>
      <c r="O25" s="8">
        <f t="array" ref="O25">INDEX(TechRate,MATCH(H25,TechNum,0))</f>
        <v>140</v>
      </c>
      <c r="P25" s="10">
        <f>WorkOrders2[[#This Row],[Techs]]*(WorkOrders2[[#This Row],[PartsCost]]*WorkOrders2[[#This Row],[LbrHrs]])</f>
        <v>279.31</v>
      </c>
      <c r="Q25" s="10">
        <f t="shared" si="0"/>
        <v>279.31</v>
      </c>
      <c r="R25" s="10">
        <f t="shared" si="1"/>
        <v>279.31</v>
      </c>
      <c r="S25" s="10">
        <f t="shared" si="2"/>
        <v>558.62</v>
      </c>
      <c r="T25" s="10">
        <f t="shared" si="3"/>
        <v>558.62</v>
      </c>
      <c r="U25" s="8" t="str">
        <f t="shared" si="4"/>
        <v>Wed</v>
      </c>
      <c r="V25" s="8" t="str">
        <f t="shared" si="5"/>
        <v>Tue</v>
      </c>
    </row>
    <row r="26" spans="1:22" hidden="1" x14ac:dyDescent="0.25">
      <c r="A26" t="s">
        <v>190</v>
      </c>
      <c r="B26" t="s">
        <v>34</v>
      </c>
      <c r="C26" t="s">
        <v>44</v>
      </c>
      <c r="D26" t="s">
        <v>13</v>
      </c>
      <c r="F26" s="5">
        <v>44140</v>
      </c>
      <c r="G26" s="5">
        <v>44153</v>
      </c>
      <c r="H26" s="2">
        <v>1</v>
      </c>
      <c r="I26" s="6"/>
      <c r="J26" s="6"/>
      <c r="K26" s="7">
        <v>1</v>
      </c>
      <c r="L26" s="7">
        <v>351.02069999999998</v>
      </c>
      <c r="M26" t="s">
        <v>18</v>
      </c>
      <c r="N26" s="9"/>
      <c r="O26" s="8">
        <f t="array" ref="O26">INDEX(TechRate,MATCH(H26,TechNum,0))</f>
        <v>80</v>
      </c>
      <c r="P26" s="10">
        <f>WorkOrders2[[#This Row],[Techs]]*(WorkOrders2[[#This Row],[PartsCost]]*WorkOrders2[[#This Row],[LbrHrs]])</f>
        <v>351.02069999999998</v>
      </c>
      <c r="Q26" s="10">
        <f t="shared" si="0"/>
        <v>351.02069999999998</v>
      </c>
      <c r="R26" s="10">
        <f t="shared" si="1"/>
        <v>351.02069999999998</v>
      </c>
      <c r="S26" s="10">
        <f t="shared" si="2"/>
        <v>702.04139999999995</v>
      </c>
      <c r="T26" s="10">
        <f t="shared" si="3"/>
        <v>702.04139999999995</v>
      </c>
      <c r="U26" s="8" t="str">
        <f t="shared" si="4"/>
        <v>Thu</v>
      </c>
      <c r="V26" s="8" t="str">
        <f t="shared" si="5"/>
        <v>Wed</v>
      </c>
    </row>
    <row r="27" spans="1:22" hidden="1" x14ac:dyDescent="0.25">
      <c r="A27" t="s">
        <v>199</v>
      </c>
      <c r="B27" t="s">
        <v>34</v>
      </c>
      <c r="C27" t="s">
        <v>44</v>
      </c>
      <c r="D27" t="s">
        <v>13</v>
      </c>
      <c r="E27" t="s">
        <v>3</v>
      </c>
      <c r="F27" s="5">
        <v>44146</v>
      </c>
      <c r="G27" s="5">
        <v>44166</v>
      </c>
      <c r="H27" s="2">
        <v>2</v>
      </c>
      <c r="I27" s="6"/>
      <c r="J27" s="6"/>
      <c r="K27" s="7">
        <v>0.5</v>
      </c>
      <c r="L27" s="7">
        <v>115.22490000000001</v>
      </c>
      <c r="M27" t="s">
        <v>17</v>
      </c>
      <c r="N27" s="9"/>
      <c r="O27" s="8">
        <f t="array" ref="O27">INDEX(TechRate,MATCH(H27,TechNum,0))</f>
        <v>140</v>
      </c>
      <c r="P27" s="10">
        <f>WorkOrders2[[#This Row],[Techs]]*(WorkOrders2[[#This Row],[PartsCost]]*WorkOrders2[[#This Row],[LbrHrs]])</f>
        <v>115.22490000000001</v>
      </c>
      <c r="Q27" s="10">
        <f t="shared" si="0"/>
        <v>115.22490000000001</v>
      </c>
      <c r="R27" s="10">
        <f t="shared" si="1"/>
        <v>115.22490000000001</v>
      </c>
      <c r="S27" s="10">
        <f t="shared" si="2"/>
        <v>230.44980000000001</v>
      </c>
      <c r="T27" s="10">
        <f t="shared" si="3"/>
        <v>230.44980000000001</v>
      </c>
      <c r="U27" s="8" t="str">
        <f t="shared" si="4"/>
        <v>Wed</v>
      </c>
      <c r="V27" s="8" t="str">
        <f t="shared" si="5"/>
        <v>Tue</v>
      </c>
    </row>
    <row r="28" spans="1:22" hidden="1" x14ac:dyDescent="0.25">
      <c r="A28" t="s">
        <v>208</v>
      </c>
      <c r="B28" t="s">
        <v>34</v>
      </c>
      <c r="C28" t="s">
        <v>8</v>
      </c>
      <c r="D28" t="s">
        <v>12</v>
      </c>
      <c r="E28" t="s">
        <v>3</v>
      </c>
      <c r="F28" s="5">
        <v>44152</v>
      </c>
      <c r="G28" s="5">
        <v>44180</v>
      </c>
      <c r="H28" s="2">
        <v>2</v>
      </c>
      <c r="I28" s="6"/>
      <c r="J28" s="6"/>
      <c r="K28" s="7">
        <v>0.5</v>
      </c>
      <c r="L28" s="7">
        <v>338.0702</v>
      </c>
      <c r="M28" t="s">
        <v>17</v>
      </c>
      <c r="N28" s="9"/>
      <c r="O28" s="8">
        <f t="array" ref="O28">INDEX(TechRate,MATCH(H28,TechNum,0))</f>
        <v>140</v>
      </c>
      <c r="P28" s="10">
        <f>WorkOrders2[[#This Row],[Techs]]*(WorkOrders2[[#This Row],[PartsCost]]*WorkOrders2[[#This Row],[LbrHrs]])</f>
        <v>338.0702</v>
      </c>
      <c r="Q28" s="10">
        <f t="shared" si="0"/>
        <v>338.0702</v>
      </c>
      <c r="R28" s="10">
        <f t="shared" si="1"/>
        <v>338.0702</v>
      </c>
      <c r="S28" s="10">
        <f t="shared" si="2"/>
        <v>676.1404</v>
      </c>
      <c r="T28" s="10">
        <f t="shared" si="3"/>
        <v>676.1404</v>
      </c>
      <c r="U28" s="8" t="str">
        <f t="shared" si="4"/>
        <v>Tue</v>
      </c>
      <c r="V28" s="8" t="str">
        <f t="shared" si="5"/>
        <v>Tue</v>
      </c>
    </row>
    <row r="29" spans="1:22" hidden="1" x14ac:dyDescent="0.25">
      <c r="A29" t="s">
        <v>213</v>
      </c>
      <c r="B29" t="s">
        <v>34</v>
      </c>
      <c r="C29" t="s">
        <v>8</v>
      </c>
      <c r="D29" t="s">
        <v>12</v>
      </c>
      <c r="F29" s="5">
        <v>44154</v>
      </c>
      <c r="G29" s="5">
        <v>44168</v>
      </c>
      <c r="H29" s="2">
        <v>1</v>
      </c>
      <c r="I29" s="6"/>
      <c r="J29" s="6"/>
      <c r="K29" s="7">
        <v>0.25</v>
      </c>
      <c r="L29" s="7">
        <v>120</v>
      </c>
      <c r="M29" t="s">
        <v>19</v>
      </c>
      <c r="N29" s="9"/>
      <c r="O29" s="8">
        <f t="array" ref="O29">INDEX(TechRate,MATCH(H29,TechNum,0))</f>
        <v>80</v>
      </c>
      <c r="P29" s="10">
        <f>WorkOrders2[[#This Row],[Techs]]*(WorkOrders2[[#This Row],[PartsCost]]*WorkOrders2[[#This Row],[LbrHrs]])</f>
        <v>30</v>
      </c>
      <c r="Q29" s="10">
        <f t="shared" si="0"/>
        <v>30</v>
      </c>
      <c r="R29" s="10">
        <f t="shared" si="1"/>
        <v>120</v>
      </c>
      <c r="S29" s="10">
        <f t="shared" si="2"/>
        <v>150</v>
      </c>
      <c r="T29" s="10">
        <f t="shared" si="3"/>
        <v>150</v>
      </c>
      <c r="U29" s="8" t="str">
        <f t="shared" si="4"/>
        <v>Thu</v>
      </c>
      <c r="V29" s="8" t="str">
        <f t="shared" si="5"/>
        <v>Thu</v>
      </c>
    </row>
    <row r="30" spans="1:22" hidden="1" x14ac:dyDescent="0.25">
      <c r="A30" t="s">
        <v>216</v>
      </c>
      <c r="B30" t="s">
        <v>34</v>
      </c>
      <c r="C30" t="s">
        <v>9</v>
      </c>
      <c r="D30" t="s">
        <v>13</v>
      </c>
      <c r="F30" s="5">
        <v>44158</v>
      </c>
      <c r="G30" s="5">
        <v>44172</v>
      </c>
      <c r="H30" s="2">
        <v>1</v>
      </c>
      <c r="I30" s="6"/>
      <c r="J30" s="6"/>
      <c r="K30" s="7">
        <v>0.75</v>
      </c>
      <c r="L30" s="7">
        <v>20</v>
      </c>
      <c r="M30" t="s">
        <v>17</v>
      </c>
      <c r="N30" s="9"/>
      <c r="O30" s="8">
        <f t="array" ref="O30">INDEX(TechRate,MATCH(H30,TechNum,0))</f>
        <v>80</v>
      </c>
      <c r="P30" s="10">
        <f>WorkOrders2[[#This Row],[Techs]]*(WorkOrders2[[#This Row],[PartsCost]]*WorkOrders2[[#This Row],[LbrHrs]])</f>
        <v>15</v>
      </c>
      <c r="Q30" s="10">
        <f t="shared" si="0"/>
        <v>15</v>
      </c>
      <c r="R30" s="10">
        <f t="shared" si="1"/>
        <v>20</v>
      </c>
      <c r="S30" s="10">
        <f t="shared" si="2"/>
        <v>35</v>
      </c>
      <c r="T30" s="10">
        <f t="shared" si="3"/>
        <v>35</v>
      </c>
      <c r="U30" s="8" t="str">
        <f t="shared" si="4"/>
        <v>Mon</v>
      </c>
      <c r="V30" s="8" t="str">
        <f t="shared" si="5"/>
        <v>Mon</v>
      </c>
    </row>
    <row r="31" spans="1:22" hidden="1" x14ac:dyDescent="0.25">
      <c r="A31" t="s">
        <v>225</v>
      </c>
      <c r="B31" t="s">
        <v>34</v>
      </c>
      <c r="C31" t="s">
        <v>44</v>
      </c>
      <c r="D31" t="s">
        <v>13</v>
      </c>
      <c r="F31" s="5">
        <v>44159</v>
      </c>
      <c r="G31" s="5">
        <v>44245</v>
      </c>
      <c r="H31" s="2">
        <v>1</v>
      </c>
      <c r="I31" s="6"/>
      <c r="J31" s="6"/>
      <c r="K31" s="7">
        <v>0.5</v>
      </c>
      <c r="L31" s="7">
        <v>25.773599999999998</v>
      </c>
      <c r="M31" t="s">
        <v>17</v>
      </c>
      <c r="N31" s="9"/>
      <c r="O31" s="8">
        <f t="array" ref="O31">INDEX(TechRate,MATCH(H31,TechNum,0))</f>
        <v>80</v>
      </c>
      <c r="P31" s="10">
        <f>WorkOrders2[[#This Row],[Techs]]*(WorkOrders2[[#This Row],[PartsCost]]*WorkOrders2[[#This Row],[LbrHrs]])</f>
        <v>12.886799999999999</v>
      </c>
      <c r="Q31" s="10">
        <f t="shared" si="0"/>
        <v>12.886799999999999</v>
      </c>
      <c r="R31" s="10">
        <f t="shared" si="1"/>
        <v>25.773599999999998</v>
      </c>
      <c r="S31" s="10">
        <f t="shared" si="2"/>
        <v>38.660399999999996</v>
      </c>
      <c r="T31" s="10">
        <f t="shared" si="3"/>
        <v>38.660399999999996</v>
      </c>
      <c r="U31" s="8" t="str">
        <f t="shared" si="4"/>
        <v>Tue</v>
      </c>
      <c r="V31" s="8" t="str">
        <f t="shared" si="5"/>
        <v>Thu</v>
      </c>
    </row>
    <row r="32" spans="1:22" hidden="1" x14ac:dyDescent="0.25">
      <c r="A32" t="s">
        <v>236</v>
      </c>
      <c r="B32" t="s">
        <v>34</v>
      </c>
      <c r="C32" t="s">
        <v>8</v>
      </c>
      <c r="D32" t="s">
        <v>11</v>
      </c>
      <c r="E32" t="s">
        <v>3</v>
      </c>
      <c r="F32" s="5">
        <v>44165</v>
      </c>
      <c r="G32" s="5">
        <v>44173</v>
      </c>
      <c r="H32" s="2">
        <v>1</v>
      </c>
      <c r="I32" s="6"/>
      <c r="J32" s="6"/>
      <c r="K32" s="7">
        <v>0.25</v>
      </c>
      <c r="L32" s="7">
        <v>10.103199999999999</v>
      </c>
      <c r="M32" t="s">
        <v>18</v>
      </c>
      <c r="N32" s="9"/>
      <c r="O32" s="8">
        <f t="array" ref="O32">INDEX(TechRate,MATCH(H32,TechNum,0))</f>
        <v>80</v>
      </c>
      <c r="P32" s="10">
        <f>WorkOrders2[[#This Row],[Techs]]*(WorkOrders2[[#This Row],[PartsCost]]*WorkOrders2[[#This Row],[LbrHrs]])</f>
        <v>2.5257999999999998</v>
      </c>
      <c r="Q32" s="10">
        <f t="shared" si="0"/>
        <v>2.5257999999999998</v>
      </c>
      <c r="R32" s="10">
        <f t="shared" si="1"/>
        <v>10.103199999999999</v>
      </c>
      <c r="S32" s="10">
        <f t="shared" si="2"/>
        <v>12.629</v>
      </c>
      <c r="T32" s="10">
        <f t="shared" si="3"/>
        <v>12.629</v>
      </c>
      <c r="U32" s="8" t="str">
        <f t="shared" si="4"/>
        <v>Mon</v>
      </c>
      <c r="V32" s="8" t="str">
        <f t="shared" si="5"/>
        <v>Tue</v>
      </c>
    </row>
    <row r="33" spans="1:22" hidden="1" x14ac:dyDescent="0.25">
      <c r="A33" t="s">
        <v>258</v>
      </c>
      <c r="B33" t="s">
        <v>34</v>
      </c>
      <c r="C33" t="s">
        <v>8</v>
      </c>
      <c r="D33" t="s">
        <v>13</v>
      </c>
      <c r="F33" s="5">
        <v>44173</v>
      </c>
      <c r="G33" s="5">
        <v>44180</v>
      </c>
      <c r="H33" s="2">
        <v>2</v>
      </c>
      <c r="I33" s="6"/>
      <c r="J33" s="6"/>
      <c r="K33" s="7">
        <v>3</v>
      </c>
      <c r="L33" s="7">
        <v>21.33</v>
      </c>
      <c r="M33" t="s">
        <v>17</v>
      </c>
      <c r="N33" s="9"/>
      <c r="O33" s="8">
        <f t="array" ref="O33">INDEX(TechRate,MATCH(H33,TechNum,0))</f>
        <v>140</v>
      </c>
      <c r="P33" s="10">
        <f>WorkOrders2[[#This Row],[Techs]]*(WorkOrders2[[#This Row],[PartsCost]]*WorkOrders2[[#This Row],[LbrHrs]])</f>
        <v>127.97999999999999</v>
      </c>
      <c r="Q33" s="10">
        <f t="shared" si="0"/>
        <v>127.97999999999999</v>
      </c>
      <c r="R33" s="10">
        <f t="shared" si="1"/>
        <v>21.33</v>
      </c>
      <c r="S33" s="10">
        <f t="shared" si="2"/>
        <v>149.31</v>
      </c>
      <c r="T33" s="10">
        <f t="shared" si="3"/>
        <v>149.31</v>
      </c>
      <c r="U33" s="8" t="str">
        <f t="shared" si="4"/>
        <v>Tue</v>
      </c>
      <c r="V33" s="8" t="str">
        <f t="shared" si="5"/>
        <v>Tue</v>
      </c>
    </row>
    <row r="34" spans="1:22" hidden="1" x14ac:dyDescent="0.25">
      <c r="A34" t="s">
        <v>266</v>
      </c>
      <c r="B34" t="s">
        <v>34</v>
      </c>
      <c r="C34" t="s">
        <v>9</v>
      </c>
      <c r="D34" t="s">
        <v>1</v>
      </c>
      <c r="F34" s="5">
        <v>44175</v>
      </c>
      <c r="G34" s="5">
        <v>44203</v>
      </c>
      <c r="H34" s="2">
        <v>2</v>
      </c>
      <c r="I34" s="6"/>
      <c r="J34" s="6"/>
      <c r="K34" s="7">
        <v>1.25</v>
      </c>
      <c r="L34" s="7">
        <v>58.238999999999997</v>
      </c>
      <c r="M34" t="s">
        <v>17</v>
      </c>
      <c r="N34" s="9"/>
      <c r="O34" s="8">
        <f t="array" ref="O34">INDEX(TechRate,MATCH(H34,TechNum,0))</f>
        <v>140</v>
      </c>
      <c r="P34" s="10">
        <f>WorkOrders2[[#This Row],[Techs]]*(WorkOrders2[[#This Row],[PartsCost]]*WorkOrders2[[#This Row],[LbrHrs]])</f>
        <v>145.5975</v>
      </c>
      <c r="Q34" s="10">
        <f t="shared" si="0"/>
        <v>145.5975</v>
      </c>
      <c r="R34" s="10">
        <f t="shared" si="1"/>
        <v>58.238999999999997</v>
      </c>
      <c r="S34" s="10">
        <f t="shared" si="2"/>
        <v>203.8365</v>
      </c>
      <c r="T34" s="10">
        <f t="shared" si="3"/>
        <v>203.8365</v>
      </c>
      <c r="U34" s="8" t="str">
        <f t="shared" si="4"/>
        <v>Thu</v>
      </c>
      <c r="V34" s="8" t="str">
        <f t="shared" si="5"/>
        <v>Thu</v>
      </c>
    </row>
    <row r="35" spans="1:22" hidden="1" x14ac:dyDescent="0.25">
      <c r="A35" t="s">
        <v>268</v>
      </c>
      <c r="B35" t="s">
        <v>34</v>
      </c>
      <c r="C35" t="s">
        <v>8</v>
      </c>
      <c r="D35" t="s">
        <v>13</v>
      </c>
      <c r="F35" s="5">
        <v>44175</v>
      </c>
      <c r="G35" s="5">
        <v>44219</v>
      </c>
      <c r="H35" s="2">
        <v>1</v>
      </c>
      <c r="I35" s="6"/>
      <c r="J35" s="6"/>
      <c r="K35" s="7">
        <v>2.25</v>
      </c>
      <c r="L35" s="7">
        <v>180</v>
      </c>
      <c r="M35" t="s">
        <v>17</v>
      </c>
      <c r="N35" s="9"/>
      <c r="O35" s="8">
        <f t="array" ref="O35">INDEX(TechRate,MATCH(H35,TechNum,0))</f>
        <v>80</v>
      </c>
      <c r="P35" s="10">
        <f>WorkOrders2[[#This Row],[Techs]]*(WorkOrders2[[#This Row],[PartsCost]]*WorkOrders2[[#This Row],[LbrHrs]])</f>
        <v>405</v>
      </c>
      <c r="Q35" s="10">
        <f t="shared" si="0"/>
        <v>405</v>
      </c>
      <c r="R35" s="10">
        <f t="shared" si="1"/>
        <v>180</v>
      </c>
      <c r="S35" s="10">
        <f t="shared" si="2"/>
        <v>585</v>
      </c>
      <c r="T35" s="10">
        <f t="shared" si="3"/>
        <v>585</v>
      </c>
      <c r="U35" s="8" t="str">
        <f t="shared" si="4"/>
        <v>Thu</v>
      </c>
      <c r="V35" s="8" t="str">
        <f t="shared" si="5"/>
        <v>Sat</v>
      </c>
    </row>
    <row r="36" spans="1:22" hidden="1" x14ac:dyDescent="0.25">
      <c r="A36" t="s">
        <v>278</v>
      </c>
      <c r="B36" t="s">
        <v>34</v>
      </c>
      <c r="C36" t="s">
        <v>6</v>
      </c>
      <c r="D36" t="s">
        <v>12</v>
      </c>
      <c r="F36" s="5">
        <v>44180</v>
      </c>
      <c r="G36" s="5">
        <v>44221</v>
      </c>
      <c r="H36" s="2">
        <v>2</v>
      </c>
      <c r="I36" s="6"/>
      <c r="J36" s="6"/>
      <c r="K36" s="7">
        <v>0.75</v>
      </c>
      <c r="L36" s="7">
        <v>2294</v>
      </c>
      <c r="M36" t="s">
        <v>17</v>
      </c>
      <c r="N36" s="9"/>
      <c r="O36" s="8">
        <f t="array" ref="O36">INDEX(TechRate,MATCH(H36,TechNum,0))</f>
        <v>140</v>
      </c>
      <c r="P36" s="10">
        <f>WorkOrders2[[#This Row],[Techs]]*(WorkOrders2[[#This Row],[PartsCost]]*WorkOrders2[[#This Row],[LbrHrs]])</f>
        <v>3441</v>
      </c>
      <c r="Q36" s="10">
        <f t="shared" si="0"/>
        <v>3441</v>
      </c>
      <c r="R36" s="10">
        <f t="shared" si="1"/>
        <v>2294</v>
      </c>
      <c r="S36" s="10">
        <f t="shared" si="2"/>
        <v>5735</v>
      </c>
      <c r="T36" s="10">
        <f t="shared" si="3"/>
        <v>5735</v>
      </c>
      <c r="U36" s="8" t="str">
        <f t="shared" si="4"/>
        <v>Tue</v>
      </c>
      <c r="V36" s="8" t="str">
        <f t="shared" si="5"/>
        <v>Mon</v>
      </c>
    </row>
    <row r="37" spans="1:22" hidden="1" x14ac:dyDescent="0.25">
      <c r="A37" t="s">
        <v>287</v>
      </c>
      <c r="B37" t="s">
        <v>34</v>
      </c>
      <c r="C37" t="s">
        <v>44</v>
      </c>
      <c r="D37" t="s">
        <v>12</v>
      </c>
      <c r="F37" s="5">
        <v>44200</v>
      </c>
      <c r="G37" s="5">
        <v>44210</v>
      </c>
      <c r="H37" s="2">
        <v>2</v>
      </c>
      <c r="I37" s="6"/>
      <c r="J37" s="6"/>
      <c r="K37" s="7">
        <v>0.5</v>
      </c>
      <c r="L37" s="7">
        <v>29.807400000000001</v>
      </c>
      <c r="M37" t="s">
        <v>18</v>
      </c>
      <c r="N37" s="9"/>
      <c r="O37" s="8">
        <f t="array" ref="O37">INDEX(TechRate,MATCH(H37,TechNum,0))</f>
        <v>140</v>
      </c>
      <c r="P37" s="10">
        <f>WorkOrders2[[#This Row],[Techs]]*(WorkOrders2[[#This Row],[PartsCost]]*WorkOrders2[[#This Row],[LbrHrs]])</f>
        <v>29.807400000000001</v>
      </c>
      <c r="Q37" s="10">
        <f t="shared" si="0"/>
        <v>29.807400000000001</v>
      </c>
      <c r="R37" s="10">
        <f t="shared" si="1"/>
        <v>29.807400000000001</v>
      </c>
      <c r="S37" s="10">
        <f t="shared" si="2"/>
        <v>59.614800000000002</v>
      </c>
      <c r="T37" s="10">
        <f t="shared" si="3"/>
        <v>59.614800000000002</v>
      </c>
      <c r="U37" s="8" t="str">
        <f t="shared" si="4"/>
        <v>Mon</v>
      </c>
      <c r="V37" s="8" t="str">
        <f t="shared" si="5"/>
        <v>Thu</v>
      </c>
    </row>
    <row r="38" spans="1:22" hidden="1" x14ac:dyDescent="0.25">
      <c r="A38" t="s">
        <v>288</v>
      </c>
      <c r="B38" t="s">
        <v>34</v>
      </c>
      <c r="C38" t="s">
        <v>6</v>
      </c>
      <c r="D38" t="s">
        <v>12</v>
      </c>
      <c r="F38" s="5">
        <v>44200</v>
      </c>
      <c r="G38" s="5">
        <v>44210</v>
      </c>
      <c r="H38" s="2">
        <v>1</v>
      </c>
      <c r="I38" s="6"/>
      <c r="J38" s="6"/>
      <c r="K38" s="7">
        <v>0.25</v>
      </c>
      <c r="L38" s="7">
        <v>43.02</v>
      </c>
      <c r="M38" t="s">
        <v>17</v>
      </c>
      <c r="N38" s="9"/>
      <c r="O38" s="8">
        <f t="array" ref="O38">INDEX(TechRate,MATCH(H38,TechNum,0))</f>
        <v>80</v>
      </c>
      <c r="P38" s="10">
        <f>WorkOrders2[[#This Row],[Techs]]*(WorkOrders2[[#This Row],[PartsCost]]*WorkOrders2[[#This Row],[LbrHrs]])</f>
        <v>10.755000000000001</v>
      </c>
      <c r="Q38" s="10">
        <f t="shared" si="0"/>
        <v>10.755000000000001</v>
      </c>
      <c r="R38" s="10">
        <f t="shared" si="1"/>
        <v>43.02</v>
      </c>
      <c r="S38" s="10">
        <f t="shared" si="2"/>
        <v>53.775000000000006</v>
      </c>
      <c r="T38" s="10">
        <f t="shared" si="3"/>
        <v>53.775000000000006</v>
      </c>
      <c r="U38" s="8" t="str">
        <f t="shared" si="4"/>
        <v>Mon</v>
      </c>
      <c r="V38" s="8" t="str">
        <f t="shared" si="5"/>
        <v>Thu</v>
      </c>
    </row>
    <row r="39" spans="1:22" hidden="1" x14ac:dyDescent="0.25">
      <c r="A39" t="s">
        <v>292</v>
      </c>
      <c r="B39" t="s">
        <v>34</v>
      </c>
      <c r="C39" t="s">
        <v>44</v>
      </c>
      <c r="D39" t="s">
        <v>13</v>
      </c>
      <c r="F39" s="5">
        <v>44201</v>
      </c>
      <c r="G39" s="5">
        <v>44221</v>
      </c>
      <c r="H39" s="2">
        <v>1</v>
      </c>
      <c r="I39" s="6"/>
      <c r="J39" s="6"/>
      <c r="K39" s="7">
        <v>1.25</v>
      </c>
      <c r="L39" s="7">
        <v>646</v>
      </c>
      <c r="M39" t="s">
        <v>17</v>
      </c>
      <c r="N39" s="9"/>
      <c r="O39" s="8">
        <f t="array" ref="O39">INDEX(TechRate,MATCH(H39,TechNum,0))</f>
        <v>80</v>
      </c>
      <c r="P39" s="10">
        <f>WorkOrders2[[#This Row],[Techs]]*(WorkOrders2[[#This Row],[PartsCost]]*WorkOrders2[[#This Row],[LbrHrs]])</f>
        <v>807.5</v>
      </c>
      <c r="Q39" s="10">
        <f t="shared" si="0"/>
        <v>807.5</v>
      </c>
      <c r="R39" s="10">
        <f t="shared" si="1"/>
        <v>646</v>
      </c>
      <c r="S39" s="10">
        <f t="shared" si="2"/>
        <v>1453.5</v>
      </c>
      <c r="T39" s="10">
        <f t="shared" si="3"/>
        <v>1453.5</v>
      </c>
      <c r="U39" s="8" t="str">
        <f t="shared" si="4"/>
        <v>Tue</v>
      </c>
      <c r="V39" s="8" t="str">
        <f t="shared" si="5"/>
        <v>Mon</v>
      </c>
    </row>
    <row r="40" spans="1:22" hidden="1" x14ac:dyDescent="0.25">
      <c r="A40" t="s">
        <v>293</v>
      </c>
      <c r="B40" t="s">
        <v>34</v>
      </c>
      <c r="C40" t="s">
        <v>6</v>
      </c>
      <c r="D40" t="s">
        <v>11</v>
      </c>
      <c r="F40" s="5">
        <v>44201</v>
      </c>
      <c r="G40" s="5">
        <v>44226</v>
      </c>
      <c r="H40" s="2">
        <v>1</v>
      </c>
      <c r="I40" s="6"/>
      <c r="J40" s="6"/>
      <c r="K40" s="7">
        <v>0.25</v>
      </c>
      <c r="L40" s="7">
        <v>125.4194</v>
      </c>
      <c r="M40" t="s">
        <v>18</v>
      </c>
      <c r="N40" s="9"/>
      <c r="O40" s="8">
        <f t="array" ref="O40">INDEX(TechRate,MATCH(H40,TechNum,0))</f>
        <v>80</v>
      </c>
      <c r="P40" s="10">
        <f>WorkOrders2[[#This Row],[Techs]]*(WorkOrders2[[#This Row],[PartsCost]]*WorkOrders2[[#This Row],[LbrHrs]])</f>
        <v>31.354849999999999</v>
      </c>
      <c r="Q40" s="10">
        <f t="shared" si="0"/>
        <v>31.354849999999999</v>
      </c>
      <c r="R40" s="10">
        <f t="shared" si="1"/>
        <v>125.4194</v>
      </c>
      <c r="S40" s="10">
        <f t="shared" si="2"/>
        <v>156.77424999999999</v>
      </c>
      <c r="T40" s="10">
        <f t="shared" si="3"/>
        <v>156.77424999999999</v>
      </c>
      <c r="U40" s="8" t="str">
        <f t="shared" si="4"/>
        <v>Tue</v>
      </c>
      <c r="V40" s="8" t="str">
        <f t="shared" si="5"/>
        <v>Sat</v>
      </c>
    </row>
    <row r="41" spans="1:22" hidden="1" x14ac:dyDescent="0.25">
      <c r="A41" t="s">
        <v>314</v>
      </c>
      <c r="B41" t="s">
        <v>34</v>
      </c>
      <c r="C41" t="s">
        <v>44</v>
      </c>
      <c r="D41" t="s">
        <v>13</v>
      </c>
      <c r="F41" s="5">
        <v>44208</v>
      </c>
      <c r="G41" s="5">
        <v>44215</v>
      </c>
      <c r="H41" s="2">
        <v>1</v>
      </c>
      <c r="I41" s="6"/>
      <c r="J41" s="6"/>
      <c r="K41" s="7">
        <v>1.25</v>
      </c>
      <c r="L41" s="7">
        <v>256.71809999999999</v>
      </c>
      <c r="M41" t="s">
        <v>18</v>
      </c>
      <c r="N41" s="9"/>
      <c r="O41" s="8">
        <f t="array" ref="O41">INDEX(TechRate,MATCH(H41,TechNum,0))</f>
        <v>80</v>
      </c>
      <c r="P41" s="10">
        <f>WorkOrders2[[#This Row],[Techs]]*(WorkOrders2[[#This Row],[PartsCost]]*WorkOrders2[[#This Row],[LbrHrs]])</f>
        <v>320.89762500000001</v>
      </c>
      <c r="Q41" s="10">
        <f t="shared" si="0"/>
        <v>320.89762500000001</v>
      </c>
      <c r="R41" s="10">
        <f t="shared" si="1"/>
        <v>256.71809999999999</v>
      </c>
      <c r="S41" s="10">
        <f t="shared" si="2"/>
        <v>577.615725</v>
      </c>
      <c r="T41" s="10">
        <f t="shared" si="3"/>
        <v>577.615725</v>
      </c>
      <c r="U41" s="8" t="str">
        <f t="shared" si="4"/>
        <v>Tue</v>
      </c>
      <c r="V41" s="8" t="str">
        <f t="shared" si="5"/>
        <v>Tue</v>
      </c>
    </row>
    <row r="42" spans="1:22" hidden="1" x14ac:dyDescent="0.25">
      <c r="A42" t="s">
        <v>330</v>
      </c>
      <c r="B42" t="s">
        <v>34</v>
      </c>
      <c r="C42" t="s">
        <v>8</v>
      </c>
      <c r="D42" t="s">
        <v>11</v>
      </c>
      <c r="F42" s="5">
        <v>44216</v>
      </c>
      <c r="G42" s="5">
        <v>44329</v>
      </c>
      <c r="H42" s="2">
        <v>1</v>
      </c>
      <c r="I42" s="6"/>
      <c r="J42" s="6"/>
      <c r="K42" s="7">
        <v>0.25</v>
      </c>
      <c r="L42" s="7">
        <v>37.707000000000001</v>
      </c>
      <c r="M42" t="s">
        <v>19</v>
      </c>
      <c r="N42" s="9"/>
      <c r="O42" s="8">
        <f t="array" ref="O42">INDEX(TechRate,MATCH(H42,TechNum,0))</f>
        <v>80</v>
      </c>
      <c r="P42" s="10">
        <f>WorkOrders2[[#This Row],[Techs]]*(WorkOrders2[[#This Row],[PartsCost]]*WorkOrders2[[#This Row],[LbrHrs]])</f>
        <v>9.4267500000000002</v>
      </c>
      <c r="Q42" s="10">
        <f t="shared" si="0"/>
        <v>9.4267500000000002</v>
      </c>
      <c r="R42" s="10">
        <f t="shared" si="1"/>
        <v>37.707000000000001</v>
      </c>
      <c r="S42" s="10">
        <f t="shared" si="2"/>
        <v>47.133749999999999</v>
      </c>
      <c r="T42" s="10">
        <f t="shared" si="3"/>
        <v>47.133749999999999</v>
      </c>
      <c r="U42" s="8" t="str">
        <f t="shared" si="4"/>
        <v>Wed</v>
      </c>
      <c r="V42" s="8" t="str">
        <f t="shared" si="5"/>
        <v>Thu</v>
      </c>
    </row>
    <row r="43" spans="1:22" hidden="1" x14ac:dyDescent="0.25">
      <c r="A43" t="s">
        <v>331</v>
      </c>
      <c r="B43" t="s">
        <v>34</v>
      </c>
      <c r="C43" t="s">
        <v>6</v>
      </c>
      <c r="D43" t="s">
        <v>1</v>
      </c>
      <c r="F43" s="5">
        <v>44217</v>
      </c>
      <c r="G43" s="5">
        <v>44229</v>
      </c>
      <c r="H43" s="2">
        <v>1</v>
      </c>
      <c r="I43" s="6"/>
      <c r="J43" s="6"/>
      <c r="K43" s="7">
        <v>1</v>
      </c>
      <c r="L43" s="7">
        <v>155.03550000000001</v>
      </c>
      <c r="M43" t="s">
        <v>18</v>
      </c>
      <c r="N43" s="9"/>
      <c r="O43" s="8">
        <f t="array" ref="O43">INDEX(TechRate,MATCH(H43,TechNum,0))</f>
        <v>80</v>
      </c>
      <c r="P43" s="10">
        <f>WorkOrders2[[#This Row],[Techs]]*(WorkOrders2[[#This Row],[PartsCost]]*WorkOrders2[[#This Row],[LbrHrs]])</f>
        <v>155.03550000000001</v>
      </c>
      <c r="Q43" s="10">
        <f t="shared" si="0"/>
        <v>155.03550000000001</v>
      </c>
      <c r="R43" s="10">
        <f t="shared" si="1"/>
        <v>155.03550000000001</v>
      </c>
      <c r="S43" s="10">
        <f t="shared" si="2"/>
        <v>310.07100000000003</v>
      </c>
      <c r="T43" s="10">
        <f t="shared" si="3"/>
        <v>310.07100000000003</v>
      </c>
      <c r="U43" s="8" t="str">
        <f t="shared" si="4"/>
        <v>Thu</v>
      </c>
      <c r="V43" s="8" t="str">
        <f t="shared" si="5"/>
        <v>Tue</v>
      </c>
    </row>
    <row r="44" spans="1:22" x14ac:dyDescent="0.25">
      <c r="A44" t="s">
        <v>334</v>
      </c>
      <c r="B44" t="s">
        <v>34</v>
      </c>
      <c r="C44" t="s">
        <v>9</v>
      </c>
      <c r="D44" t="s">
        <v>2</v>
      </c>
      <c r="F44" s="5">
        <v>44217</v>
      </c>
      <c r="G44" s="5">
        <v>44278</v>
      </c>
      <c r="H44" s="2">
        <v>1</v>
      </c>
      <c r="I44" s="6"/>
      <c r="J44" s="6"/>
      <c r="K44" s="7">
        <v>2.5</v>
      </c>
      <c r="L44" s="7">
        <v>357.11079999999998</v>
      </c>
      <c r="M44" t="s">
        <v>17</v>
      </c>
      <c r="N44" s="9"/>
      <c r="O44" s="8">
        <f t="array" ref="O44">INDEX(TechRate,MATCH(H44,TechNum,0))</f>
        <v>80</v>
      </c>
      <c r="P44" s="10">
        <f>WorkOrders2[[#This Row],[Techs]]*(WorkOrders2[[#This Row],[PartsCost]]*WorkOrders2[[#This Row],[LbrHrs]])</f>
        <v>892.77699999999993</v>
      </c>
      <c r="Q44" s="10">
        <f t="shared" si="0"/>
        <v>892.77699999999993</v>
      </c>
      <c r="R44" s="10">
        <f t="shared" si="1"/>
        <v>357.11079999999998</v>
      </c>
      <c r="S44" s="10">
        <f t="shared" si="2"/>
        <v>1249.8878</v>
      </c>
      <c r="T44" s="10">
        <f t="shared" si="3"/>
        <v>1249.8878</v>
      </c>
      <c r="U44" s="8" t="str">
        <f t="shared" si="4"/>
        <v>Thu</v>
      </c>
      <c r="V44" s="8" t="str">
        <f t="shared" si="5"/>
        <v>Tue</v>
      </c>
    </row>
    <row r="45" spans="1:22" hidden="1" x14ac:dyDescent="0.25">
      <c r="A45" t="s">
        <v>392</v>
      </c>
      <c r="B45" t="s">
        <v>34</v>
      </c>
      <c r="C45" t="s">
        <v>8</v>
      </c>
      <c r="D45" t="s">
        <v>12</v>
      </c>
      <c r="F45" s="5">
        <v>44244</v>
      </c>
      <c r="G45" s="5">
        <v>44256</v>
      </c>
      <c r="H45" s="2">
        <v>1</v>
      </c>
      <c r="I45" s="6"/>
      <c r="J45" s="6"/>
      <c r="K45" s="7">
        <v>0.25</v>
      </c>
      <c r="L45" s="7">
        <v>255.3433</v>
      </c>
      <c r="M45" t="s">
        <v>18</v>
      </c>
      <c r="N45" s="9"/>
      <c r="O45" s="8">
        <f t="array" ref="O45">INDEX(TechRate,MATCH(H45,TechNum,0))</f>
        <v>80</v>
      </c>
      <c r="P45" s="10">
        <f>WorkOrders2[[#This Row],[Techs]]*(WorkOrders2[[#This Row],[PartsCost]]*WorkOrders2[[#This Row],[LbrHrs]])</f>
        <v>63.835825</v>
      </c>
      <c r="Q45" s="10">
        <f t="shared" si="0"/>
        <v>63.835825</v>
      </c>
      <c r="R45" s="10">
        <f t="shared" si="1"/>
        <v>255.3433</v>
      </c>
      <c r="S45" s="10">
        <f t="shared" si="2"/>
        <v>319.179125</v>
      </c>
      <c r="T45" s="10">
        <f t="shared" si="3"/>
        <v>319.179125</v>
      </c>
      <c r="U45" s="8" t="str">
        <f t="shared" si="4"/>
        <v>Wed</v>
      </c>
      <c r="V45" s="8" t="str">
        <f t="shared" si="5"/>
        <v>Mon</v>
      </c>
    </row>
    <row r="46" spans="1:22" hidden="1" x14ac:dyDescent="0.25">
      <c r="A46" t="s">
        <v>395</v>
      </c>
      <c r="B46" t="s">
        <v>34</v>
      </c>
      <c r="C46" t="s">
        <v>44</v>
      </c>
      <c r="D46" t="s">
        <v>11</v>
      </c>
      <c r="F46" s="5">
        <v>44245</v>
      </c>
      <c r="G46" s="5">
        <v>44261</v>
      </c>
      <c r="H46" s="2">
        <v>1</v>
      </c>
      <c r="I46" s="6"/>
      <c r="J46" s="6"/>
      <c r="K46" s="7">
        <v>0.25</v>
      </c>
      <c r="L46" s="7">
        <v>61.4985</v>
      </c>
      <c r="M46" t="s">
        <v>17</v>
      </c>
      <c r="N46" s="9"/>
      <c r="O46" s="8">
        <f t="array" ref="O46">INDEX(TechRate,MATCH(H46,TechNum,0))</f>
        <v>80</v>
      </c>
      <c r="P46" s="10">
        <f>WorkOrders2[[#This Row],[Techs]]*(WorkOrders2[[#This Row],[PartsCost]]*WorkOrders2[[#This Row],[LbrHrs]])</f>
        <v>15.374625</v>
      </c>
      <c r="Q46" s="10">
        <f t="shared" si="0"/>
        <v>15.374625</v>
      </c>
      <c r="R46" s="10">
        <f t="shared" si="1"/>
        <v>61.4985</v>
      </c>
      <c r="S46" s="10">
        <f t="shared" si="2"/>
        <v>76.873125000000002</v>
      </c>
      <c r="T46" s="10">
        <f t="shared" si="3"/>
        <v>76.873125000000002</v>
      </c>
      <c r="U46" s="8" t="str">
        <f t="shared" si="4"/>
        <v>Thu</v>
      </c>
      <c r="V46" s="8" t="str">
        <f t="shared" si="5"/>
        <v>Sat</v>
      </c>
    </row>
    <row r="47" spans="1:22" x14ac:dyDescent="0.25">
      <c r="A47" t="s">
        <v>400</v>
      </c>
      <c r="B47" t="s">
        <v>34</v>
      </c>
      <c r="C47" t="s">
        <v>9</v>
      </c>
      <c r="D47" t="s">
        <v>2</v>
      </c>
      <c r="F47" s="5">
        <v>44250</v>
      </c>
      <c r="G47" s="5">
        <v>44257</v>
      </c>
      <c r="H47" s="2">
        <v>1</v>
      </c>
      <c r="I47" s="6"/>
      <c r="J47" s="6"/>
      <c r="K47" s="7">
        <v>1</v>
      </c>
      <c r="L47" s="7">
        <v>90</v>
      </c>
      <c r="M47" t="s">
        <v>18</v>
      </c>
      <c r="N47" s="9"/>
      <c r="O47" s="8">
        <f t="array" ref="O47">INDEX(TechRate,MATCH(H47,TechNum,0))</f>
        <v>80</v>
      </c>
      <c r="P47" s="10">
        <f>WorkOrders2[[#This Row],[Techs]]*(WorkOrders2[[#This Row],[PartsCost]]*WorkOrders2[[#This Row],[LbrHrs]])</f>
        <v>90</v>
      </c>
      <c r="Q47" s="10">
        <f t="shared" si="0"/>
        <v>90</v>
      </c>
      <c r="R47" s="10">
        <f t="shared" si="1"/>
        <v>90</v>
      </c>
      <c r="S47" s="10">
        <f t="shared" si="2"/>
        <v>180</v>
      </c>
      <c r="T47" s="10">
        <f t="shared" si="3"/>
        <v>180</v>
      </c>
      <c r="U47" s="8" t="str">
        <f t="shared" si="4"/>
        <v>Tue</v>
      </c>
      <c r="V47" s="8" t="str">
        <f t="shared" si="5"/>
        <v>Tue</v>
      </c>
    </row>
    <row r="48" spans="1:22" hidden="1" x14ac:dyDescent="0.25">
      <c r="A48" t="s">
        <v>402</v>
      </c>
      <c r="B48" t="s">
        <v>34</v>
      </c>
      <c r="C48" t="s">
        <v>44</v>
      </c>
      <c r="D48" t="s">
        <v>12</v>
      </c>
      <c r="F48" s="5">
        <v>44250</v>
      </c>
      <c r="G48" s="5">
        <v>44287</v>
      </c>
      <c r="H48" s="2">
        <v>2</v>
      </c>
      <c r="I48" s="6"/>
      <c r="J48" s="6"/>
      <c r="K48" s="7">
        <v>0.25</v>
      </c>
      <c r="L48" s="7">
        <v>269.40269999999998</v>
      </c>
      <c r="M48" t="s">
        <v>18</v>
      </c>
      <c r="N48" s="9"/>
      <c r="O48" s="8">
        <f t="array" ref="O48">INDEX(TechRate,MATCH(H48,TechNum,0))</f>
        <v>140</v>
      </c>
      <c r="P48" s="10">
        <f>WorkOrders2[[#This Row],[Techs]]*(WorkOrders2[[#This Row],[PartsCost]]*WorkOrders2[[#This Row],[LbrHrs]])</f>
        <v>134.70134999999999</v>
      </c>
      <c r="Q48" s="10">
        <f t="shared" si="0"/>
        <v>134.70134999999999</v>
      </c>
      <c r="R48" s="10">
        <f t="shared" si="1"/>
        <v>269.40269999999998</v>
      </c>
      <c r="S48" s="10">
        <f t="shared" si="2"/>
        <v>404.10404999999997</v>
      </c>
      <c r="T48" s="10">
        <f t="shared" si="3"/>
        <v>404.10404999999997</v>
      </c>
      <c r="U48" s="8" t="str">
        <f t="shared" si="4"/>
        <v>Tue</v>
      </c>
      <c r="V48" s="8" t="str">
        <f t="shared" si="5"/>
        <v>Thu</v>
      </c>
    </row>
    <row r="49" spans="1:22" hidden="1" x14ac:dyDescent="0.25">
      <c r="A49" t="s">
        <v>404</v>
      </c>
      <c r="B49" t="s">
        <v>34</v>
      </c>
      <c r="C49" t="s">
        <v>9</v>
      </c>
      <c r="D49" t="s">
        <v>12</v>
      </c>
      <c r="F49" s="5">
        <v>44252</v>
      </c>
      <c r="G49" s="5">
        <v>44263</v>
      </c>
      <c r="H49" s="2">
        <v>1</v>
      </c>
      <c r="I49" s="6"/>
      <c r="J49" s="6"/>
      <c r="K49" s="7">
        <v>0.25</v>
      </c>
      <c r="L49" s="7">
        <v>305.46260000000001</v>
      </c>
      <c r="M49" t="s">
        <v>17</v>
      </c>
      <c r="N49" s="9"/>
      <c r="O49" s="8">
        <f t="array" ref="O49">INDEX(TechRate,MATCH(H49,TechNum,0))</f>
        <v>80</v>
      </c>
      <c r="P49" s="10">
        <f>WorkOrders2[[#This Row],[Techs]]*(WorkOrders2[[#This Row],[PartsCost]]*WorkOrders2[[#This Row],[LbrHrs]])</f>
        <v>76.365650000000002</v>
      </c>
      <c r="Q49" s="10">
        <f t="shared" si="0"/>
        <v>76.365650000000002</v>
      </c>
      <c r="R49" s="10">
        <f t="shared" si="1"/>
        <v>305.46260000000001</v>
      </c>
      <c r="S49" s="10">
        <f t="shared" si="2"/>
        <v>381.82825000000003</v>
      </c>
      <c r="T49" s="10">
        <f t="shared" si="3"/>
        <v>381.82825000000003</v>
      </c>
      <c r="U49" s="8" t="str">
        <f t="shared" si="4"/>
        <v>Thu</v>
      </c>
      <c r="V49" s="8" t="str">
        <f t="shared" si="5"/>
        <v>Mon</v>
      </c>
    </row>
    <row r="50" spans="1:22" hidden="1" x14ac:dyDescent="0.25">
      <c r="A50" t="s">
        <v>408</v>
      </c>
      <c r="B50" t="s">
        <v>34</v>
      </c>
      <c r="C50" t="s">
        <v>9</v>
      </c>
      <c r="D50" t="s">
        <v>12</v>
      </c>
      <c r="F50" s="5">
        <v>44252</v>
      </c>
      <c r="G50" s="5">
        <v>44293</v>
      </c>
      <c r="H50" s="2">
        <v>1</v>
      </c>
      <c r="I50" s="6"/>
      <c r="J50" s="6"/>
      <c r="K50" s="7">
        <v>0.25</v>
      </c>
      <c r="L50" s="7">
        <v>38.698399999999999</v>
      </c>
      <c r="M50" t="s">
        <v>19</v>
      </c>
      <c r="N50" s="9"/>
      <c r="O50" s="8">
        <f t="array" ref="O50">INDEX(TechRate,MATCH(H50,TechNum,0))</f>
        <v>80</v>
      </c>
      <c r="P50" s="10">
        <f>WorkOrders2[[#This Row],[Techs]]*(WorkOrders2[[#This Row],[PartsCost]]*WorkOrders2[[#This Row],[LbrHrs]])</f>
        <v>9.6745999999999999</v>
      </c>
      <c r="Q50" s="10">
        <f t="shared" si="0"/>
        <v>9.6745999999999999</v>
      </c>
      <c r="R50" s="10">
        <f t="shared" si="1"/>
        <v>38.698399999999999</v>
      </c>
      <c r="S50" s="10">
        <f t="shared" si="2"/>
        <v>48.372999999999998</v>
      </c>
      <c r="T50" s="10">
        <f t="shared" si="3"/>
        <v>48.372999999999998</v>
      </c>
      <c r="U50" s="8" t="str">
        <f t="shared" si="4"/>
        <v>Thu</v>
      </c>
      <c r="V50" s="8" t="str">
        <f t="shared" si="5"/>
        <v>Wed</v>
      </c>
    </row>
    <row r="51" spans="1:22" hidden="1" x14ac:dyDescent="0.25">
      <c r="A51" t="s">
        <v>409</v>
      </c>
      <c r="B51" t="s">
        <v>34</v>
      </c>
      <c r="C51" t="s">
        <v>44</v>
      </c>
      <c r="D51" t="s">
        <v>12</v>
      </c>
      <c r="F51" s="5">
        <v>44256</v>
      </c>
      <c r="G51" s="5">
        <v>44270</v>
      </c>
      <c r="H51" s="2">
        <v>1</v>
      </c>
      <c r="I51" s="6"/>
      <c r="J51" s="6"/>
      <c r="K51" s="7">
        <v>0.25</v>
      </c>
      <c r="L51" s="7">
        <v>164.22120000000001</v>
      </c>
      <c r="M51" t="s">
        <v>17</v>
      </c>
      <c r="N51" s="9"/>
      <c r="O51" s="8">
        <f t="array" ref="O51">INDEX(TechRate,MATCH(H51,TechNum,0))</f>
        <v>80</v>
      </c>
      <c r="P51" s="10">
        <f>WorkOrders2[[#This Row],[Techs]]*(WorkOrders2[[#This Row],[PartsCost]]*WorkOrders2[[#This Row],[LbrHrs]])</f>
        <v>41.055300000000003</v>
      </c>
      <c r="Q51" s="10">
        <f t="shared" si="0"/>
        <v>41.055300000000003</v>
      </c>
      <c r="R51" s="10">
        <f t="shared" si="1"/>
        <v>164.22120000000001</v>
      </c>
      <c r="S51" s="10">
        <f t="shared" si="2"/>
        <v>205.2765</v>
      </c>
      <c r="T51" s="10">
        <f t="shared" si="3"/>
        <v>205.2765</v>
      </c>
      <c r="U51" s="8" t="str">
        <f t="shared" si="4"/>
        <v>Mon</v>
      </c>
      <c r="V51" s="8" t="str">
        <f t="shared" si="5"/>
        <v>Mon</v>
      </c>
    </row>
    <row r="52" spans="1:22" hidden="1" x14ac:dyDescent="0.25">
      <c r="A52" t="s">
        <v>413</v>
      </c>
      <c r="B52" t="s">
        <v>34</v>
      </c>
      <c r="C52" t="s">
        <v>44</v>
      </c>
      <c r="D52" t="s">
        <v>11</v>
      </c>
      <c r="F52" s="5">
        <v>44256</v>
      </c>
      <c r="G52" s="5">
        <v>44306</v>
      </c>
      <c r="H52" s="2">
        <v>1</v>
      </c>
      <c r="I52" s="6" t="s">
        <v>3</v>
      </c>
      <c r="J52" s="6" t="s">
        <v>3</v>
      </c>
      <c r="K52" s="7">
        <v>0.25</v>
      </c>
      <c r="L52" s="7">
        <v>81.12</v>
      </c>
      <c r="M52" t="s">
        <v>20</v>
      </c>
      <c r="N52" s="9"/>
      <c r="O52" s="8">
        <f t="array" ref="O52">INDEX(TechRate,MATCH(H52,TechNum,0))</f>
        <v>80</v>
      </c>
      <c r="P52" s="10">
        <f>WorkOrders2[[#This Row],[Techs]]*(WorkOrders2[[#This Row],[PartsCost]]*WorkOrders2[[#This Row],[LbrHrs]])</f>
        <v>20.28</v>
      </c>
      <c r="Q52" s="10">
        <f t="shared" si="0"/>
        <v>0</v>
      </c>
      <c r="R52" s="10">
        <f t="shared" si="1"/>
        <v>0</v>
      </c>
      <c r="S52" s="10">
        <f t="shared" si="2"/>
        <v>101.4</v>
      </c>
      <c r="T52" s="10">
        <f t="shared" si="3"/>
        <v>0</v>
      </c>
      <c r="U52" s="8" t="str">
        <f t="shared" si="4"/>
        <v>Mon</v>
      </c>
      <c r="V52" s="8" t="str">
        <f t="shared" si="5"/>
        <v>Tue</v>
      </c>
    </row>
    <row r="53" spans="1:22" hidden="1" x14ac:dyDescent="0.25">
      <c r="A53" t="s">
        <v>419</v>
      </c>
      <c r="B53" t="s">
        <v>34</v>
      </c>
      <c r="C53" t="s">
        <v>9</v>
      </c>
      <c r="D53" t="s">
        <v>13</v>
      </c>
      <c r="F53" s="5">
        <v>44257</v>
      </c>
      <c r="G53" s="5">
        <v>44275</v>
      </c>
      <c r="H53" s="2">
        <v>1</v>
      </c>
      <c r="I53" s="6"/>
      <c r="J53" s="6"/>
      <c r="K53" s="7">
        <v>0.75</v>
      </c>
      <c r="L53" s="7">
        <v>19.196999999999999</v>
      </c>
      <c r="M53" t="s">
        <v>19</v>
      </c>
      <c r="N53" s="9"/>
      <c r="O53" s="8">
        <f t="array" ref="O53">INDEX(TechRate,MATCH(H53,TechNum,0))</f>
        <v>80</v>
      </c>
      <c r="P53" s="10">
        <f>WorkOrders2[[#This Row],[Techs]]*(WorkOrders2[[#This Row],[PartsCost]]*WorkOrders2[[#This Row],[LbrHrs]])</f>
        <v>14.397749999999998</v>
      </c>
      <c r="Q53" s="10">
        <f t="shared" si="0"/>
        <v>14.397749999999998</v>
      </c>
      <c r="R53" s="10">
        <f t="shared" si="1"/>
        <v>19.196999999999999</v>
      </c>
      <c r="S53" s="10">
        <f t="shared" si="2"/>
        <v>33.594749999999998</v>
      </c>
      <c r="T53" s="10">
        <f t="shared" si="3"/>
        <v>33.594749999999998</v>
      </c>
      <c r="U53" s="8" t="str">
        <f t="shared" si="4"/>
        <v>Tue</v>
      </c>
      <c r="V53" s="8" t="str">
        <f t="shared" si="5"/>
        <v>Sat</v>
      </c>
    </row>
    <row r="54" spans="1:22" hidden="1" x14ac:dyDescent="0.25">
      <c r="A54" t="s">
        <v>421</v>
      </c>
      <c r="B54" t="s">
        <v>34</v>
      </c>
      <c r="C54" t="s">
        <v>9</v>
      </c>
      <c r="D54" t="s">
        <v>12</v>
      </c>
      <c r="F54" s="5">
        <v>44257</v>
      </c>
      <c r="G54" s="5">
        <v>44278</v>
      </c>
      <c r="H54" s="2">
        <v>1</v>
      </c>
      <c r="I54" s="6"/>
      <c r="J54" s="6"/>
      <c r="K54" s="7">
        <v>0.25</v>
      </c>
      <c r="L54" s="7">
        <v>144</v>
      </c>
      <c r="M54" t="s">
        <v>19</v>
      </c>
      <c r="N54" s="9"/>
      <c r="O54" s="8">
        <f t="array" ref="O54">INDEX(TechRate,MATCH(H54,TechNum,0))</f>
        <v>80</v>
      </c>
      <c r="P54" s="10">
        <f>WorkOrders2[[#This Row],[Techs]]*(WorkOrders2[[#This Row],[PartsCost]]*WorkOrders2[[#This Row],[LbrHrs]])</f>
        <v>36</v>
      </c>
      <c r="Q54" s="10">
        <f t="shared" si="0"/>
        <v>36</v>
      </c>
      <c r="R54" s="10">
        <f t="shared" si="1"/>
        <v>144</v>
      </c>
      <c r="S54" s="10">
        <f t="shared" si="2"/>
        <v>180</v>
      </c>
      <c r="T54" s="10">
        <f t="shared" si="3"/>
        <v>180</v>
      </c>
      <c r="U54" s="8" t="str">
        <f t="shared" si="4"/>
        <v>Tue</v>
      </c>
      <c r="V54" s="8" t="str">
        <f t="shared" si="5"/>
        <v>Tue</v>
      </c>
    </row>
    <row r="55" spans="1:22" hidden="1" x14ac:dyDescent="0.25">
      <c r="A55" t="s">
        <v>423</v>
      </c>
      <c r="B55" t="s">
        <v>34</v>
      </c>
      <c r="C55" t="s">
        <v>9</v>
      </c>
      <c r="D55" t="s">
        <v>12</v>
      </c>
      <c r="E55" t="s">
        <v>3</v>
      </c>
      <c r="F55" s="5">
        <v>44258</v>
      </c>
      <c r="G55" s="5">
        <v>44264</v>
      </c>
      <c r="H55" s="2">
        <v>2</v>
      </c>
      <c r="I55" s="6"/>
      <c r="J55" s="6"/>
      <c r="K55" s="7">
        <v>0.25</v>
      </c>
      <c r="L55" s="7">
        <v>41.153799999999997</v>
      </c>
      <c r="M55" t="s">
        <v>18</v>
      </c>
      <c r="N55" s="9"/>
      <c r="O55" s="8">
        <f t="array" ref="O55">INDEX(TechRate,MATCH(H55,TechNum,0))</f>
        <v>140</v>
      </c>
      <c r="P55" s="10">
        <f>WorkOrders2[[#This Row],[Techs]]*(WorkOrders2[[#This Row],[PartsCost]]*WorkOrders2[[#This Row],[LbrHrs]])</f>
        <v>20.576899999999998</v>
      </c>
      <c r="Q55" s="10">
        <f t="shared" si="0"/>
        <v>20.576899999999998</v>
      </c>
      <c r="R55" s="10">
        <f t="shared" si="1"/>
        <v>41.153799999999997</v>
      </c>
      <c r="S55" s="10">
        <f t="shared" si="2"/>
        <v>61.730699999999999</v>
      </c>
      <c r="T55" s="10">
        <f t="shared" si="3"/>
        <v>61.730699999999999</v>
      </c>
      <c r="U55" s="8" t="str">
        <f t="shared" si="4"/>
        <v>Wed</v>
      </c>
      <c r="V55" s="8" t="str">
        <f t="shared" si="5"/>
        <v>Tue</v>
      </c>
    </row>
    <row r="56" spans="1:22" hidden="1" x14ac:dyDescent="0.25">
      <c r="A56" t="s">
        <v>434</v>
      </c>
      <c r="B56" t="s">
        <v>34</v>
      </c>
      <c r="C56" t="s">
        <v>44</v>
      </c>
      <c r="D56" t="s">
        <v>13</v>
      </c>
      <c r="F56" s="5">
        <v>44263</v>
      </c>
      <c r="G56" s="5">
        <v>44271</v>
      </c>
      <c r="H56" s="2">
        <v>2</v>
      </c>
      <c r="I56" s="6"/>
      <c r="J56" s="6"/>
      <c r="K56" s="7">
        <v>0.5</v>
      </c>
      <c r="L56" s="7">
        <v>144.30529999999999</v>
      </c>
      <c r="M56" t="s">
        <v>18</v>
      </c>
      <c r="N56" s="9"/>
      <c r="O56" s="8">
        <f t="array" ref="O56">INDEX(TechRate,MATCH(H56,TechNum,0))</f>
        <v>140</v>
      </c>
      <c r="P56" s="10">
        <f>WorkOrders2[[#This Row],[Techs]]*(WorkOrders2[[#This Row],[PartsCost]]*WorkOrders2[[#This Row],[LbrHrs]])</f>
        <v>144.30529999999999</v>
      </c>
      <c r="Q56" s="10">
        <f t="shared" si="0"/>
        <v>144.30529999999999</v>
      </c>
      <c r="R56" s="10">
        <f t="shared" si="1"/>
        <v>144.30529999999999</v>
      </c>
      <c r="S56" s="10">
        <f t="shared" si="2"/>
        <v>288.61059999999998</v>
      </c>
      <c r="T56" s="10">
        <f t="shared" si="3"/>
        <v>288.61059999999998</v>
      </c>
      <c r="U56" s="8" t="str">
        <f t="shared" si="4"/>
        <v>Mon</v>
      </c>
      <c r="V56" s="8" t="str">
        <f t="shared" si="5"/>
        <v>Tue</v>
      </c>
    </row>
    <row r="57" spans="1:22" hidden="1" x14ac:dyDescent="0.25">
      <c r="A57" t="s">
        <v>436</v>
      </c>
      <c r="B57" t="s">
        <v>34</v>
      </c>
      <c r="C57" t="s">
        <v>9</v>
      </c>
      <c r="D57" t="s">
        <v>1</v>
      </c>
      <c r="F57" s="5">
        <v>44263</v>
      </c>
      <c r="G57" s="5">
        <v>44282</v>
      </c>
      <c r="H57" s="2">
        <v>2</v>
      </c>
      <c r="I57" s="6"/>
      <c r="J57" s="6"/>
      <c r="K57" s="7">
        <v>2.5</v>
      </c>
      <c r="L57" s="7">
        <v>224</v>
      </c>
      <c r="M57" t="s">
        <v>18</v>
      </c>
      <c r="N57" s="9"/>
      <c r="O57" s="8">
        <f t="array" ref="O57">INDEX(TechRate,MATCH(H57,TechNum,0))</f>
        <v>140</v>
      </c>
      <c r="P57" s="10">
        <f>WorkOrders2[[#This Row],[Techs]]*(WorkOrders2[[#This Row],[PartsCost]]*WorkOrders2[[#This Row],[LbrHrs]])</f>
        <v>1120</v>
      </c>
      <c r="Q57" s="10">
        <f t="shared" si="0"/>
        <v>1120</v>
      </c>
      <c r="R57" s="10">
        <f t="shared" si="1"/>
        <v>224</v>
      </c>
      <c r="S57" s="10">
        <f t="shared" si="2"/>
        <v>1344</v>
      </c>
      <c r="T57" s="10">
        <f t="shared" si="3"/>
        <v>1344</v>
      </c>
      <c r="U57" s="8" t="str">
        <f t="shared" si="4"/>
        <v>Mon</v>
      </c>
      <c r="V57" s="8" t="str">
        <f t="shared" si="5"/>
        <v>Sat</v>
      </c>
    </row>
    <row r="58" spans="1:22" hidden="1" x14ac:dyDescent="0.25">
      <c r="A58" t="s">
        <v>438</v>
      </c>
      <c r="B58" t="s">
        <v>34</v>
      </c>
      <c r="C58" t="s">
        <v>8</v>
      </c>
      <c r="D58" t="s">
        <v>12</v>
      </c>
      <c r="F58" s="5">
        <v>44264</v>
      </c>
      <c r="G58" s="5">
        <v>44271</v>
      </c>
      <c r="H58" s="2">
        <v>1</v>
      </c>
      <c r="I58" s="6"/>
      <c r="J58" s="6"/>
      <c r="K58" s="7">
        <v>1</v>
      </c>
      <c r="L58" s="7">
        <v>46.036799999999999</v>
      </c>
      <c r="M58" t="s">
        <v>18</v>
      </c>
      <c r="N58" s="9"/>
      <c r="O58" s="8">
        <f t="array" ref="O58">INDEX(TechRate,MATCH(H58,TechNum,0))</f>
        <v>80</v>
      </c>
      <c r="P58" s="10">
        <f>WorkOrders2[[#This Row],[Techs]]*(WorkOrders2[[#This Row],[PartsCost]]*WorkOrders2[[#This Row],[LbrHrs]])</f>
        <v>46.036799999999999</v>
      </c>
      <c r="Q58" s="10">
        <f t="shared" si="0"/>
        <v>46.036799999999999</v>
      </c>
      <c r="R58" s="10">
        <f t="shared" si="1"/>
        <v>46.036799999999999</v>
      </c>
      <c r="S58" s="10">
        <f t="shared" si="2"/>
        <v>92.073599999999999</v>
      </c>
      <c r="T58" s="10">
        <f t="shared" si="3"/>
        <v>92.073599999999999</v>
      </c>
      <c r="U58" s="8" t="str">
        <f t="shared" si="4"/>
        <v>Tue</v>
      </c>
      <c r="V58" s="8" t="str">
        <f t="shared" si="5"/>
        <v>Tue</v>
      </c>
    </row>
    <row r="59" spans="1:22" hidden="1" x14ac:dyDescent="0.25">
      <c r="A59" t="s">
        <v>453</v>
      </c>
      <c r="B59" t="s">
        <v>34</v>
      </c>
      <c r="C59" t="s">
        <v>44</v>
      </c>
      <c r="D59" t="s">
        <v>11</v>
      </c>
      <c r="F59" s="5">
        <v>44266</v>
      </c>
      <c r="G59" s="5">
        <v>44394</v>
      </c>
      <c r="H59" s="2">
        <v>1</v>
      </c>
      <c r="I59" s="6"/>
      <c r="J59" s="6"/>
      <c r="K59" s="7">
        <v>0.25</v>
      </c>
      <c r="L59" s="7">
        <v>120</v>
      </c>
      <c r="M59" t="s">
        <v>17</v>
      </c>
      <c r="N59" s="9"/>
      <c r="O59" s="8">
        <f t="array" ref="O59">INDEX(TechRate,MATCH(H59,TechNum,0))</f>
        <v>80</v>
      </c>
      <c r="P59" s="10">
        <f>WorkOrders2[[#This Row],[Techs]]*(WorkOrders2[[#This Row],[PartsCost]]*WorkOrders2[[#This Row],[LbrHrs]])</f>
        <v>30</v>
      </c>
      <c r="Q59" s="10">
        <f t="shared" si="0"/>
        <v>30</v>
      </c>
      <c r="R59" s="10">
        <f t="shared" si="1"/>
        <v>120</v>
      </c>
      <c r="S59" s="10">
        <f t="shared" si="2"/>
        <v>150</v>
      </c>
      <c r="T59" s="10">
        <f t="shared" si="3"/>
        <v>150</v>
      </c>
      <c r="U59" s="8" t="str">
        <f t="shared" si="4"/>
        <v>Thu</v>
      </c>
      <c r="V59" s="8" t="str">
        <f t="shared" si="5"/>
        <v>Sat</v>
      </c>
    </row>
    <row r="60" spans="1:22" x14ac:dyDescent="0.25">
      <c r="A60" t="s">
        <v>460</v>
      </c>
      <c r="B60" t="s">
        <v>34</v>
      </c>
      <c r="C60" t="s">
        <v>9</v>
      </c>
      <c r="D60" t="s">
        <v>2</v>
      </c>
      <c r="F60" s="5">
        <v>44270</v>
      </c>
      <c r="G60" s="5">
        <v>44293</v>
      </c>
      <c r="H60" s="2">
        <v>1</v>
      </c>
      <c r="I60" s="6"/>
      <c r="J60" s="6" t="s">
        <v>3</v>
      </c>
      <c r="K60" s="7">
        <v>1.5</v>
      </c>
      <c r="L60" s="7">
        <v>95.042900000000003</v>
      </c>
      <c r="M60" t="s">
        <v>18</v>
      </c>
      <c r="N60" s="9"/>
      <c r="O60" s="8">
        <f t="array" ref="O60">INDEX(TechRate,MATCH(H60,TechNum,0))</f>
        <v>80</v>
      </c>
      <c r="P60" s="10">
        <f>WorkOrders2[[#This Row],[Techs]]*(WorkOrders2[[#This Row],[PartsCost]]*WorkOrders2[[#This Row],[LbrHrs]])</f>
        <v>142.56434999999999</v>
      </c>
      <c r="Q60" s="10">
        <f t="shared" si="0"/>
        <v>142.56434999999999</v>
      </c>
      <c r="R60" s="10">
        <f t="shared" si="1"/>
        <v>0</v>
      </c>
      <c r="S60" s="10">
        <f t="shared" si="2"/>
        <v>237.60724999999999</v>
      </c>
      <c r="T60" s="10">
        <f t="shared" si="3"/>
        <v>142.56434999999999</v>
      </c>
      <c r="U60" s="8" t="str">
        <f t="shared" si="4"/>
        <v>Mon</v>
      </c>
      <c r="V60" s="8" t="str">
        <f t="shared" si="5"/>
        <v>Wed</v>
      </c>
    </row>
    <row r="61" spans="1:22" x14ac:dyDescent="0.25">
      <c r="A61" t="s">
        <v>462</v>
      </c>
      <c r="B61" t="s">
        <v>34</v>
      </c>
      <c r="C61" t="s">
        <v>7</v>
      </c>
      <c r="D61" t="s">
        <v>2</v>
      </c>
      <c r="F61" s="5">
        <v>44270</v>
      </c>
      <c r="G61" s="5">
        <v>44324</v>
      </c>
      <c r="H61" s="2">
        <v>2</v>
      </c>
      <c r="I61" s="6" t="s">
        <v>3</v>
      </c>
      <c r="J61" s="6" t="s">
        <v>3</v>
      </c>
      <c r="K61" s="7">
        <v>2.25</v>
      </c>
      <c r="L61" s="7">
        <v>934.45389999999998</v>
      </c>
      <c r="M61" t="s">
        <v>20</v>
      </c>
      <c r="N61" s="9"/>
      <c r="O61" s="8">
        <f t="array" ref="O61">INDEX(TechRate,MATCH(H61,TechNum,0))</f>
        <v>140</v>
      </c>
      <c r="P61" s="10">
        <f>WorkOrders2[[#This Row],[Techs]]*(WorkOrders2[[#This Row],[PartsCost]]*WorkOrders2[[#This Row],[LbrHrs]])</f>
        <v>4205.0425500000001</v>
      </c>
      <c r="Q61" s="10">
        <f t="shared" si="0"/>
        <v>0</v>
      </c>
      <c r="R61" s="10">
        <f t="shared" si="1"/>
        <v>0</v>
      </c>
      <c r="S61" s="10">
        <f t="shared" si="2"/>
        <v>5139.4964500000006</v>
      </c>
      <c r="T61" s="10">
        <f t="shared" si="3"/>
        <v>0</v>
      </c>
      <c r="U61" s="8" t="str">
        <f t="shared" si="4"/>
        <v>Mon</v>
      </c>
      <c r="V61" s="8" t="str">
        <f t="shared" si="5"/>
        <v>Sat</v>
      </c>
    </row>
    <row r="62" spans="1:22" hidden="1" x14ac:dyDescent="0.25">
      <c r="A62" t="s">
        <v>466</v>
      </c>
      <c r="B62" t="s">
        <v>34</v>
      </c>
      <c r="C62" t="s">
        <v>9</v>
      </c>
      <c r="D62" t="s">
        <v>13</v>
      </c>
      <c r="F62" s="5">
        <v>44271</v>
      </c>
      <c r="G62" s="5">
        <v>44288</v>
      </c>
      <c r="H62" s="2">
        <v>2</v>
      </c>
      <c r="I62" s="6"/>
      <c r="J62" s="6"/>
      <c r="K62" s="7">
        <v>4.5</v>
      </c>
      <c r="L62" s="7">
        <v>658.67510000000004</v>
      </c>
      <c r="M62" t="s">
        <v>17</v>
      </c>
      <c r="N62" s="9"/>
      <c r="O62" s="8">
        <f t="array" ref="O62">INDEX(TechRate,MATCH(H62,TechNum,0))</f>
        <v>140</v>
      </c>
      <c r="P62" s="10">
        <f>WorkOrders2[[#This Row],[Techs]]*(WorkOrders2[[#This Row],[PartsCost]]*WorkOrders2[[#This Row],[LbrHrs]])</f>
        <v>5928.0759000000007</v>
      </c>
      <c r="Q62" s="10">
        <f t="shared" si="0"/>
        <v>5928.0759000000007</v>
      </c>
      <c r="R62" s="10">
        <f t="shared" si="1"/>
        <v>658.67510000000004</v>
      </c>
      <c r="S62" s="10">
        <f t="shared" si="2"/>
        <v>6586.7510000000011</v>
      </c>
      <c r="T62" s="10">
        <f t="shared" si="3"/>
        <v>6586.7510000000011</v>
      </c>
      <c r="U62" s="8" t="str">
        <f t="shared" si="4"/>
        <v>Tue</v>
      </c>
      <c r="V62" s="8" t="str">
        <f t="shared" si="5"/>
        <v>Fri</v>
      </c>
    </row>
    <row r="63" spans="1:22" x14ac:dyDescent="0.25">
      <c r="A63" t="s">
        <v>467</v>
      </c>
      <c r="B63" t="s">
        <v>34</v>
      </c>
      <c r="C63" t="s">
        <v>9</v>
      </c>
      <c r="D63" t="s">
        <v>2</v>
      </c>
      <c r="F63" s="5">
        <v>44271</v>
      </c>
      <c r="G63" s="5">
        <v>44289</v>
      </c>
      <c r="H63" s="2">
        <v>2</v>
      </c>
      <c r="I63" s="6"/>
      <c r="J63" s="6"/>
      <c r="K63" s="7">
        <v>8</v>
      </c>
      <c r="L63" s="7">
        <v>1468.5196000000001</v>
      </c>
      <c r="M63" t="s">
        <v>17</v>
      </c>
      <c r="N63" s="9"/>
      <c r="O63" s="8">
        <f t="array" ref="O63">INDEX(TechRate,MATCH(H63,TechNum,0))</f>
        <v>140</v>
      </c>
      <c r="P63" s="10">
        <f>WorkOrders2[[#This Row],[Techs]]*(WorkOrders2[[#This Row],[PartsCost]]*WorkOrders2[[#This Row],[LbrHrs]])</f>
        <v>23496.313600000001</v>
      </c>
      <c r="Q63" s="10">
        <f t="shared" si="0"/>
        <v>23496.313600000001</v>
      </c>
      <c r="R63" s="10">
        <f t="shared" si="1"/>
        <v>1468.5196000000001</v>
      </c>
      <c r="S63" s="10">
        <f t="shared" si="2"/>
        <v>24964.833200000001</v>
      </c>
      <c r="T63" s="10">
        <f t="shared" si="3"/>
        <v>24964.833200000001</v>
      </c>
      <c r="U63" s="8" t="str">
        <f t="shared" si="4"/>
        <v>Tue</v>
      </c>
      <c r="V63" s="8" t="str">
        <f t="shared" si="5"/>
        <v>Sat</v>
      </c>
    </row>
    <row r="64" spans="1:22" hidden="1" x14ac:dyDescent="0.25">
      <c r="A64" t="s">
        <v>483</v>
      </c>
      <c r="B64" t="s">
        <v>34</v>
      </c>
      <c r="C64" t="s">
        <v>9</v>
      </c>
      <c r="D64" t="s">
        <v>13</v>
      </c>
      <c r="F64" s="5">
        <v>44278</v>
      </c>
      <c r="G64" s="5">
        <v>44278</v>
      </c>
      <c r="H64" s="2">
        <v>1</v>
      </c>
      <c r="I64" s="6" t="s">
        <v>3</v>
      </c>
      <c r="J64" s="6" t="s">
        <v>3</v>
      </c>
      <c r="K64" s="7">
        <v>0.5</v>
      </c>
      <c r="L64" s="7">
        <v>165</v>
      </c>
      <c r="M64" t="s">
        <v>20</v>
      </c>
      <c r="N64" s="9"/>
      <c r="O64" s="8">
        <f t="array" ref="O64">INDEX(TechRate,MATCH(H64,TechNum,0))</f>
        <v>80</v>
      </c>
      <c r="P64" s="10">
        <f>WorkOrders2[[#This Row],[Techs]]*(WorkOrders2[[#This Row],[PartsCost]]*WorkOrders2[[#This Row],[LbrHrs]])</f>
        <v>82.5</v>
      </c>
      <c r="Q64" s="10">
        <f t="shared" si="0"/>
        <v>0</v>
      </c>
      <c r="R64" s="10">
        <f t="shared" si="1"/>
        <v>0</v>
      </c>
      <c r="S64" s="10">
        <f t="shared" si="2"/>
        <v>247.5</v>
      </c>
      <c r="T64" s="10">
        <f t="shared" si="3"/>
        <v>0</v>
      </c>
      <c r="U64" s="8" t="str">
        <f t="shared" si="4"/>
        <v>Tue</v>
      </c>
      <c r="V64" s="8" t="str">
        <f t="shared" si="5"/>
        <v>Tue</v>
      </c>
    </row>
    <row r="65" spans="1:22" hidden="1" x14ac:dyDescent="0.25">
      <c r="A65" t="s">
        <v>486</v>
      </c>
      <c r="B65" t="s">
        <v>34</v>
      </c>
      <c r="C65" t="s">
        <v>9</v>
      </c>
      <c r="D65" t="s">
        <v>12</v>
      </c>
      <c r="F65" s="5">
        <v>44278</v>
      </c>
      <c r="G65" s="5">
        <v>44294</v>
      </c>
      <c r="H65" s="2">
        <v>1</v>
      </c>
      <c r="I65" s="6"/>
      <c r="J65" s="6" t="s">
        <v>3</v>
      </c>
      <c r="K65" s="7">
        <v>1</v>
      </c>
      <c r="L65" s="7">
        <v>448.26</v>
      </c>
      <c r="M65" t="s">
        <v>18</v>
      </c>
      <c r="N65" s="9"/>
      <c r="O65" s="8">
        <f t="array" ref="O65">INDEX(TechRate,MATCH(H65,TechNum,0))</f>
        <v>80</v>
      </c>
      <c r="P65" s="10">
        <f>WorkOrders2[[#This Row],[Techs]]*(WorkOrders2[[#This Row],[PartsCost]]*WorkOrders2[[#This Row],[LbrHrs]])</f>
        <v>448.26</v>
      </c>
      <c r="Q65" s="10">
        <f t="shared" si="0"/>
        <v>448.26</v>
      </c>
      <c r="R65" s="10">
        <f t="shared" si="1"/>
        <v>0</v>
      </c>
      <c r="S65" s="10">
        <f t="shared" si="2"/>
        <v>896.52</v>
      </c>
      <c r="T65" s="10">
        <f t="shared" si="3"/>
        <v>448.26</v>
      </c>
      <c r="U65" s="8" t="str">
        <f t="shared" si="4"/>
        <v>Tue</v>
      </c>
      <c r="V65" s="8" t="str">
        <f t="shared" si="5"/>
        <v>Thu</v>
      </c>
    </row>
    <row r="66" spans="1:22" hidden="1" x14ac:dyDescent="0.25">
      <c r="A66" t="s">
        <v>488</v>
      </c>
      <c r="B66" t="s">
        <v>34</v>
      </c>
      <c r="C66" t="s">
        <v>8</v>
      </c>
      <c r="D66" t="s">
        <v>11</v>
      </c>
      <c r="F66" s="5">
        <v>44278</v>
      </c>
      <c r="G66" s="5">
        <v>44298</v>
      </c>
      <c r="H66" s="2">
        <v>1</v>
      </c>
      <c r="I66" s="6"/>
      <c r="J66" s="6"/>
      <c r="K66" s="7">
        <v>0.25</v>
      </c>
      <c r="L66" s="7">
        <v>77.290000000000006</v>
      </c>
      <c r="M66" t="s">
        <v>18</v>
      </c>
      <c r="N66" s="9"/>
      <c r="O66" s="8">
        <f t="array" ref="O66">INDEX(TechRate,MATCH(H66,TechNum,0))</f>
        <v>80</v>
      </c>
      <c r="P66" s="10">
        <f>WorkOrders2[[#This Row],[Techs]]*(WorkOrders2[[#This Row],[PartsCost]]*WorkOrders2[[#This Row],[LbrHrs]])</f>
        <v>19.322500000000002</v>
      </c>
      <c r="Q66" s="10">
        <f t="shared" ref="Q66:Q129" si="6">IF(I66="Yes",0,P66)</f>
        <v>19.322500000000002</v>
      </c>
      <c r="R66" s="10">
        <f t="shared" ref="R66:R129" si="7">IF(J66="Yes",0,L66)</f>
        <v>77.290000000000006</v>
      </c>
      <c r="S66" s="10">
        <f t="shared" ref="S66:S129" si="8">SUM(L66,P66)</f>
        <v>96.612500000000011</v>
      </c>
      <c r="T66" s="10">
        <f t="shared" ref="T66:T129" si="9">SUM(Q66,R66)</f>
        <v>96.612500000000011</v>
      </c>
      <c r="U66" s="8" t="str">
        <f t="shared" ref="U66:U129" si="10">TEXT(F66,"ddd")</f>
        <v>Tue</v>
      </c>
      <c r="V66" s="8" t="str">
        <f t="shared" ref="V66:V129" si="11">TEXT(G66,"ddd")</f>
        <v>Mon</v>
      </c>
    </row>
    <row r="67" spans="1:22" x14ac:dyDescent="0.25">
      <c r="A67" t="s">
        <v>497</v>
      </c>
      <c r="B67" t="s">
        <v>34</v>
      </c>
      <c r="C67" t="s">
        <v>8</v>
      </c>
      <c r="D67" t="s">
        <v>2</v>
      </c>
      <c r="F67" s="5">
        <v>44285</v>
      </c>
      <c r="G67" s="5">
        <v>44328</v>
      </c>
      <c r="H67" s="2">
        <v>1</v>
      </c>
      <c r="I67" s="6"/>
      <c r="J67" s="6"/>
      <c r="K67" s="7">
        <v>2.75</v>
      </c>
      <c r="L67" s="7">
        <v>708.02269999999999</v>
      </c>
      <c r="M67" t="s">
        <v>18</v>
      </c>
      <c r="N67" s="9"/>
      <c r="O67" s="8">
        <f t="array" ref="O67">INDEX(TechRate,MATCH(H67,TechNum,0))</f>
        <v>80</v>
      </c>
      <c r="P67" s="10">
        <f>WorkOrders2[[#This Row],[Techs]]*(WorkOrders2[[#This Row],[PartsCost]]*WorkOrders2[[#This Row],[LbrHrs]])</f>
        <v>1947.0624250000001</v>
      </c>
      <c r="Q67" s="10">
        <f t="shared" si="6"/>
        <v>1947.0624250000001</v>
      </c>
      <c r="R67" s="10">
        <f t="shared" si="7"/>
        <v>708.02269999999999</v>
      </c>
      <c r="S67" s="10">
        <f t="shared" si="8"/>
        <v>2655.0851250000001</v>
      </c>
      <c r="T67" s="10">
        <f t="shared" si="9"/>
        <v>2655.0851250000001</v>
      </c>
      <c r="U67" s="8" t="str">
        <f t="shared" si="10"/>
        <v>Tue</v>
      </c>
      <c r="V67" s="8" t="str">
        <f t="shared" si="11"/>
        <v>Wed</v>
      </c>
    </row>
    <row r="68" spans="1:22" hidden="1" x14ac:dyDescent="0.25">
      <c r="A68" t="s">
        <v>498</v>
      </c>
      <c r="B68" t="s">
        <v>34</v>
      </c>
      <c r="C68" t="s">
        <v>9</v>
      </c>
      <c r="D68" t="s">
        <v>13</v>
      </c>
      <c r="F68" s="5">
        <v>44286</v>
      </c>
      <c r="G68" s="5">
        <v>44292</v>
      </c>
      <c r="H68" s="2">
        <v>1</v>
      </c>
      <c r="I68" s="6"/>
      <c r="J68" s="6"/>
      <c r="K68" s="7">
        <v>0.5</v>
      </c>
      <c r="L68" s="7">
        <v>13.321400000000001</v>
      </c>
      <c r="M68" t="s">
        <v>18</v>
      </c>
      <c r="N68" s="9"/>
      <c r="O68" s="8">
        <f t="array" ref="O68">INDEX(TechRate,MATCH(H68,TechNum,0))</f>
        <v>80</v>
      </c>
      <c r="P68" s="10">
        <f>WorkOrders2[[#This Row],[Techs]]*(WorkOrders2[[#This Row],[PartsCost]]*WorkOrders2[[#This Row],[LbrHrs]])</f>
        <v>6.6607000000000003</v>
      </c>
      <c r="Q68" s="10">
        <f t="shared" si="6"/>
        <v>6.6607000000000003</v>
      </c>
      <c r="R68" s="10">
        <f t="shared" si="7"/>
        <v>13.321400000000001</v>
      </c>
      <c r="S68" s="10">
        <f t="shared" si="8"/>
        <v>19.982100000000003</v>
      </c>
      <c r="T68" s="10">
        <f t="shared" si="9"/>
        <v>19.982100000000003</v>
      </c>
      <c r="U68" s="8" t="str">
        <f t="shared" si="10"/>
        <v>Wed</v>
      </c>
      <c r="V68" s="8" t="str">
        <f t="shared" si="11"/>
        <v>Tue</v>
      </c>
    </row>
    <row r="69" spans="1:22" x14ac:dyDescent="0.25">
      <c r="A69" t="s">
        <v>516</v>
      </c>
      <c r="B69" t="s">
        <v>34</v>
      </c>
      <c r="C69" t="s">
        <v>44</v>
      </c>
      <c r="D69" t="s">
        <v>2</v>
      </c>
      <c r="F69" s="5">
        <v>44291</v>
      </c>
      <c r="G69" s="5">
        <v>44362</v>
      </c>
      <c r="H69" s="2">
        <v>1</v>
      </c>
      <c r="I69" s="6"/>
      <c r="J69" s="6"/>
      <c r="K69" s="7">
        <v>4.25</v>
      </c>
      <c r="L69" s="7">
        <v>21.33</v>
      </c>
      <c r="M69" t="s">
        <v>17</v>
      </c>
      <c r="N69" s="9"/>
      <c r="O69" s="8">
        <f t="array" ref="O69">INDEX(TechRate,MATCH(H69,TechNum,0))</f>
        <v>80</v>
      </c>
      <c r="P69" s="10">
        <f>WorkOrders2[[#This Row],[Techs]]*(WorkOrders2[[#This Row],[PartsCost]]*WorkOrders2[[#This Row],[LbrHrs]])</f>
        <v>90.652499999999989</v>
      </c>
      <c r="Q69" s="10">
        <f t="shared" si="6"/>
        <v>90.652499999999989</v>
      </c>
      <c r="R69" s="10">
        <f t="shared" si="7"/>
        <v>21.33</v>
      </c>
      <c r="S69" s="10">
        <f t="shared" si="8"/>
        <v>111.98249999999999</v>
      </c>
      <c r="T69" s="10">
        <f t="shared" si="9"/>
        <v>111.98249999999999</v>
      </c>
      <c r="U69" s="8" t="str">
        <f t="shared" si="10"/>
        <v>Mon</v>
      </c>
      <c r="V69" s="8" t="str">
        <f t="shared" si="11"/>
        <v>Tue</v>
      </c>
    </row>
    <row r="70" spans="1:22" x14ac:dyDescent="0.25">
      <c r="A70" t="s">
        <v>527</v>
      </c>
      <c r="B70" t="s">
        <v>34</v>
      </c>
      <c r="C70" t="s">
        <v>8</v>
      </c>
      <c r="D70" t="s">
        <v>2</v>
      </c>
      <c r="F70" s="5">
        <v>44293</v>
      </c>
      <c r="G70" s="5">
        <v>44327</v>
      </c>
      <c r="H70" s="2">
        <v>2</v>
      </c>
      <c r="I70" s="6"/>
      <c r="J70" s="6"/>
      <c r="K70" s="7">
        <v>2</v>
      </c>
      <c r="L70" s="7">
        <v>2050.6</v>
      </c>
      <c r="M70" t="s">
        <v>17</v>
      </c>
      <c r="N70" s="9"/>
      <c r="O70" s="8">
        <f t="array" ref="O70">INDEX(TechRate,MATCH(H70,TechNum,0))</f>
        <v>140</v>
      </c>
      <c r="P70" s="10">
        <f>WorkOrders2[[#This Row],[Techs]]*(WorkOrders2[[#This Row],[PartsCost]]*WorkOrders2[[#This Row],[LbrHrs]])</f>
        <v>8202.4</v>
      </c>
      <c r="Q70" s="10">
        <f t="shared" si="6"/>
        <v>8202.4</v>
      </c>
      <c r="R70" s="10">
        <f t="shared" si="7"/>
        <v>2050.6</v>
      </c>
      <c r="S70" s="10">
        <f t="shared" si="8"/>
        <v>10253</v>
      </c>
      <c r="T70" s="10">
        <f t="shared" si="9"/>
        <v>10253</v>
      </c>
      <c r="U70" s="8" t="str">
        <f t="shared" si="10"/>
        <v>Wed</v>
      </c>
      <c r="V70" s="8" t="str">
        <f t="shared" si="11"/>
        <v>Tue</v>
      </c>
    </row>
    <row r="71" spans="1:22" hidden="1" x14ac:dyDescent="0.25">
      <c r="A71" t="s">
        <v>530</v>
      </c>
      <c r="B71" t="s">
        <v>34</v>
      </c>
      <c r="C71" t="s">
        <v>8</v>
      </c>
      <c r="D71" t="s">
        <v>11</v>
      </c>
      <c r="F71" s="5">
        <v>44294</v>
      </c>
      <c r="G71" s="5">
        <v>44314</v>
      </c>
      <c r="H71" s="2">
        <v>1</v>
      </c>
      <c r="I71" s="6" t="s">
        <v>3</v>
      </c>
      <c r="J71" s="6" t="s">
        <v>3</v>
      </c>
      <c r="K71" s="7">
        <v>0.25</v>
      </c>
      <c r="L71" s="7">
        <v>30</v>
      </c>
      <c r="M71" t="s">
        <v>20</v>
      </c>
      <c r="N71" s="9"/>
      <c r="O71" s="8">
        <f t="array" ref="O71">INDEX(TechRate,MATCH(H71,TechNum,0))</f>
        <v>80</v>
      </c>
      <c r="P71" s="10">
        <f>WorkOrders2[[#This Row],[Techs]]*(WorkOrders2[[#This Row],[PartsCost]]*WorkOrders2[[#This Row],[LbrHrs]])</f>
        <v>7.5</v>
      </c>
      <c r="Q71" s="10">
        <f t="shared" si="6"/>
        <v>0</v>
      </c>
      <c r="R71" s="10">
        <f t="shared" si="7"/>
        <v>0</v>
      </c>
      <c r="S71" s="10">
        <f t="shared" si="8"/>
        <v>37.5</v>
      </c>
      <c r="T71" s="10">
        <f t="shared" si="9"/>
        <v>0</v>
      </c>
      <c r="U71" s="8" t="str">
        <f t="shared" si="10"/>
        <v>Thu</v>
      </c>
      <c r="V71" s="8" t="str">
        <f t="shared" si="11"/>
        <v>Wed</v>
      </c>
    </row>
    <row r="72" spans="1:22" hidden="1" x14ac:dyDescent="0.25">
      <c r="A72" t="s">
        <v>539</v>
      </c>
      <c r="B72" t="s">
        <v>34</v>
      </c>
      <c r="C72" t="s">
        <v>44</v>
      </c>
      <c r="D72" t="s">
        <v>12</v>
      </c>
      <c r="F72" s="5">
        <v>44298</v>
      </c>
      <c r="G72" s="5">
        <v>44307</v>
      </c>
      <c r="H72" s="2">
        <v>2</v>
      </c>
      <c r="I72" s="6"/>
      <c r="J72" s="6" t="s">
        <v>3</v>
      </c>
      <c r="K72" s="7">
        <v>0.5</v>
      </c>
      <c r="L72" s="7">
        <v>176.22120000000001</v>
      </c>
      <c r="M72" t="s">
        <v>18</v>
      </c>
      <c r="N72" s="9"/>
      <c r="O72" s="8">
        <f t="array" ref="O72">INDEX(TechRate,MATCH(H72,TechNum,0))</f>
        <v>140</v>
      </c>
      <c r="P72" s="10">
        <f>WorkOrders2[[#This Row],[Techs]]*(WorkOrders2[[#This Row],[PartsCost]]*WorkOrders2[[#This Row],[LbrHrs]])</f>
        <v>176.22120000000001</v>
      </c>
      <c r="Q72" s="10">
        <f t="shared" si="6"/>
        <v>176.22120000000001</v>
      </c>
      <c r="R72" s="10">
        <f t="shared" si="7"/>
        <v>0</v>
      </c>
      <c r="S72" s="10">
        <f t="shared" si="8"/>
        <v>352.44240000000002</v>
      </c>
      <c r="T72" s="10">
        <f t="shared" si="9"/>
        <v>176.22120000000001</v>
      </c>
      <c r="U72" s="8" t="str">
        <f t="shared" si="10"/>
        <v>Mon</v>
      </c>
      <c r="V72" s="8" t="str">
        <f t="shared" si="11"/>
        <v>Wed</v>
      </c>
    </row>
    <row r="73" spans="1:22" hidden="1" x14ac:dyDescent="0.25">
      <c r="A73" t="s">
        <v>542</v>
      </c>
      <c r="B73" t="s">
        <v>34</v>
      </c>
      <c r="C73" t="s">
        <v>9</v>
      </c>
      <c r="D73" t="s">
        <v>1</v>
      </c>
      <c r="F73" s="5">
        <v>44298</v>
      </c>
      <c r="G73" s="5">
        <v>44320</v>
      </c>
      <c r="H73" s="2">
        <v>2</v>
      </c>
      <c r="I73" s="6"/>
      <c r="J73" s="6"/>
      <c r="K73" s="7">
        <v>2.25</v>
      </c>
      <c r="L73" s="7">
        <v>52</v>
      </c>
      <c r="M73" t="s">
        <v>17</v>
      </c>
      <c r="N73" s="9"/>
      <c r="O73" s="8">
        <f t="array" ref="O73">INDEX(TechRate,MATCH(H73,TechNum,0))</f>
        <v>140</v>
      </c>
      <c r="P73" s="10">
        <f>WorkOrders2[[#This Row],[Techs]]*(WorkOrders2[[#This Row],[PartsCost]]*WorkOrders2[[#This Row],[LbrHrs]])</f>
        <v>234</v>
      </c>
      <c r="Q73" s="10">
        <f t="shared" si="6"/>
        <v>234</v>
      </c>
      <c r="R73" s="10">
        <f t="shared" si="7"/>
        <v>52</v>
      </c>
      <c r="S73" s="10">
        <f t="shared" si="8"/>
        <v>286</v>
      </c>
      <c r="T73" s="10">
        <f t="shared" si="9"/>
        <v>286</v>
      </c>
      <c r="U73" s="8" t="str">
        <f t="shared" si="10"/>
        <v>Mon</v>
      </c>
      <c r="V73" s="8" t="str">
        <f t="shared" si="11"/>
        <v>Tue</v>
      </c>
    </row>
    <row r="74" spans="1:22" hidden="1" x14ac:dyDescent="0.25">
      <c r="A74" t="s">
        <v>544</v>
      </c>
      <c r="B74" t="s">
        <v>34</v>
      </c>
      <c r="C74" t="s">
        <v>44</v>
      </c>
      <c r="D74" t="s">
        <v>13</v>
      </c>
      <c r="F74" s="5">
        <v>44298</v>
      </c>
      <c r="G74" s="5">
        <v>44363</v>
      </c>
      <c r="H74" s="2">
        <v>1</v>
      </c>
      <c r="I74" s="6"/>
      <c r="J74" s="6"/>
      <c r="K74" s="7">
        <v>0.5</v>
      </c>
      <c r="L74" s="7">
        <v>144</v>
      </c>
      <c r="M74" t="s">
        <v>18</v>
      </c>
      <c r="N74" s="9"/>
      <c r="O74" s="8">
        <f t="array" ref="O74">INDEX(TechRate,MATCH(H74,TechNum,0))</f>
        <v>80</v>
      </c>
      <c r="P74" s="10">
        <f>WorkOrders2[[#This Row],[Techs]]*(WorkOrders2[[#This Row],[PartsCost]]*WorkOrders2[[#This Row],[LbrHrs]])</f>
        <v>72</v>
      </c>
      <c r="Q74" s="10">
        <f t="shared" si="6"/>
        <v>72</v>
      </c>
      <c r="R74" s="10">
        <f t="shared" si="7"/>
        <v>144</v>
      </c>
      <c r="S74" s="10">
        <f t="shared" si="8"/>
        <v>216</v>
      </c>
      <c r="T74" s="10">
        <f t="shared" si="9"/>
        <v>216</v>
      </c>
      <c r="U74" s="8" t="str">
        <f t="shared" si="10"/>
        <v>Mon</v>
      </c>
      <c r="V74" s="8" t="str">
        <f t="shared" si="11"/>
        <v>Wed</v>
      </c>
    </row>
    <row r="75" spans="1:22" hidden="1" x14ac:dyDescent="0.25">
      <c r="A75" t="s">
        <v>194</v>
      </c>
      <c r="B75" t="s">
        <v>40</v>
      </c>
      <c r="C75" t="s">
        <v>7</v>
      </c>
      <c r="D75" t="s">
        <v>13</v>
      </c>
      <c r="F75" s="5">
        <v>44144</v>
      </c>
      <c r="G75" s="5">
        <v>44258</v>
      </c>
      <c r="H75" s="2">
        <v>2</v>
      </c>
      <c r="I75" s="6"/>
      <c r="J75" s="6"/>
      <c r="K75" s="7">
        <v>0.5</v>
      </c>
      <c r="L75" s="7">
        <v>22</v>
      </c>
      <c r="M75" t="s">
        <v>17</v>
      </c>
      <c r="N75" s="9"/>
      <c r="O75" s="8">
        <f t="array" ref="O75">INDEX(TechRate,MATCH(H75,TechNum,0))</f>
        <v>140</v>
      </c>
      <c r="P75" s="10">
        <f>WorkOrders2[[#This Row],[Techs]]*(WorkOrders2[[#This Row],[PartsCost]]*WorkOrders2[[#This Row],[LbrHrs]])</f>
        <v>22</v>
      </c>
      <c r="Q75" s="10">
        <f t="shared" si="6"/>
        <v>22</v>
      </c>
      <c r="R75" s="10">
        <f t="shared" si="7"/>
        <v>22</v>
      </c>
      <c r="S75" s="10">
        <f t="shared" si="8"/>
        <v>44</v>
      </c>
      <c r="T75" s="10">
        <f t="shared" si="9"/>
        <v>44</v>
      </c>
      <c r="U75" s="8" t="str">
        <f t="shared" si="10"/>
        <v>Mon</v>
      </c>
      <c r="V75" s="8" t="str">
        <f t="shared" si="11"/>
        <v>Wed</v>
      </c>
    </row>
    <row r="76" spans="1:22" hidden="1" x14ac:dyDescent="0.25">
      <c r="A76" t="s">
        <v>220</v>
      </c>
      <c r="B76" t="s">
        <v>40</v>
      </c>
      <c r="C76" t="s">
        <v>7</v>
      </c>
      <c r="D76" t="s">
        <v>13</v>
      </c>
      <c r="F76" s="5">
        <v>44158</v>
      </c>
      <c r="G76" s="5">
        <v>44236</v>
      </c>
      <c r="H76" s="2">
        <v>2</v>
      </c>
      <c r="I76" s="6"/>
      <c r="J76" s="6"/>
      <c r="K76" s="7">
        <v>0.5</v>
      </c>
      <c r="L76" s="7">
        <v>204.28399999999999</v>
      </c>
      <c r="M76" t="s">
        <v>17</v>
      </c>
      <c r="N76" s="9"/>
      <c r="O76" s="8">
        <f t="array" ref="O76">INDEX(TechRate,MATCH(H76,TechNum,0))</f>
        <v>140</v>
      </c>
      <c r="P76" s="10">
        <f>WorkOrders2[[#This Row],[Techs]]*(WorkOrders2[[#This Row],[PartsCost]]*WorkOrders2[[#This Row],[LbrHrs]])</f>
        <v>204.28399999999999</v>
      </c>
      <c r="Q76" s="10">
        <f t="shared" si="6"/>
        <v>204.28399999999999</v>
      </c>
      <c r="R76" s="10">
        <f t="shared" si="7"/>
        <v>204.28399999999999</v>
      </c>
      <c r="S76" s="10">
        <f t="shared" si="8"/>
        <v>408.56799999999998</v>
      </c>
      <c r="T76" s="10">
        <f t="shared" si="9"/>
        <v>408.56799999999998</v>
      </c>
      <c r="U76" s="8" t="str">
        <f t="shared" si="10"/>
        <v>Mon</v>
      </c>
      <c r="V76" s="8" t="str">
        <f t="shared" si="11"/>
        <v>Tue</v>
      </c>
    </row>
    <row r="77" spans="1:22" hidden="1" x14ac:dyDescent="0.25">
      <c r="A77" t="s">
        <v>281</v>
      </c>
      <c r="B77" t="s">
        <v>40</v>
      </c>
      <c r="C77" t="s">
        <v>7</v>
      </c>
      <c r="D77" t="s">
        <v>12</v>
      </c>
      <c r="F77" s="5">
        <v>44181</v>
      </c>
      <c r="G77" s="5">
        <v>44228</v>
      </c>
      <c r="H77" s="2">
        <v>2</v>
      </c>
      <c r="I77" s="6"/>
      <c r="J77" s="6"/>
      <c r="K77" s="7">
        <v>0.5</v>
      </c>
      <c r="L77" s="7">
        <v>133.99780000000001</v>
      </c>
      <c r="M77" t="s">
        <v>17</v>
      </c>
      <c r="N77" s="9"/>
      <c r="O77" s="8">
        <f t="array" ref="O77">INDEX(TechRate,MATCH(H77,TechNum,0))</f>
        <v>140</v>
      </c>
      <c r="P77" s="10">
        <f>WorkOrders2[[#This Row],[Techs]]*(WorkOrders2[[#This Row],[PartsCost]]*WorkOrders2[[#This Row],[LbrHrs]])</f>
        <v>133.99780000000001</v>
      </c>
      <c r="Q77" s="10">
        <f t="shared" si="6"/>
        <v>133.99780000000001</v>
      </c>
      <c r="R77" s="10">
        <f t="shared" si="7"/>
        <v>133.99780000000001</v>
      </c>
      <c r="S77" s="10">
        <f t="shared" si="8"/>
        <v>267.99560000000002</v>
      </c>
      <c r="T77" s="10">
        <f t="shared" si="9"/>
        <v>267.99560000000002</v>
      </c>
      <c r="U77" s="8" t="str">
        <f t="shared" si="10"/>
        <v>Wed</v>
      </c>
      <c r="V77" s="8" t="str">
        <f t="shared" si="11"/>
        <v>Mon</v>
      </c>
    </row>
    <row r="78" spans="1:22" hidden="1" x14ac:dyDescent="0.25">
      <c r="A78" t="s">
        <v>312</v>
      </c>
      <c r="B78" t="s">
        <v>40</v>
      </c>
      <c r="C78" t="s">
        <v>7</v>
      </c>
      <c r="D78" t="s">
        <v>12</v>
      </c>
      <c r="F78" s="5">
        <v>44207</v>
      </c>
      <c r="G78" s="5">
        <v>44250</v>
      </c>
      <c r="H78" s="2">
        <v>2</v>
      </c>
      <c r="I78" s="6"/>
      <c r="J78" s="6"/>
      <c r="K78" s="7">
        <v>0.25</v>
      </c>
      <c r="L78" s="7">
        <v>46.864899999999999</v>
      </c>
      <c r="M78" t="s">
        <v>17</v>
      </c>
      <c r="N78" s="9"/>
      <c r="O78" s="8">
        <f t="array" ref="O78">INDEX(TechRate,MATCH(H78,TechNum,0))</f>
        <v>140</v>
      </c>
      <c r="P78" s="10">
        <f>WorkOrders2[[#This Row],[Techs]]*(WorkOrders2[[#This Row],[PartsCost]]*WorkOrders2[[#This Row],[LbrHrs]])</f>
        <v>23.432449999999999</v>
      </c>
      <c r="Q78" s="10">
        <f t="shared" si="6"/>
        <v>23.432449999999999</v>
      </c>
      <c r="R78" s="10">
        <f t="shared" si="7"/>
        <v>46.864899999999999</v>
      </c>
      <c r="S78" s="10">
        <f t="shared" si="8"/>
        <v>70.297349999999994</v>
      </c>
      <c r="T78" s="10">
        <f t="shared" si="9"/>
        <v>70.297349999999994</v>
      </c>
      <c r="U78" s="8" t="str">
        <f t="shared" si="10"/>
        <v>Mon</v>
      </c>
      <c r="V78" s="8" t="str">
        <f t="shared" si="11"/>
        <v>Tue</v>
      </c>
    </row>
    <row r="79" spans="1:22" x14ac:dyDescent="0.25">
      <c r="A79" t="s">
        <v>325</v>
      </c>
      <c r="B79" t="s">
        <v>40</v>
      </c>
      <c r="C79" t="s">
        <v>7</v>
      </c>
      <c r="D79" t="s">
        <v>2</v>
      </c>
      <c r="F79" s="5">
        <v>44214</v>
      </c>
      <c r="G79" s="5">
        <v>44229</v>
      </c>
      <c r="H79" s="2">
        <v>2</v>
      </c>
      <c r="I79" s="6"/>
      <c r="J79" s="6"/>
      <c r="K79" s="7">
        <v>1.25</v>
      </c>
      <c r="L79" s="7">
        <v>85.32</v>
      </c>
      <c r="M79" t="s">
        <v>17</v>
      </c>
      <c r="N79" s="9"/>
      <c r="O79" s="8">
        <f t="array" ref="O79">INDEX(TechRate,MATCH(H79,TechNum,0))</f>
        <v>140</v>
      </c>
      <c r="P79" s="10">
        <f>WorkOrders2[[#This Row],[Techs]]*(WorkOrders2[[#This Row],[PartsCost]]*WorkOrders2[[#This Row],[LbrHrs]])</f>
        <v>213.29999999999998</v>
      </c>
      <c r="Q79" s="10">
        <f t="shared" si="6"/>
        <v>213.29999999999998</v>
      </c>
      <c r="R79" s="10">
        <f t="shared" si="7"/>
        <v>85.32</v>
      </c>
      <c r="S79" s="10">
        <f t="shared" si="8"/>
        <v>298.62</v>
      </c>
      <c r="T79" s="10">
        <f t="shared" si="9"/>
        <v>298.62</v>
      </c>
      <c r="U79" s="8" t="str">
        <f t="shared" si="10"/>
        <v>Mon</v>
      </c>
      <c r="V79" s="8" t="str">
        <f t="shared" si="11"/>
        <v>Tue</v>
      </c>
    </row>
    <row r="80" spans="1:22" hidden="1" x14ac:dyDescent="0.25">
      <c r="A80" t="s">
        <v>327</v>
      </c>
      <c r="B80" t="s">
        <v>40</v>
      </c>
      <c r="C80" t="s">
        <v>7</v>
      </c>
      <c r="D80" t="s">
        <v>12</v>
      </c>
      <c r="F80" s="5">
        <v>44215</v>
      </c>
      <c r="G80" s="5">
        <v>44231</v>
      </c>
      <c r="H80" s="2">
        <v>2</v>
      </c>
      <c r="I80" s="6"/>
      <c r="J80" s="6"/>
      <c r="K80" s="7">
        <v>0.25</v>
      </c>
      <c r="L80" s="7">
        <v>52.350099999999998</v>
      </c>
      <c r="M80" t="s">
        <v>17</v>
      </c>
      <c r="N80" s="9"/>
      <c r="O80" s="8">
        <f t="array" ref="O80">INDEX(TechRate,MATCH(H80,TechNum,0))</f>
        <v>140</v>
      </c>
      <c r="P80" s="10">
        <f>WorkOrders2[[#This Row],[Techs]]*(WorkOrders2[[#This Row],[PartsCost]]*WorkOrders2[[#This Row],[LbrHrs]])</f>
        <v>26.175049999999999</v>
      </c>
      <c r="Q80" s="10">
        <f t="shared" si="6"/>
        <v>26.175049999999999</v>
      </c>
      <c r="R80" s="10">
        <f t="shared" si="7"/>
        <v>52.350099999999998</v>
      </c>
      <c r="S80" s="10">
        <f t="shared" si="8"/>
        <v>78.525149999999996</v>
      </c>
      <c r="T80" s="10">
        <f t="shared" si="9"/>
        <v>78.525149999999996</v>
      </c>
      <c r="U80" s="8" t="str">
        <f t="shared" si="10"/>
        <v>Tue</v>
      </c>
      <c r="V80" s="8" t="str">
        <f t="shared" si="11"/>
        <v>Thu</v>
      </c>
    </row>
    <row r="81" spans="1:22" hidden="1" x14ac:dyDescent="0.25">
      <c r="A81" t="s">
        <v>328</v>
      </c>
      <c r="B81" t="s">
        <v>40</v>
      </c>
      <c r="C81" t="s">
        <v>7</v>
      </c>
      <c r="D81" t="s">
        <v>12</v>
      </c>
      <c r="F81" s="5">
        <v>44215</v>
      </c>
      <c r="G81" s="5">
        <v>44236</v>
      </c>
      <c r="H81" s="2">
        <v>2</v>
      </c>
      <c r="I81" s="6"/>
      <c r="J81" s="6"/>
      <c r="K81" s="7">
        <v>0.5</v>
      </c>
      <c r="L81" s="7">
        <v>45.293500000000002</v>
      </c>
      <c r="M81" t="s">
        <v>17</v>
      </c>
      <c r="N81" s="9"/>
      <c r="O81" s="8">
        <f t="array" ref="O81">INDEX(TechRate,MATCH(H81,TechNum,0))</f>
        <v>140</v>
      </c>
      <c r="P81" s="10">
        <f>WorkOrders2[[#This Row],[Techs]]*(WorkOrders2[[#This Row],[PartsCost]]*WorkOrders2[[#This Row],[LbrHrs]])</f>
        <v>45.293500000000002</v>
      </c>
      <c r="Q81" s="10">
        <f t="shared" si="6"/>
        <v>45.293500000000002</v>
      </c>
      <c r="R81" s="10">
        <f t="shared" si="7"/>
        <v>45.293500000000002</v>
      </c>
      <c r="S81" s="10">
        <f t="shared" si="8"/>
        <v>90.587000000000003</v>
      </c>
      <c r="T81" s="10">
        <f t="shared" si="9"/>
        <v>90.587000000000003</v>
      </c>
      <c r="U81" s="8" t="str">
        <f t="shared" si="10"/>
        <v>Tue</v>
      </c>
      <c r="V81" s="8" t="str">
        <f t="shared" si="11"/>
        <v>Tue</v>
      </c>
    </row>
    <row r="82" spans="1:22" hidden="1" x14ac:dyDescent="0.25">
      <c r="A82" t="s">
        <v>351</v>
      </c>
      <c r="B82" t="s">
        <v>40</v>
      </c>
      <c r="C82" t="s">
        <v>7</v>
      </c>
      <c r="D82" t="s">
        <v>13</v>
      </c>
      <c r="F82" s="5">
        <v>44228</v>
      </c>
      <c r="G82" s="5">
        <v>44258</v>
      </c>
      <c r="H82" s="2">
        <v>2</v>
      </c>
      <c r="I82" s="6"/>
      <c r="J82" s="6"/>
      <c r="K82" s="7">
        <v>1.5</v>
      </c>
      <c r="L82" s="7">
        <v>319.82150000000001</v>
      </c>
      <c r="M82" t="s">
        <v>17</v>
      </c>
      <c r="N82" s="9"/>
      <c r="O82" s="8">
        <f t="array" ref="O82">INDEX(TechRate,MATCH(H82,TechNum,0))</f>
        <v>140</v>
      </c>
      <c r="P82" s="10">
        <f>WorkOrders2[[#This Row],[Techs]]*(WorkOrders2[[#This Row],[PartsCost]]*WorkOrders2[[#This Row],[LbrHrs]])</f>
        <v>959.46450000000004</v>
      </c>
      <c r="Q82" s="10">
        <f t="shared" si="6"/>
        <v>959.46450000000004</v>
      </c>
      <c r="R82" s="10">
        <f t="shared" si="7"/>
        <v>319.82150000000001</v>
      </c>
      <c r="S82" s="10">
        <f t="shared" si="8"/>
        <v>1279.2860000000001</v>
      </c>
      <c r="T82" s="10">
        <f t="shared" si="9"/>
        <v>1279.2860000000001</v>
      </c>
      <c r="U82" s="8" t="str">
        <f t="shared" si="10"/>
        <v>Mon</v>
      </c>
      <c r="V82" s="8" t="str">
        <f t="shared" si="11"/>
        <v>Wed</v>
      </c>
    </row>
    <row r="83" spans="1:22" hidden="1" x14ac:dyDescent="0.25">
      <c r="A83" t="s">
        <v>354</v>
      </c>
      <c r="B83" t="s">
        <v>40</v>
      </c>
      <c r="C83" t="s">
        <v>7</v>
      </c>
      <c r="D83" t="s">
        <v>13</v>
      </c>
      <c r="F83" s="5">
        <v>44229</v>
      </c>
      <c r="G83" s="5">
        <v>44236</v>
      </c>
      <c r="H83" s="2">
        <v>2</v>
      </c>
      <c r="I83" s="6"/>
      <c r="J83" s="6"/>
      <c r="K83" s="7">
        <v>0.5</v>
      </c>
      <c r="L83" s="7">
        <v>1231.2</v>
      </c>
      <c r="M83" t="s">
        <v>18</v>
      </c>
      <c r="N83" s="9"/>
      <c r="O83" s="8">
        <f t="array" ref="O83">INDEX(TechRate,MATCH(H83,TechNum,0))</f>
        <v>140</v>
      </c>
      <c r="P83" s="10">
        <f>WorkOrders2[[#This Row],[Techs]]*(WorkOrders2[[#This Row],[PartsCost]]*WorkOrders2[[#This Row],[LbrHrs]])</f>
        <v>1231.2</v>
      </c>
      <c r="Q83" s="10">
        <f t="shared" si="6"/>
        <v>1231.2</v>
      </c>
      <c r="R83" s="10">
        <f t="shared" si="7"/>
        <v>1231.2</v>
      </c>
      <c r="S83" s="10">
        <f t="shared" si="8"/>
        <v>2462.4</v>
      </c>
      <c r="T83" s="10">
        <f t="shared" si="9"/>
        <v>2462.4</v>
      </c>
      <c r="U83" s="8" t="str">
        <f t="shared" si="10"/>
        <v>Tue</v>
      </c>
      <c r="V83" s="8" t="str">
        <f t="shared" si="11"/>
        <v>Tue</v>
      </c>
    </row>
    <row r="84" spans="1:22" hidden="1" x14ac:dyDescent="0.25">
      <c r="A84" t="s">
        <v>357</v>
      </c>
      <c r="B84" t="s">
        <v>40</v>
      </c>
      <c r="C84" t="s">
        <v>7</v>
      </c>
      <c r="D84" t="s">
        <v>13</v>
      </c>
      <c r="F84" s="5">
        <v>44229</v>
      </c>
      <c r="G84" s="5">
        <v>44258</v>
      </c>
      <c r="H84" s="2">
        <v>2</v>
      </c>
      <c r="I84" s="6"/>
      <c r="J84" s="6"/>
      <c r="K84" s="7">
        <v>0.5</v>
      </c>
      <c r="L84" s="7">
        <v>83.231700000000004</v>
      </c>
      <c r="M84" t="s">
        <v>17</v>
      </c>
      <c r="N84" s="9"/>
      <c r="O84" s="8">
        <f t="array" ref="O84">INDEX(TechRate,MATCH(H84,TechNum,0))</f>
        <v>140</v>
      </c>
      <c r="P84" s="10">
        <f>WorkOrders2[[#This Row],[Techs]]*(WorkOrders2[[#This Row],[PartsCost]]*WorkOrders2[[#This Row],[LbrHrs]])</f>
        <v>83.231700000000004</v>
      </c>
      <c r="Q84" s="10">
        <f t="shared" si="6"/>
        <v>83.231700000000004</v>
      </c>
      <c r="R84" s="10">
        <f t="shared" si="7"/>
        <v>83.231700000000004</v>
      </c>
      <c r="S84" s="10">
        <f t="shared" si="8"/>
        <v>166.46340000000001</v>
      </c>
      <c r="T84" s="10">
        <f t="shared" si="9"/>
        <v>166.46340000000001</v>
      </c>
      <c r="U84" s="8" t="str">
        <f t="shared" si="10"/>
        <v>Tue</v>
      </c>
      <c r="V84" s="8" t="str">
        <f t="shared" si="11"/>
        <v>Wed</v>
      </c>
    </row>
    <row r="85" spans="1:22" hidden="1" x14ac:dyDescent="0.25">
      <c r="A85" t="s">
        <v>412</v>
      </c>
      <c r="B85" t="s">
        <v>40</v>
      </c>
      <c r="C85" t="s">
        <v>7</v>
      </c>
      <c r="D85" t="s">
        <v>12</v>
      </c>
      <c r="F85" s="5">
        <v>44256</v>
      </c>
      <c r="G85" s="5">
        <v>44299</v>
      </c>
      <c r="H85" s="2">
        <v>2</v>
      </c>
      <c r="I85" s="6"/>
      <c r="J85" s="6"/>
      <c r="K85" s="7">
        <v>0.5</v>
      </c>
      <c r="L85" s="7">
        <v>175.8682</v>
      </c>
      <c r="M85" t="s">
        <v>17</v>
      </c>
      <c r="N85" s="9"/>
      <c r="O85" s="8">
        <f t="array" ref="O85">INDEX(TechRate,MATCH(H85,TechNum,0))</f>
        <v>140</v>
      </c>
      <c r="P85" s="10">
        <f>WorkOrders2[[#This Row],[Techs]]*(WorkOrders2[[#This Row],[PartsCost]]*WorkOrders2[[#This Row],[LbrHrs]])</f>
        <v>175.8682</v>
      </c>
      <c r="Q85" s="10">
        <f t="shared" si="6"/>
        <v>175.8682</v>
      </c>
      <c r="R85" s="10">
        <f t="shared" si="7"/>
        <v>175.8682</v>
      </c>
      <c r="S85" s="10">
        <f t="shared" si="8"/>
        <v>351.7364</v>
      </c>
      <c r="T85" s="10">
        <f t="shared" si="9"/>
        <v>351.7364</v>
      </c>
      <c r="U85" s="8" t="str">
        <f t="shared" si="10"/>
        <v>Mon</v>
      </c>
      <c r="V85" s="8" t="str">
        <f t="shared" si="11"/>
        <v>Tue</v>
      </c>
    </row>
    <row r="86" spans="1:22" hidden="1" x14ac:dyDescent="0.25">
      <c r="A86" t="s">
        <v>424</v>
      </c>
      <c r="B86" t="s">
        <v>40</v>
      </c>
      <c r="C86" t="s">
        <v>7</v>
      </c>
      <c r="D86" t="s">
        <v>13</v>
      </c>
      <c r="F86" s="5">
        <v>44258</v>
      </c>
      <c r="G86" s="5">
        <v>44292</v>
      </c>
      <c r="H86" s="2">
        <v>2</v>
      </c>
      <c r="I86" s="6"/>
      <c r="J86" s="6"/>
      <c r="K86" s="7">
        <v>0.5</v>
      </c>
      <c r="L86" s="7">
        <v>76.9499</v>
      </c>
      <c r="M86" t="s">
        <v>18</v>
      </c>
      <c r="N86" s="9"/>
      <c r="O86" s="8">
        <f t="array" ref="O86">INDEX(TechRate,MATCH(H86,TechNum,0))</f>
        <v>140</v>
      </c>
      <c r="P86" s="10">
        <f>WorkOrders2[[#This Row],[Techs]]*(WorkOrders2[[#This Row],[PartsCost]]*WorkOrders2[[#This Row],[LbrHrs]])</f>
        <v>76.9499</v>
      </c>
      <c r="Q86" s="10">
        <f t="shared" si="6"/>
        <v>76.9499</v>
      </c>
      <c r="R86" s="10">
        <f t="shared" si="7"/>
        <v>76.9499</v>
      </c>
      <c r="S86" s="10">
        <f t="shared" si="8"/>
        <v>153.8998</v>
      </c>
      <c r="T86" s="10">
        <f t="shared" si="9"/>
        <v>153.8998</v>
      </c>
      <c r="U86" s="8" t="str">
        <f t="shared" si="10"/>
        <v>Wed</v>
      </c>
      <c r="V86" s="8" t="str">
        <f t="shared" si="11"/>
        <v>Tue</v>
      </c>
    </row>
    <row r="87" spans="1:22" hidden="1" x14ac:dyDescent="0.25">
      <c r="A87" t="s">
        <v>432</v>
      </c>
      <c r="B87" t="s">
        <v>40</v>
      </c>
      <c r="C87" t="s">
        <v>7</v>
      </c>
      <c r="D87" t="s">
        <v>12</v>
      </c>
      <c r="F87" s="5">
        <v>44259</v>
      </c>
      <c r="G87" s="5">
        <v>44312</v>
      </c>
      <c r="H87" s="2">
        <v>2</v>
      </c>
      <c r="I87" s="6"/>
      <c r="J87" s="6"/>
      <c r="K87" s="7">
        <v>0.25</v>
      </c>
      <c r="L87" s="7">
        <v>83.231700000000004</v>
      </c>
      <c r="M87" t="s">
        <v>17</v>
      </c>
      <c r="N87" s="9"/>
      <c r="O87" s="8">
        <f t="array" ref="O87">INDEX(TechRate,MATCH(H87,TechNum,0))</f>
        <v>140</v>
      </c>
      <c r="P87" s="10">
        <f>WorkOrders2[[#This Row],[Techs]]*(WorkOrders2[[#This Row],[PartsCost]]*WorkOrders2[[#This Row],[LbrHrs]])</f>
        <v>41.615850000000002</v>
      </c>
      <c r="Q87" s="10">
        <f t="shared" si="6"/>
        <v>41.615850000000002</v>
      </c>
      <c r="R87" s="10">
        <f t="shared" si="7"/>
        <v>83.231700000000004</v>
      </c>
      <c r="S87" s="10">
        <f t="shared" si="8"/>
        <v>124.84755000000001</v>
      </c>
      <c r="T87" s="10">
        <f t="shared" si="9"/>
        <v>124.84755000000001</v>
      </c>
      <c r="U87" s="8" t="str">
        <f t="shared" si="10"/>
        <v>Thu</v>
      </c>
      <c r="V87" s="8" t="str">
        <f t="shared" si="11"/>
        <v>Mon</v>
      </c>
    </row>
    <row r="88" spans="1:22" hidden="1" x14ac:dyDescent="0.25">
      <c r="A88" t="s">
        <v>441</v>
      </c>
      <c r="B88" t="s">
        <v>40</v>
      </c>
      <c r="C88" t="s">
        <v>7</v>
      </c>
      <c r="D88" t="s">
        <v>1</v>
      </c>
      <c r="F88" s="5">
        <v>44265</v>
      </c>
      <c r="G88" s="5">
        <v>44267</v>
      </c>
      <c r="H88" s="2">
        <v>2</v>
      </c>
      <c r="I88" s="6"/>
      <c r="J88" s="6"/>
      <c r="K88" s="7">
        <v>1.5</v>
      </c>
      <c r="L88" s="7">
        <v>50</v>
      </c>
      <c r="M88" t="s">
        <v>17</v>
      </c>
      <c r="N88" s="9"/>
      <c r="O88" s="8">
        <f t="array" ref="O88">INDEX(TechRate,MATCH(H88,TechNum,0))</f>
        <v>140</v>
      </c>
      <c r="P88" s="10">
        <f>WorkOrders2[[#This Row],[Techs]]*(WorkOrders2[[#This Row],[PartsCost]]*WorkOrders2[[#This Row],[LbrHrs]])</f>
        <v>150</v>
      </c>
      <c r="Q88" s="10">
        <f t="shared" si="6"/>
        <v>150</v>
      </c>
      <c r="R88" s="10">
        <f t="shared" si="7"/>
        <v>50</v>
      </c>
      <c r="S88" s="10">
        <f t="shared" si="8"/>
        <v>200</v>
      </c>
      <c r="T88" s="10">
        <f t="shared" si="9"/>
        <v>200</v>
      </c>
      <c r="U88" s="8" t="str">
        <f t="shared" si="10"/>
        <v>Wed</v>
      </c>
      <c r="V88" s="8" t="str">
        <f t="shared" si="11"/>
        <v>Fri</v>
      </c>
    </row>
    <row r="89" spans="1:22" hidden="1" x14ac:dyDescent="0.25">
      <c r="A89" t="s">
        <v>446</v>
      </c>
      <c r="B89" t="s">
        <v>40</v>
      </c>
      <c r="C89" t="s">
        <v>7</v>
      </c>
      <c r="D89" t="s">
        <v>12</v>
      </c>
      <c r="F89" s="5">
        <v>44265</v>
      </c>
      <c r="G89" s="5">
        <v>44273</v>
      </c>
      <c r="H89" s="2">
        <v>2</v>
      </c>
      <c r="I89" s="6"/>
      <c r="J89" s="6"/>
      <c r="K89" s="7">
        <v>0.5</v>
      </c>
      <c r="L89" s="7">
        <v>159</v>
      </c>
      <c r="M89" t="s">
        <v>17</v>
      </c>
      <c r="N89" s="9"/>
      <c r="O89" s="8">
        <f t="array" ref="O89">INDEX(TechRate,MATCH(H89,TechNum,0))</f>
        <v>140</v>
      </c>
      <c r="P89" s="10">
        <f>WorkOrders2[[#This Row],[Techs]]*(WorkOrders2[[#This Row],[PartsCost]]*WorkOrders2[[#This Row],[LbrHrs]])</f>
        <v>159</v>
      </c>
      <c r="Q89" s="10">
        <f t="shared" si="6"/>
        <v>159</v>
      </c>
      <c r="R89" s="10">
        <f t="shared" si="7"/>
        <v>159</v>
      </c>
      <c r="S89" s="10">
        <f t="shared" si="8"/>
        <v>318</v>
      </c>
      <c r="T89" s="10">
        <f t="shared" si="9"/>
        <v>318</v>
      </c>
      <c r="U89" s="8" t="str">
        <f t="shared" si="10"/>
        <v>Wed</v>
      </c>
      <c r="V89" s="8" t="str">
        <f t="shared" si="11"/>
        <v>Thu</v>
      </c>
    </row>
    <row r="90" spans="1:22" x14ac:dyDescent="0.25">
      <c r="A90" t="s">
        <v>450</v>
      </c>
      <c r="B90" t="s">
        <v>40</v>
      </c>
      <c r="C90" t="s">
        <v>7</v>
      </c>
      <c r="D90" t="s">
        <v>2</v>
      </c>
      <c r="F90" s="5">
        <v>44265</v>
      </c>
      <c r="G90" s="5">
        <v>44307</v>
      </c>
      <c r="H90" s="2">
        <v>2</v>
      </c>
      <c r="I90" s="6" t="s">
        <v>3</v>
      </c>
      <c r="J90" s="6" t="s">
        <v>3</v>
      </c>
      <c r="K90" s="7">
        <v>2</v>
      </c>
      <c r="L90" s="7">
        <v>145.14920000000001</v>
      </c>
      <c r="M90" t="s">
        <v>20</v>
      </c>
      <c r="N90" s="9"/>
      <c r="O90" s="8">
        <f t="array" ref="O90">INDEX(TechRate,MATCH(H90,TechNum,0))</f>
        <v>140</v>
      </c>
      <c r="P90" s="10">
        <f>WorkOrders2[[#This Row],[Techs]]*(WorkOrders2[[#This Row],[PartsCost]]*WorkOrders2[[#This Row],[LbrHrs]])</f>
        <v>580.59680000000003</v>
      </c>
      <c r="Q90" s="10">
        <f t="shared" si="6"/>
        <v>0</v>
      </c>
      <c r="R90" s="10">
        <f t="shared" si="7"/>
        <v>0</v>
      </c>
      <c r="S90" s="10">
        <f t="shared" si="8"/>
        <v>725.74600000000009</v>
      </c>
      <c r="T90" s="10">
        <f t="shared" si="9"/>
        <v>0</v>
      </c>
      <c r="U90" s="8" t="str">
        <f t="shared" si="10"/>
        <v>Wed</v>
      </c>
      <c r="V90" s="8" t="str">
        <f t="shared" si="11"/>
        <v>Wed</v>
      </c>
    </row>
    <row r="91" spans="1:22" hidden="1" x14ac:dyDescent="0.25">
      <c r="A91" t="s">
        <v>455</v>
      </c>
      <c r="B91" t="s">
        <v>40</v>
      </c>
      <c r="C91" t="s">
        <v>7</v>
      </c>
      <c r="D91" t="s">
        <v>12</v>
      </c>
      <c r="F91" s="5">
        <v>44270</v>
      </c>
      <c r="G91" s="5">
        <v>44278</v>
      </c>
      <c r="H91" s="2">
        <v>2</v>
      </c>
      <c r="I91" s="6" t="s">
        <v>3</v>
      </c>
      <c r="J91" s="6" t="s">
        <v>3</v>
      </c>
      <c r="K91" s="7">
        <v>0.75</v>
      </c>
      <c r="L91" s="7">
        <v>222.33</v>
      </c>
      <c r="M91" t="s">
        <v>20</v>
      </c>
      <c r="N91" s="9"/>
      <c r="O91" s="8">
        <f t="array" ref="O91">INDEX(TechRate,MATCH(H91,TechNum,0))</f>
        <v>140</v>
      </c>
      <c r="P91" s="10">
        <f>WorkOrders2[[#This Row],[Techs]]*(WorkOrders2[[#This Row],[PartsCost]]*WorkOrders2[[#This Row],[LbrHrs]])</f>
        <v>333.495</v>
      </c>
      <c r="Q91" s="10">
        <f t="shared" si="6"/>
        <v>0</v>
      </c>
      <c r="R91" s="10">
        <f t="shared" si="7"/>
        <v>0</v>
      </c>
      <c r="S91" s="10">
        <f t="shared" si="8"/>
        <v>555.82500000000005</v>
      </c>
      <c r="T91" s="10">
        <f t="shared" si="9"/>
        <v>0</v>
      </c>
      <c r="U91" s="8" t="str">
        <f t="shared" si="10"/>
        <v>Mon</v>
      </c>
      <c r="V91" s="8" t="str">
        <f t="shared" si="11"/>
        <v>Tue</v>
      </c>
    </row>
    <row r="92" spans="1:22" hidden="1" x14ac:dyDescent="0.25">
      <c r="A92" t="s">
        <v>473</v>
      </c>
      <c r="B92" t="s">
        <v>40</v>
      </c>
      <c r="C92" t="s">
        <v>8</v>
      </c>
      <c r="D92" t="s">
        <v>13</v>
      </c>
      <c r="F92" s="5">
        <v>44274</v>
      </c>
      <c r="G92" s="5">
        <v>44322</v>
      </c>
      <c r="H92" s="2">
        <v>1</v>
      </c>
      <c r="I92" s="6"/>
      <c r="J92" s="6"/>
      <c r="K92" s="7">
        <v>0.75</v>
      </c>
      <c r="L92" s="7">
        <v>204.10079999999999</v>
      </c>
      <c r="M92" t="s">
        <v>18</v>
      </c>
      <c r="N92" s="9"/>
      <c r="O92" s="8">
        <f t="array" ref="O92">INDEX(TechRate,MATCH(H92,TechNum,0))</f>
        <v>80</v>
      </c>
      <c r="P92" s="10">
        <f>WorkOrders2[[#This Row],[Techs]]*(WorkOrders2[[#This Row],[PartsCost]]*WorkOrders2[[#This Row],[LbrHrs]])</f>
        <v>153.07560000000001</v>
      </c>
      <c r="Q92" s="10">
        <f t="shared" si="6"/>
        <v>153.07560000000001</v>
      </c>
      <c r="R92" s="10">
        <f t="shared" si="7"/>
        <v>204.10079999999999</v>
      </c>
      <c r="S92" s="10">
        <f t="shared" si="8"/>
        <v>357.1764</v>
      </c>
      <c r="T92" s="10">
        <f t="shared" si="9"/>
        <v>357.1764</v>
      </c>
      <c r="U92" s="8" t="str">
        <f t="shared" si="10"/>
        <v>Fri</v>
      </c>
      <c r="V92" s="8" t="str">
        <f t="shared" si="11"/>
        <v>Thu</v>
      </c>
    </row>
    <row r="93" spans="1:22" x14ac:dyDescent="0.25">
      <c r="A93" t="s">
        <v>493</v>
      </c>
      <c r="B93" t="s">
        <v>40</v>
      </c>
      <c r="C93" t="s">
        <v>7</v>
      </c>
      <c r="D93" t="s">
        <v>2</v>
      </c>
      <c r="F93" s="5">
        <v>44280</v>
      </c>
      <c r="G93" s="5">
        <v>44327</v>
      </c>
      <c r="H93" s="2">
        <v>2</v>
      </c>
      <c r="I93" s="6"/>
      <c r="J93" s="6"/>
      <c r="K93" s="7">
        <v>2.5</v>
      </c>
      <c r="L93" s="7">
        <v>837.1567</v>
      </c>
      <c r="M93" t="s">
        <v>18</v>
      </c>
      <c r="N93" s="9"/>
      <c r="O93" s="8">
        <f t="array" ref="O93">INDEX(TechRate,MATCH(H93,TechNum,0))</f>
        <v>140</v>
      </c>
      <c r="P93" s="10">
        <f>WorkOrders2[[#This Row],[Techs]]*(WorkOrders2[[#This Row],[PartsCost]]*WorkOrders2[[#This Row],[LbrHrs]])</f>
        <v>4185.7834999999995</v>
      </c>
      <c r="Q93" s="10">
        <f t="shared" si="6"/>
        <v>4185.7834999999995</v>
      </c>
      <c r="R93" s="10">
        <f t="shared" si="7"/>
        <v>837.1567</v>
      </c>
      <c r="S93" s="10">
        <f t="shared" si="8"/>
        <v>5022.9401999999991</v>
      </c>
      <c r="T93" s="10">
        <f t="shared" si="9"/>
        <v>5022.9401999999991</v>
      </c>
      <c r="U93" s="8" t="str">
        <f t="shared" si="10"/>
        <v>Thu</v>
      </c>
      <c r="V93" s="8" t="str">
        <f t="shared" si="11"/>
        <v>Tue</v>
      </c>
    </row>
    <row r="94" spans="1:22" hidden="1" x14ac:dyDescent="0.25">
      <c r="A94" t="s">
        <v>504</v>
      </c>
      <c r="B94" t="s">
        <v>40</v>
      </c>
      <c r="C94" t="s">
        <v>7</v>
      </c>
      <c r="D94" t="s">
        <v>12</v>
      </c>
      <c r="F94" s="5">
        <v>44287</v>
      </c>
      <c r="G94" s="5">
        <v>44312</v>
      </c>
      <c r="H94" s="2">
        <v>2</v>
      </c>
      <c r="I94" s="6"/>
      <c r="J94" s="6"/>
      <c r="K94" s="7">
        <v>0.25</v>
      </c>
      <c r="L94" s="7">
        <v>17.13</v>
      </c>
      <c r="M94" t="s">
        <v>17</v>
      </c>
      <c r="N94" s="9"/>
      <c r="O94" s="8">
        <f t="array" ref="O94">INDEX(TechRate,MATCH(H94,TechNum,0))</f>
        <v>140</v>
      </c>
      <c r="P94" s="10">
        <f>WorkOrders2[[#This Row],[Techs]]*(WorkOrders2[[#This Row],[PartsCost]]*WorkOrders2[[#This Row],[LbrHrs]])</f>
        <v>8.5649999999999995</v>
      </c>
      <c r="Q94" s="10">
        <f t="shared" si="6"/>
        <v>8.5649999999999995</v>
      </c>
      <c r="R94" s="10">
        <f t="shared" si="7"/>
        <v>17.13</v>
      </c>
      <c r="S94" s="10">
        <f t="shared" si="8"/>
        <v>25.695</v>
      </c>
      <c r="T94" s="10">
        <f t="shared" si="9"/>
        <v>25.695</v>
      </c>
      <c r="U94" s="8" t="str">
        <f t="shared" si="10"/>
        <v>Thu</v>
      </c>
      <c r="V94" s="8" t="str">
        <f t="shared" si="11"/>
        <v>Mon</v>
      </c>
    </row>
    <row r="95" spans="1:22" hidden="1" x14ac:dyDescent="0.25">
      <c r="A95" t="s">
        <v>511</v>
      </c>
      <c r="B95" t="s">
        <v>40</v>
      </c>
      <c r="C95" t="s">
        <v>7</v>
      </c>
      <c r="D95" t="s">
        <v>12</v>
      </c>
      <c r="F95" s="5">
        <v>44291</v>
      </c>
      <c r="G95" s="5">
        <v>44300</v>
      </c>
      <c r="H95" s="2">
        <v>2</v>
      </c>
      <c r="I95" s="6"/>
      <c r="J95" s="6"/>
      <c r="K95" s="7">
        <v>0.5</v>
      </c>
      <c r="L95" s="7">
        <v>21.33</v>
      </c>
      <c r="M95" t="s">
        <v>17</v>
      </c>
      <c r="N95" s="9"/>
      <c r="O95" s="8">
        <f t="array" ref="O95">INDEX(TechRate,MATCH(H95,TechNum,0))</f>
        <v>140</v>
      </c>
      <c r="P95" s="10">
        <f>WorkOrders2[[#This Row],[Techs]]*(WorkOrders2[[#This Row],[PartsCost]]*WorkOrders2[[#This Row],[LbrHrs]])</f>
        <v>21.33</v>
      </c>
      <c r="Q95" s="10">
        <f t="shared" si="6"/>
        <v>21.33</v>
      </c>
      <c r="R95" s="10">
        <f t="shared" si="7"/>
        <v>21.33</v>
      </c>
      <c r="S95" s="10">
        <f t="shared" si="8"/>
        <v>42.66</v>
      </c>
      <c r="T95" s="10">
        <f t="shared" si="9"/>
        <v>42.66</v>
      </c>
      <c r="U95" s="8" t="str">
        <f t="shared" si="10"/>
        <v>Mon</v>
      </c>
      <c r="V95" s="8" t="str">
        <f t="shared" si="11"/>
        <v>Wed</v>
      </c>
    </row>
    <row r="96" spans="1:22" hidden="1" x14ac:dyDescent="0.25">
      <c r="A96" t="s">
        <v>515</v>
      </c>
      <c r="B96" t="s">
        <v>40</v>
      </c>
      <c r="C96" t="s">
        <v>7</v>
      </c>
      <c r="D96" t="s">
        <v>13</v>
      </c>
      <c r="F96" s="5">
        <v>44291</v>
      </c>
      <c r="G96" s="5">
        <v>44333</v>
      </c>
      <c r="H96" s="2">
        <v>2</v>
      </c>
      <c r="I96" s="6"/>
      <c r="J96" s="6"/>
      <c r="K96" s="7">
        <v>0.75</v>
      </c>
      <c r="L96" s="7">
        <v>13.36</v>
      </c>
      <c r="M96" t="s">
        <v>18</v>
      </c>
      <c r="N96" s="9"/>
      <c r="O96" s="8">
        <f t="array" ref="O96">INDEX(TechRate,MATCH(H96,TechNum,0))</f>
        <v>140</v>
      </c>
      <c r="P96" s="10">
        <f>WorkOrders2[[#This Row],[Techs]]*(WorkOrders2[[#This Row],[PartsCost]]*WorkOrders2[[#This Row],[LbrHrs]])</f>
        <v>20.04</v>
      </c>
      <c r="Q96" s="10">
        <f t="shared" si="6"/>
        <v>20.04</v>
      </c>
      <c r="R96" s="10">
        <f t="shared" si="7"/>
        <v>13.36</v>
      </c>
      <c r="S96" s="10">
        <f t="shared" si="8"/>
        <v>33.4</v>
      </c>
      <c r="T96" s="10">
        <f t="shared" si="9"/>
        <v>33.4</v>
      </c>
      <c r="U96" s="8" t="str">
        <f t="shared" si="10"/>
        <v>Mon</v>
      </c>
      <c r="V96" s="8" t="str">
        <f t="shared" si="11"/>
        <v>Mon</v>
      </c>
    </row>
    <row r="97" spans="1:22" hidden="1" x14ac:dyDescent="0.25">
      <c r="A97" t="s">
        <v>517</v>
      </c>
      <c r="B97" t="s">
        <v>40</v>
      </c>
      <c r="C97" t="s">
        <v>7</v>
      </c>
      <c r="D97" t="s">
        <v>12</v>
      </c>
      <c r="E97" t="s">
        <v>3</v>
      </c>
      <c r="F97" s="5">
        <v>44292</v>
      </c>
      <c r="G97" s="5">
        <v>44323</v>
      </c>
      <c r="H97" s="2">
        <v>1</v>
      </c>
      <c r="I97" s="6"/>
      <c r="J97" s="6"/>
      <c r="K97" s="7">
        <v>0.75</v>
      </c>
      <c r="L97" s="7">
        <v>21.33</v>
      </c>
      <c r="M97" t="s">
        <v>18</v>
      </c>
      <c r="N97" s="9"/>
      <c r="O97" s="8">
        <f t="array" ref="O97">INDEX(TechRate,MATCH(H97,TechNum,0))</f>
        <v>80</v>
      </c>
      <c r="P97" s="10">
        <f>WorkOrders2[[#This Row],[Techs]]*(WorkOrders2[[#This Row],[PartsCost]]*WorkOrders2[[#This Row],[LbrHrs]])</f>
        <v>15.997499999999999</v>
      </c>
      <c r="Q97" s="10">
        <f t="shared" si="6"/>
        <v>15.997499999999999</v>
      </c>
      <c r="R97" s="10">
        <f t="shared" si="7"/>
        <v>21.33</v>
      </c>
      <c r="S97" s="10">
        <f t="shared" si="8"/>
        <v>37.327500000000001</v>
      </c>
      <c r="T97" s="10">
        <f t="shared" si="9"/>
        <v>37.327500000000001</v>
      </c>
      <c r="U97" s="8" t="str">
        <f t="shared" si="10"/>
        <v>Tue</v>
      </c>
      <c r="V97" s="8" t="str">
        <f t="shared" si="11"/>
        <v>Fri</v>
      </c>
    </row>
    <row r="98" spans="1:22" hidden="1" x14ac:dyDescent="0.25">
      <c r="A98" t="s">
        <v>518</v>
      </c>
      <c r="B98" t="s">
        <v>40</v>
      </c>
      <c r="C98" t="s">
        <v>7</v>
      </c>
      <c r="D98" t="s">
        <v>11</v>
      </c>
      <c r="E98" t="s">
        <v>3</v>
      </c>
      <c r="F98" s="5">
        <v>44292</v>
      </c>
      <c r="G98" s="5">
        <v>44326</v>
      </c>
      <c r="H98" s="2">
        <v>1</v>
      </c>
      <c r="I98" s="6"/>
      <c r="J98" s="6"/>
      <c r="K98" s="7">
        <v>0.25</v>
      </c>
      <c r="L98" s="7">
        <v>21.6</v>
      </c>
      <c r="M98" t="s">
        <v>17</v>
      </c>
      <c r="N98" s="9"/>
      <c r="O98" s="8">
        <f t="array" ref="O98">INDEX(TechRate,MATCH(H98,TechNum,0))</f>
        <v>80</v>
      </c>
      <c r="P98" s="10">
        <f>WorkOrders2[[#This Row],[Techs]]*(WorkOrders2[[#This Row],[PartsCost]]*WorkOrders2[[#This Row],[LbrHrs]])</f>
        <v>5.4</v>
      </c>
      <c r="Q98" s="10">
        <f t="shared" si="6"/>
        <v>5.4</v>
      </c>
      <c r="R98" s="10">
        <f t="shared" si="7"/>
        <v>21.6</v>
      </c>
      <c r="S98" s="10">
        <f t="shared" si="8"/>
        <v>27</v>
      </c>
      <c r="T98" s="10">
        <f t="shared" si="9"/>
        <v>27</v>
      </c>
      <c r="U98" s="8" t="str">
        <f t="shared" si="10"/>
        <v>Tue</v>
      </c>
      <c r="V98" s="8" t="str">
        <f t="shared" si="11"/>
        <v>Mon</v>
      </c>
    </row>
    <row r="99" spans="1:22" hidden="1" x14ac:dyDescent="0.25">
      <c r="A99" t="s">
        <v>47</v>
      </c>
      <c r="B99" t="s">
        <v>36</v>
      </c>
      <c r="C99" t="s">
        <v>8</v>
      </c>
      <c r="D99" t="s">
        <v>12</v>
      </c>
      <c r="F99" s="5">
        <v>44075</v>
      </c>
      <c r="G99" s="5">
        <v>44089</v>
      </c>
      <c r="H99" s="2">
        <v>2</v>
      </c>
      <c r="I99" s="6"/>
      <c r="J99" s="6"/>
      <c r="K99" s="7">
        <v>0.5</v>
      </c>
      <c r="L99" s="7">
        <v>360</v>
      </c>
      <c r="M99" t="s">
        <v>17</v>
      </c>
      <c r="N99" s="9"/>
      <c r="O99" s="8">
        <f t="array" ref="O99">INDEX(TechRate,MATCH(H99,TechNum,0))</f>
        <v>140</v>
      </c>
      <c r="P99" s="10">
        <f>WorkOrders2[[#This Row],[Techs]]*(WorkOrders2[[#This Row],[PartsCost]]*WorkOrders2[[#This Row],[LbrHrs]])</f>
        <v>360</v>
      </c>
      <c r="Q99" s="10">
        <f t="shared" si="6"/>
        <v>360</v>
      </c>
      <c r="R99" s="10">
        <f t="shared" si="7"/>
        <v>360</v>
      </c>
      <c r="S99" s="10">
        <f t="shared" si="8"/>
        <v>720</v>
      </c>
      <c r="T99" s="10">
        <f t="shared" si="9"/>
        <v>720</v>
      </c>
      <c r="U99" s="8" t="str">
        <f t="shared" si="10"/>
        <v>Tue</v>
      </c>
      <c r="V99" s="8" t="str">
        <f t="shared" si="11"/>
        <v>Tue</v>
      </c>
    </row>
    <row r="100" spans="1:22" hidden="1" x14ac:dyDescent="0.25">
      <c r="A100" t="s">
        <v>108</v>
      </c>
      <c r="B100" t="s">
        <v>36</v>
      </c>
      <c r="C100" t="s">
        <v>44</v>
      </c>
      <c r="D100" t="s">
        <v>12</v>
      </c>
      <c r="F100" s="5">
        <v>44098</v>
      </c>
      <c r="G100" s="5">
        <v>44152</v>
      </c>
      <c r="H100" s="2">
        <v>2</v>
      </c>
      <c r="I100" s="6"/>
      <c r="J100" s="6"/>
      <c r="K100" s="7">
        <v>0.75</v>
      </c>
      <c r="L100" s="7">
        <v>169.63499999999999</v>
      </c>
      <c r="M100" t="s">
        <v>19</v>
      </c>
      <c r="N100" s="9"/>
      <c r="O100" s="8">
        <f t="array" ref="O100">INDEX(TechRate,MATCH(H100,TechNum,0))</f>
        <v>140</v>
      </c>
      <c r="P100" s="10">
        <f>WorkOrders2[[#This Row],[Techs]]*(WorkOrders2[[#This Row],[PartsCost]]*WorkOrders2[[#This Row],[LbrHrs]])</f>
        <v>254.45249999999999</v>
      </c>
      <c r="Q100" s="10">
        <f t="shared" si="6"/>
        <v>254.45249999999999</v>
      </c>
      <c r="R100" s="10">
        <f t="shared" si="7"/>
        <v>169.63499999999999</v>
      </c>
      <c r="S100" s="10">
        <f t="shared" si="8"/>
        <v>424.08749999999998</v>
      </c>
      <c r="T100" s="10">
        <f t="shared" si="9"/>
        <v>424.08749999999998</v>
      </c>
      <c r="U100" s="8" t="str">
        <f t="shared" si="10"/>
        <v>Thu</v>
      </c>
      <c r="V100" s="8" t="str">
        <f t="shared" si="11"/>
        <v>Tue</v>
      </c>
    </row>
    <row r="101" spans="1:22" hidden="1" x14ac:dyDescent="0.25">
      <c r="A101" t="s">
        <v>179</v>
      </c>
      <c r="B101" t="s">
        <v>36</v>
      </c>
      <c r="C101" t="s">
        <v>6</v>
      </c>
      <c r="D101" t="s">
        <v>13</v>
      </c>
      <c r="F101" s="5">
        <v>44137</v>
      </c>
      <c r="G101" s="5">
        <v>44172</v>
      </c>
      <c r="H101" s="2">
        <v>2</v>
      </c>
      <c r="I101" s="6"/>
      <c r="J101" s="6"/>
      <c r="K101" s="7">
        <v>0.75</v>
      </c>
      <c r="L101" s="7">
        <v>5.71</v>
      </c>
      <c r="M101" t="s">
        <v>17</v>
      </c>
      <c r="N101" s="9"/>
      <c r="O101" s="8">
        <f t="array" ref="O101">INDEX(TechRate,MATCH(H101,TechNum,0))</f>
        <v>140</v>
      </c>
      <c r="P101" s="10">
        <f>WorkOrders2[[#This Row],[Techs]]*(WorkOrders2[[#This Row],[PartsCost]]*WorkOrders2[[#This Row],[LbrHrs]])</f>
        <v>8.5649999999999995</v>
      </c>
      <c r="Q101" s="10">
        <f t="shared" si="6"/>
        <v>8.5649999999999995</v>
      </c>
      <c r="R101" s="10">
        <f t="shared" si="7"/>
        <v>5.71</v>
      </c>
      <c r="S101" s="10">
        <f t="shared" si="8"/>
        <v>14.274999999999999</v>
      </c>
      <c r="T101" s="10">
        <f t="shared" si="9"/>
        <v>14.274999999999999</v>
      </c>
      <c r="U101" s="8" t="str">
        <f t="shared" si="10"/>
        <v>Mon</v>
      </c>
      <c r="V101" s="8" t="str">
        <f t="shared" si="11"/>
        <v>Mon</v>
      </c>
    </row>
    <row r="102" spans="1:22" hidden="1" x14ac:dyDescent="0.25">
      <c r="A102" t="s">
        <v>187</v>
      </c>
      <c r="B102" t="s">
        <v>36</v>
      </c>
      <c r="C102" t="s">
        <v>44</v>
      </c>
      <c r="D102" t="s">
        <v>11</v>
      </c>
      <c r="F102" s="5">
        <v>44139</v>
      </c>
      <c r="G102" s="5">
        <v>44152</v>
      </c>
      <c r="H102" s="2">
        <v>1</v>
      </c>
      <c r="I102" s="6"/>
      <c r="J102" s="6"/>
      <c r="K102" s="7">
        <v>0.25</v>
      </c>
      <c r="L102" s="7">
        <v>107.99550000000001</v>
      </c>
      <c r="M102" t="s">
        <v>19</v>
      </c>
      <c r="N102" s="9"/>
      <c r="O102" s="8">
        <f t="array" ref="O102">INDEX(TechRate,MATCH(H102,TechNum,0))</f>
        <v>80</v>
      </c>
      <c r="P102" s="10">
        <f>WorkOrders2[[#This Row],[Techs]]*(WorkOrders2[[#This Row],[PartsCost]]*WorkOrders2[[#This Row],[LbrHrs]])</f>
        <v>26.998875000000002</v>
      </c>
      <c r="Q102" s="10">
        <f t="shared" si="6"/>
        <v>26.998875000000002</v>
      </c>
      <c r="R102" s="10">
        <f t="shared" si="7"/>
        <v>107.99550000000001</v>
      </c>
      <c r="S102" s="10">
        <f t="shared" si="8"/>
        <v>134.99437500000002</v>
      </c>
      <c r="T102" s="10">
        <f t="shared" si="9"/>
        <v>134.99437500000002</v>
      </c>
      <c r="U102" s="8" t="str">
        <f t="shared" si="10"/>
        <v>Wed</v>
      </c>
      <c r="V102" s="8" t="str">
        <f t="shared" si="11"/>
        <v>Tue</v>
      </c>
    </row>
    <row r="103" spans="1:22" hidden="1" x14ac:dyDescent="0.25">
      <c r="A103" t="s">
        <v>243</v>
      </c>
      <c r="B103" t="s">
        <v>36</v>
      </c>
      <c r="C103" t="s">
        <v>7</v>
      </c>
      <c r="D103" t="s">
        <v>13</v>
      </c>
      <c r="F103" s="5">
        <v>44166</v>
      </c>
      <c r="G103" s="5">
        <v>44320</v>
      </c>
      <c r="H103" s="2">
        <v>2</v>
      </c>
      <c r="I103" s="6"/>
      <c r="J103" s="6"/>
      <c r="K103" s="7">
        <v>0.5</v>
      </c>
      <c r="L103" s="7">
        <v>242.07</v>
      </c>
      <c r="M103" t="s">
        <v>18</v>
      </c>
      <c r="N103" s="9"/>
      <c r="O103" s="8">
        <f t="array" ref="O103">INDEX(TechRate,MATCH(H103,TechNum,0))</f>
        <v>140</v>
      </c>
      <c r="P103" s="10">
        <f>WorkOrders2[[#This Row],[Techs]]*(WorkOrders2[[#This Row],[PartsCost]]*WorkOrders2[[#This Row],[LbrHrs]])</f>
        <v>242.07</v>
      </c>
      <c r="Q103" s="10">
        <f t="shared" si="6"/>
        <v>242.07</v>
      </c>
      <c r="R103" s="10">
        <f t="shared" si="7"/>
        <v>242.07</v>
      </c>
      <c r="S103" s="10">
        <f t="shared" si="8"/>
        <v>484.14</v>
      </c>
      <c r="T103" s="10">
        <f t="shared" si="9"/>
        <v>484.14</v>
      </c>
      <c r="U103" s="8" t="str">
        <f t="shared" si="10"/>
        <v>Tue</v>
      </c>
      <c r="V103" s="8" t="str">
        <f t="shared" si="11"/>
        <v>Tue</v>
      </c>
    </row>
    <row r="104" spans="1:22" hidden="1" x14ac:dyDescent="0.25">
      <c r="A104" t="s">
        <v>249</v>
      </c>
      <c r="B104" t="s">
        <v>36</v>
      </c>
      <c r="C104" t="s">
        <v>7</v>
      </c>
      <c r="D104" t="s">
        <v>13</v>
      </c>
      <c r="F104" s="5">
        <v>44167</v>
      </c>
      <c r="G104" s="5">
        <v>44242</v>
      </c>
      <c r="H104" s="2">
        <v>2</v>
      </c>
      <c r="I104" s="6"/>
      <c r="J104" s="6"/>
      <c r="K104" s="7">
        <v>1</v>
      </c>
      <c r="L104" s="7">
        <v>226</v>
      </c>
      <c r="M104" t="s">
        <v>17</v>
      </c>
      <c r="N104" s="9"/>
      <c r="O104" s="8">
        <f t="array" ref="O104">INDEX(TechRate,MATCH(H104,TechNum,0))</f>
        <v>140</v>
      </c>
      <c r="P104" s="10">
        <f>WorkOrders2[[#This Row],[Techs]]*(WorkOrders2[[#This Row],[PartsCost]]*WorkOrders2[[#This Row],[LbrHrs]])</f>
        <v>452</v>
      </c>
      <c r="Q104" s="10">
        <f t="shared" si="6"/>
        <v>452</v>
      </c>
      <c r="R104" s="10">
        <f t="shared" si="7"/>
        <v>226</v>
      </c>
      <c r="S104" s="10">
        <f t="shared" si="8"/>
        <v>678</v>
      </c>
      <c r="T104" s="10">
        <f t="shared" si="9"/>
        <v>678</v>
      </c>
      <c r="U104" s="8" t="str">
        <f t="shared" si="10"/>
        <v>Wed</v>
      </c>
      <c r="V104" s="8" t="str">
        <f t="shared" si="11"/>
        <v>Mon</v>
      </c>
    </row>
    <row r="105" spans="1:22" hidden="1" x14ac:dyDescent="0.25">
      <c r="A105" t="s">
        <v>257</v>
      </c>
      <c r="B105" t="s">
        <v>36</v>
      </c>
      <c r="C105" t="s">
        <v>8</v>
      </c>
      <c r="D105" t="s">
        <v>13</v>
      </c>
      <c r="F105" s="5">
        <v>44172</v>
      </c>
      <c r="G105" s="5">
        <v>44208</v>
      </c>
      <c r="H105" s="2">
        <v>2</v>
      </c>
      <c r="I105" s="6"/>
      <c r="J105" s="6"/>
      <c r="K105" s="7">
        <v>1.25</v>
      </c>
      <c r="L105" s="7">
        <v>637.53</v>
      </c>
      <c r="M105" t="s">
        <v>17</v>
      </c>
      <c r="N105" s="9"/>
      <c r="O105" s="8">
        <f t="array" ref="O105">INDEX(TechRate,MATCH(H105,TechNum,0))</f>
        <v>140</v>
      </c>
      <c r="P105" s="10">
        <f>WorkOrders2[[#This Row],[Techs]]*(WorkOrders2[[#This Row],[PartsCost]]*WorkOrders2[[#This Row],[LbrHrs]])</f>
        <v>1593.8249999999998</v>
      </c>
      <c r="Q105" s="10">
        <f t="shared" si="6"/>
        <v>1593.8249999999998</v>
      </c>
      <c r="R105" s="10">
        <f t="shared" si="7"/>
        <v>637.53</v>
      </c>
      <c r="S105" s="10">
        <f t="shared" si="8"/>
        <v>2231.3549999999996</v>
      </c>
      <c r="T105" s="10">
        <f t="shared" si="9"/>
        <v>2231.3549999999996</v>
      </c>
      <c r="U105" s="8" t="str">
        <f t="shared" si="10"/>
        <v>Mon</v>
      </c>
      <c r="V105" s="8" t="str">
        <f t="shared" si="11"/>
        <v>Tue</v>
      </c>
    </row>
    <row r="106" spans="1:22" hidden="1" x14ac:dyDescent="0.25">
      <c r="A106" t="s">
        <v>274</v>
      </c>
      <c r="B106" t="s">
        <v>36</v>
      </c>
      <c r="C106" t="s">
        <v>8</v>
      </c>
      <c r="D106" t="s">
        <v>1</v>
      </c>
      <c r="F106" s="5">
        <v>44179</v>
      </c>
      <c r="G106" s="5">
        <v>44209</v>
      </c>
      <c r="H106" s="2">
        <v>2</v>
      </c>
      <c r="I106" s="6"/>
      <c r="J106" s="6"/>
      <c r="K106" s="7">
        <v>3.5</v>
      </c>
      <c r="L106" s="7">
        <v>262.44</v>
      </c>
      <c r="M106" t="s">
        <v>17</v>
      </c>
      <c r="N106" s="9"/>
      <c r="O106" s="8">
        <f t="array" ref="O106">INDEX(TechRate,MATCH(H106,TechNum,0))</f>
        <v>140</v>
      </c>
      <c r="P106" s="10">
        <f>WorkOrders2[[#This Row],[Techs]]*(WorkOrders2[[#This Row],[PartsCost]]*WorkOrders2[[#This Row],[LbrHrs]])</f>
        <v>1837.08</v>
      </c>
      <c r="Q106" s="10">
        <f t="shared" si="6"/>
        <v>1837.08</v>
      </c>
      <c r="R106" s="10">
        <f t="shared" si="7"/>
        <v>262.44</v>
      </c>
      <c r="S106" s="10">
        <f t="shared" si="8"/>
        <v>2099.52</v>
      </c>
      <c r="T106" s="10">
        <f t="shared" si="9"/>
        <v>2099.52</v>
      </c>
      <c r="U106" s="8" t="str">
        <f t="shared" si="10"/>
        <v>Mon</v>
      </c>
      <c r="V106" s="8" t="str">
        <f t="shared" si="11"/>
        <v>Wed</v>
      </c>
    </row>
    <row r="107" spans="1:22" hidden="1" x14ac:dyDescent="0.25">
      <c r="A107" t="s">
        <v>299</v>
      </c>
      <c r="B107" t="s">
        <v>36</v>
      </c>
      <c r="C107" t="s">
        <v>7</v>
      </c>
      <c r="D107" t="s">
        <v>13</v>
      </c>
      <c r="E107" t="s">
        <v>3</v>
      </c>
      <c r="F107" s="5">
        <v>44202</v>
      </c>
      <c r="G107" s="5">
        <v>44230</v>
      </c>
      <c r="H107" s="2">
        <v>2</v>
      </c>
      <c r="I107" s="6"/>
      <c r="J107" s="6"/>
      <c r="K107" s="7">
        <v>0.5</v>
      </c>
      <c r="L107" s="7">
        <v>126.71469999999999</v>
      </c>
      <c r="M107" t="s">
        <v>17</v>
      </c>
      <c r="N107" s="9"/>
      <c r="O107" s="8">
        <f t="array" ref="O107">INDEX(TechRate,MATCH(H107,TechNum,0))</f>
        <v>140</v>
      </c>
      <c r="P107" s="10">
        <f>WorkOrders2[[#This Row],[Techs]]*(WorkOrders2[[#This Row],[PartsCost]]*WorkOrders2[[#This Row],[LbrHrs]])</f>
        <v>126.71469999999999</v>
      </c>
      <c r="Q107" s="10">
        <f t="shared" si="6"/>
        <v>126.71469999999999</v>
      </c>
      <c r="R107" s="10">
        <f t="shared" si="7"/>
        <v>126.71469999999999</v>
      </c>
      <c r="S107" s="10">
        <f t="shared" si="8"/>
        <v>253.42939999999999</v>
      </c>
      <c r="T107" s="10">
        <f t="shared" si="9"/>
        <v>253.42939999999999</v>
      </c>
      <c r="U107" s="8" t="str">
        <f t="shared" si="10"/>
        <v>Wed</v>
      </c>
      <c r="V107" s="8" t="str">
        <f t="shared" si="11"/>
        <v>Wed</v>
      </c>
    </row>
    <row r="108" spans="1:22" hidden="1" x14ac:dyDescent="0.25">
      <c r="A108" t="s">
        <v>300</v>
      </c>
      <c r="B108" t="s">
        <v>36</v>
      </c>
      <c r="C108" t="s">
        <v>7</v>
      </c>
      <c r="D108" t="s">
        <v>13</v>
      </c>
      <c r="F108" s="5">
        <v>44202</v>
      </c>
      <c r="G108" s="5">
        <v>44259</v>
      </c>
      <c r="H108" s="2">
        <v>2</v>
      </c>
      <c r="I108" s="6"/>
      <c r="J108" s="6"/>
      <c r="K108" s="7">
        <v>1.25</v>
      </c>
      <c r="L108" s="7">
        <v>256.83999999999997</v>
      </c>
      <c r="M108" t="s">
        <v>17</v>
      </c>
      <c r="N108" s="9"/>
      <c r="O108" s="8">
        <f t="array" ref="O108">INDEX(TechRate,MATCH(H108,TechNum,0))</f>
        <v>140</v>
      </c>
      <c r="P108" s="10">
        <f>WorkOrders2[[#This Row],[Techs]]*(WorkOrders2[[#This Row],[PartsCost]]*WorkOrders2[[#This Row],[LbrHrs]])</f>
        <v>642.09999999999991</v>
      </c>
      <c r="Q108" s="10">
        <f t="shared" si="6"/>
        <v>642.09999999999991</v>
      </c>
      <c r="R108" s="10">
        <f t="shared" si="7"/>
        <v>256.83999999999997</v>
      </c>
      <c r="S108" s="10">
        <f t="shared" si="8"/>
        <v>898.93999999999983</v>
      </c>
      <c r="T108" s="10">
        <f t="shared" si="9"/>
        <v>898.93999999999983</v>
      </c>
      <c r="U108" s="8" t="str">
        <f t="shared" si="10"/>
        <v>Wed</v>
      </c>
      <c r="V108" s="8" t="str">
        <f t="shared" si="11"/>
        <v>Thu</v>
      </c>
    </row>
    <row r="109" spans="1:22" hidden="1" x14ac:dyDescent="0.25">
      <c r="A109" t="s">
        <v>303</v>
      </c>
      <c r="B109" t="s">
        <v>36</v>
      </c>
      <c r="C109" t="s">
        <v>7</v>
      </c>
      <c r="D109" t="s">
        <v>13</v>
      </c>
      <c r="F109" s="5">
        <v>44203</v>
      </c>
      <c r="G109" s="5">
        <v>44232</v>
      </c>
      <c r="H109" s="2">
        <v>2</v>
      </c>
      <c r="I109" s="6"/>
      <c r="J109" s="6"/>
      <c r="K109" s="7">
        <v>0.5</v>
      </c>
      <c r="L109" s="7">
        <v>178.49889999999999</v>
      </c>
      <c r="M109" t="s">
        <v>18</v>
      </c>
      <c r="N109" s="9"/>
      <c r="O109" s="8">
        <f t="array" ref="O109">INDEX(TechRate,MATCH(H109,TechNum,0))</f>
        <v>140</v>
      </c>
      <c r="P109" s="10">
        <f>WorkOrders2[[#This Row],[Techs]]*(WorkOrders2[[#This Row],[PartsCost]]*WorkOrders2[[#This Row],[LbrHrs]])</f>
        <v>178.49889999999999</v>
      </c>
      <c r="Q109" s="10">
        <f t="shared" si="6"/>
        <v>178.49889999999999</v>
      </c>
      <c r="R109" s="10">
        <f t="shared" si="7"/>
        <v>178.49889999999999</v>
      </c>
      <c r="S109" s="10">
        <f t="shared" si="8"/>
        <v>356.99779999999998</v>
      </c>
      <c r="T109" s="10">
        <f t="shared" si="9"/>
        <v>356.99779999999998</v>
      </c>
      <c r="U109" s="8" t="str">
        <f t="shared" si="10"/>
        <v>Thu</v>
      </c>
      <c r="V109" s="8" t="str">
        <f t="shared" si="11"/>
        <v>Fri</v>
      </c>
    </row>
    <row r="110" spans="1:22" hidden="1" x14ac:dyDescent="0.25">
      <c r="A110" t="s">
        <v>305</v>
      </c>
      <c r="B110" t="s">
        <v>36</v>
      </c>
      <c r="C110" t="s">
        <v>7</v>
      </c>
      <c r="D110" t="s">
        <v>12</v>
      </c>
      <c r="F110" s="5">
        <v>44203</v>
      </c>
      <c r="G110" s="5">
        <v>44249</v>
      </c>
      <c r="H110" s="2">
        <v>2</v>
      </c>
      <c r="I110" s="6"/>
      <c r="J110" s="6"/>
      <c r="K110" s="7">
        <v>1.75</v>
      </c>
      <c r="L110" s="7">
        <v>151.8099</v>
      </c>
      <c r="M110" t="s">
        <v>18</v>
      </c>
      <c r="N110" s="9"/>
      <c r="O110" s="8">
        <f t="array" ref="O110">INDEX(TechRate,MATCH(H110,TechNum,0))</f>
        <v>140</v>
      </c>
      <c r="P110" s="10">
        <f>WorkOrders2[[#This Row],[Techs]]*(WorkOrders2[[#This Row],[PartsCost]]*WorkOrders2[[#This Row],[LbrHrs]])</f>
        <v>531.33465000000001</v>
      </c>
      <c r="Q110" s="10">
        <f t="shared" si="6"/>
        <v>531.33465000000001</v>
      </c>
      <c r="R110" s="10">
        <f t="shared" si="7"/>
        <v>151.8099</v>
      </c>
      <c r="S110" s="10">
        <f t="shared" si="8"/>
        <v>683.14454999999998</v>
      </c>
      <c r="T110" s="10">
        <f t="shared" si="9"/>
        <v>683.14454999999998</v>
      </c>
      <c r="U110" s="8" t="str">
        <f t="shared" si="10"/>
        <v>Thu</v>
      </c>
      <c r="V110" s="8" t="str">
        <f t="shared" si="11"/>
        <v>Mon</v>
      </c>
    </row>
    <row r="111" spans="1:22" hidden="1" x14ac:dyDescent="0.25">
      <c r="A111" t="s">
        <v>320</v>
      </c>
      <c r="B111" t="s">
        <v>36</v>
      </c>
      <c r="C111" t="s">
        <v>7</v>
      </c>
      <c r="D111" t="s">
        <v>12</v>
      </c>
      <c r="F111" s="5">
        <v>44210</v>
      </c>
      <c r="G111" s="5">
        <v>44242</v>
      </c>
      <c r="H111" s="2">
        <v>2</v>
      </c>
      <c r="I111" s="6"/>
      <c r="J111" s="6"/>
      <c r="K111" s="7">
        <v>0.5</v>
      </c>
      <c r="L111" s="7">
        <v>137.22</v>
      </c>
      <c r="M111" t="s">
        <v>17</v>
      </c>
      <c r="N111" s="9"/>
      <c r="O111" s="8">
        <f t="array" ref="O111">INDEX(TechRate,MATCH(H111,TechNum,0))</f>
        <v>140</v>
      </c>
      <c r="P111" s="10">
        <f>WorkOrders2[[#This Row],[Techs]]*(WorkOrders2[[#This Row],[PartsCost]]*WorkOrders2[[#This Row],[LbrHrs]])</f>
        <v>137.22</v>
      </c>
      <c r="Q111" s="10">
        <f t="shared" si="6"/>
        <v>137.22</v>
      </c>
      <c r="R111" s="10">
        <f t="shared" si="7"/>
        <v>137.22</v>
      </c>
      <c r="S111" s="10">
        <f t="shared" si="8"/>
        <v>274.44</v>
      </c>
      <c r="T111" s="10">
        <f t="shared" si="9"/>
        <v>274.44</v>
      </c>
      <c r="U111" s="8" t="str">
        <f t="shared" si="10"/>
        <v>Thu</v>
      </c>
      <c r="V111" s="8" t="str">
        <f t="shared" si="11"/>
        <v>Mon</v>
      </c>
    </row>
    <row r="112" spans="1:22" hidden="1" x14ac:dyDescent="0.25">
      <c r="A112" t="s">
        <v>333</v>
      </c>
      <c r="B112" t="s">
        <v>36</v>
      </c>
      <c r="C112" t="s">
        <v>7</v>
      </c>
      <c r="D112" t="s">
        <v>11</v>
      </c>
      <c r="F112" s="5">
        <v>44217</v>
      </c>
      <c r="G112" s="5">
        <v>44237</v>
      </c>
      <c r="H112" s="2">
        <v>1</v>
      </c>
      <c r="I112" s="6"/>
      <c r="J112" s="6"/>
      <c r="K112" s="7">
        <v>0.25</v>
      </c>
      <c r="L112" s="7">
        <v>21.33</v>
      </c>
      <c r="M112" t="s">
        <v>17</v>
      </c>
      <c r="N112" s="9"/>
      <c r="O112" s="8">
        <f t="array" ref="O112">INDEX(TechRate,MATCH(H112,TechNum,0))</f>
        <v>80</v>
      </c>
      <c r="P112" s="10">
        <f>WorkOrders2[[#This Row],[Techs]]*(WorkOrders2[[#This Row],[PartsCost]]*WorkOrders2[[#This Row],[LbrHrs]])</f>
        <v>5.3324999999999996</v>
      </c>
      <c r="Q112" s="10">
        <f t="shared" si="6"/>
        <v>5.3324999999999996</v>
      </c>
      <c r="R112" s="10">
        <f t="shared" si="7"/>
        <v>21.33</v>
      </c>
      <c r="S112" s="10">
        <f t="shared" si="8"/>
        <v>26.662499999999998</v>
      </c>
      <c r="T112" s="10">
        <f t="shared" si="9"/>
        <v>26.662499999999998</v>
      </c>
      <c r="U112" s="8" t="str">
        <f t="shared" si="10"/>
        <v>Thu</v>
      </c>
      <c r="V112" s="8" t="str">
        <f t="shared" si="11"/>
        <v>Wed</v>
      </c>
    </row>
    <row r="113" spans="1:22" hidden="1" x14ac:dyDescent="0.25">
      <c r="A113" t="s">
        <v>338</v>
      </c>
      <c r="B113" t="s">
        <v>36</v>
      </c>
      <c r="C113" t="s">
        <v>7</v>
      </c>
      <c r="D113" t="s">
        <v>13</v>
      </c>
      <c r="F113" s="5">
        <v>44221</v>
      </c>
      <c r="G113" s="5">
        <v>44275</v>
      </c>
      <c r="H113" s="2">
        <v>2</v>
      </c>
      <c r="I113" s="6"/>
      <c r="J113" s="6"/>
      <c r="K113" s="7">
        <v>2</v>
      </c>
      <c r="L113" s="7">
        <v>368.87400000000002</v>
      </c>
      <c r="M113" t="s">
        <v>17</v>
      </c>
      <c r="N113" s="9"/>
      <c r="O113" s="8">
        <f t="array" ref="O113">INDEX(TechRate,MATCH(H113,TechNum,0))</f>
        <v>140</v>
      </c>
      <c r="P113" s="10">
        <f>WorkOrders2[[#This Row],[Techs]]*(WorkOrders2[[#This Row],[PartsCost]]*WorkOrders2[[#This Row],[LbrHrs]])</f>
        <v>1475.4960000000001</v>
      </c>
      <c r="Q113" s="10">
        <f t="shared" si="6"/>
        <v>1475.4960000000001</v>
      </c>
      <c r="R113" s="10">
        <f t="shared" si="7"/>
        <v>368.87400000000002</v>
      </c>
      <c r="S113" s="10">
        <f t="shared" si="8"/>
        <v>1844.3700000000001</v>
      </c>
      <c r="T113" s="10">
        <f t="shared" si="9"/>
        <v>1844.3700000000001</v>
      </c>
      <c r="U113" s="8" t="str">
        <f t="shared" si="10"/>
        <v>Mon</v>
      </c>
      <c r="V113" s="8" t="str">
        <f t="shared" si="11"/>
        <v>Sat</v>
      </c>
    </row>
    <row r="114" spans="1:22" hidden="1" x14ac:dyDescent="0.25">
      <c r="A114" t="s">
        <v>339</v>
      </c>
      <c r="B114" t="s">
        <v>36</v>
      </c>
      <c r="C114" t="s">
        <v>7</v>
      </c>
      <c r="D114" t="s">
        <v>11</v>
      </c>
      <c r="F114" s="5">
        <v>44223</v>
      </c>
      <c r="G114" s="5">
        <v>44231</v>
      </c>
      <c r="H114" s="2">
        <v>1</v>
      </c>
      <c r="I114" s="6"/>
      <c r="J114" s="6"/>
      <c r="K114" s="7">
        <v>0.25</v>
      </c>
      <c r="L114" s="7">
        <v>120</v>
      </c>
      <c r="M114" t="s">
        <v>17</v>
      </c>
      <c r="N114" s="9"/>
      <c r="O114" s="8">
        <f t="array" ref="O114">INDEX(TechRate,MATCH(H114,TechNum,0))</f>
        <v>80</v>
      </c>
      <c r="P114" s="10">
        <f>WorkOrders2[[#This Row],[Techs]]*(WorkOrders2[[#This Row],[PartsCost]]*WorkOrders2[[#This Row],[LbrHrs]])</f>
        <v>30</v>
      </c>
      <c r="Q114" s="10">
        <f t="shared" si="6"/>
        <v>30</v>
      </c>
      <c r="R114" s="10">
        <f t="shared" si="7"/>
        <v>120</v>
      </c>
      <c r="S114" s="10">
        <f t="shared" si="8"/>
        <v>150</v>
      </c>
      <c r="T114" s="10">
        <f t="shared" si="9"/>
        <v>150</v>
      </c>
      <c r="U114" s="8" t="str">
        <f t="shared" si="10"/>
        <v>Wed</v>
      </c>
      <c r="V114" s="8" t="str">
        <f t="shared" si="11"/>
        <v>Thu</v>
      </c>
    </row>
    <row r="115" spans="1:22" hidden="1" x14ac:dyDescent="0.25">
      <c r="A115" t="s">
        <v>340</v>
      </c>
      <c r="B115" t="s">
        <v>36</v>
      </c>
      <c r="C115" t="s">
        <v>7</v>
      </c>
      <c r="D115" t="s">
        <v>13</v>
      </c>
      <c r="E115" t="s">
        <v>3</v>
      </c>
      <c r="F115" s="5">
        <v>44223</v>
      </c>
      <c r="G115" s="5">
        <v>44249</v>
      </c>
      <c r="H115" s="2">
        <v>2</v>
      </c>
      <c r="I115" s="6"/>
      <c r="J115" s="6"/>
      <c r="K115" s="7">
        <v>0.5</v>
      </c>
      <c r="L115" s="7">
        <v>5.4720000000000004</v>
      </c>
      <c r="M115" t="s">
        <v>18</v>
      </c>
      <c r="N115" s="9"/>
      <c r="O115" s="8">
        <f t="array" ref="O115">INDEX(TechRate,MATCH(H115,TechNum,0))</f>
        <v>140</v>
      </c>
      <c r="P115" s="10">
        <f>WorkOrders2[[#This Row],[Techs]]*(WorkOrders2[[#This Row],[PartsCost]]*WorkOrders2[[#This Row],[LbrHrs]])</f>
        <v>5.4720000000000004</v>
      </c>
      <c r="Q115" s="10">
        <f t="shared" si="6"/>
        <v>5.4720000000000004</v>
      </c>
      <c r="R115" s="10">
        <f t="shared" si="7"/>
        <v>5.4720000000000004</v>
      </c>
      <c r="S115" s="10">
        <f t="shared" si="8"/>
        <v>10.944000000000001</v>
      </c>
      <c r="T115" s="10">
        <f t="shared" si="9"/>
        <v>10.944000000000001</v>
      </c>
      <c r="U115" s="8" t="str">
        <f t="shared" si="10"/>
        <v>Wed</v>
      </c>
      <c r="V115" s="8" t="str">
        <f t="shared" si="11"/>
        <v>Mon</v>
      </c>
    </row>
    <row r="116" spans="1:22" hidden="1" x14ac:dyDescent="0.25">
      <c r="A116" t="s">
        <v>343</v>
      </c>
      <c r="B116" t="s">
        <v>36</v>
      </c>
      <c r="C116" t="s">
        <v>7</v>
      </c>
      <c r="D116" t="s">
        <v>12</v>
      </c>
      <c r="F116" s="5">
        <v>44224</v>
      </c>
      <c r="G116" s="5">
        <v>44245</v>
      </c>
      <c r="H116" s="2">
        <v>2</v>
      </c>
      <c r="I116" s="6"/>
      <c r="J116" s="6"/>
      <c r="K116" s="7">
        <v>0.25</v>
      </c>
      <c r="L116" s="7">
        <v>23.899000000000001</v>
      </c>
      <c r="M116" t="s">
        <v>18</v>
      </c>
      <c r="N116" s="9"/>
      <c r="O116" s="8">
        <f t="array" ref="O116">INDEX(TechRate,MATCH(H116,TechNum,0))</f>
        <v>140</v>
      </c>
      <c r="P116" s="10">
        <f>WorkOrders2[[#This Row],[Techs]]*(WorkOrders2[[#This Row],[PartsCost]]*WorkOrders2[[#This Row],[LbrHrs]])</f>
        <v>11.9495</v>
      </c>
      <c r="Q116" s="10">
        <f t="shared" si="6"/>
        <v>11.9495</v>
      </c>
      <c r="R116" s="10">
        <f t="shared" si="7"/>
        <v>23.899000000000001</v>
      </c>
      <c r="S116" s="10">
        <f t="shared" si="8"/>
        <v>35.848500000000001</v>
      </c>
      <c r="T116" s="10">
        <f t="shared" si="9"/>
        <v>35.848500000000001</v>
      </c>
      <c r="U116" s="8" t="str">
        <f t="shared" si="10"/>
        <v>Thu</v>
      </c>
      <c r="V116" s="8" t="str">
        <f t="shared" si="11"/>
        <v>Thu</v>
      </c>
    </row>
    <row r="117" spans="1:22" hidden="1" x14ac:dyDescent="0.25">
      <c r="A117" t="s">
        <v>347</v>
      </c>
      <c r="B117" t="s">
        <v>36</v>
      </c>
      <c r="C117" t="s">
        <v>7</v>
      </c>
      <c r="D117" t="s">
        <v>13</v>
      </c>
      <c r="F117" s="5">
        <v>44226</v>
      </c>
      <c r="G117" s="5">
        <v>44229</v>
      </c>
      <c r="H117" s="2">
        <v>2</v>
      </c>
      <c r="I117" s="6"/>
      <c r="J117" s="6"/>
      <c r="K117" s="7">
        <v>0.5</v>
      </c>
      <c r="L117" s="7">
        <v>134</v>
      </c>
      <c r="M117" t="s">
        <v>17</v>
      </c>
      <c r="N117" s="9"/>
      <c r="O117" s="8">
        <f t="array" ref="O117">INDEX(TechRate,MATCH(H117,TechNum,0))</f>
        <v>140</v>
      </c>
      <c r="P117" s="10">
        <f>WorkOrders2[[#This Row],[Techs]]*(WorkOrders2[[#This Row],[PartsCost]]*WorkOrders2[[#This Row],[LbrHrs]])</f>
        <v>134</v>
      </c>
      <c r="Q117" s="10">
        <f t="shared" si="6"/>
        <v>134</v>
      </c>
      <c r="R117" s="10">
        <f t="shared" si="7"/>
        <v>134</v>
      </c>
      <c r="S117" s="10">
        <f t="shared" si="8"/>
        <v>268</v>
      </c>
      <c r="T117" s="10">
        <f t="shared" si="9"/>
        <v>268</v>
      </c>
      <c r="U117" s="8" t="str">
        <f t="shared" si="10"/>
        <v>Sat</v>
      </c>
      <c r="V117" s="8" t="str">
        <f t="shared" si="11"/>
        <v>Tue</v>
      </c>
    </row>
    <row r="118" spans="1:22" hidden="1" x14ac:dyDescent="0.25">
      <c r="A118" t="s">
        <v>348</v>
      </c>
      <c r="B118" t="s">
        <v>36</v>
      </c>
      <c r="C118" t="s">
        <v>7</v>
      </c>
      <c r="D118" t="s">
        <v>12</v>
      </c>
      <c r="F118" s="5">
        <v>44228</v>
      </c>
      <c r="G118" s="5">
        <v>44237</v>
      </c>
      <c r="H118" s="2">
        <v>2</v>
      </c>
      <c r="I118" s="6"/>
      <c r="J118" s="6"/>
      <c r="K118" s="7">
        <v>0.25</v>
      </c>
      <c r="L118" s="7">
        <v>144</v>
      </c>
      <c r="M118" t="s">
        <v>17</v>
      </c>
      <c r="N118" s="9"/>
      <c r="O118" s="8">
        <f t="array" ref="O118">INDEX(TechRate,MATCH(H118,TechNum,0))</f>
        <v>140</v>
      </c>
      <c r="P118" s="10">
        <f>WorkOrders2[[#This Row],[Techs]]*(WorkOrders2[[#This Row],[PartsCost]]*WorkOrders2[[#This Row],[LbrHrs]])</f>
        <v>72</v>
      </c>
      <c r="Q118" s="10">
        <f t="shared" si="6"/>
        <v>72</v>
      </c>
      <c r="R118" s="10">
        <f t="shared" si="7"/>
        <v>144</v>
      </c>
      <c r="S118" s="10">
        <f t="shared" si="8"/>
        <v>216</v>
      </c>
      <c r="T118" s="10">
        <f t="shared" si="9"/>
        <v>216</v>
      </c>
      <c r="U118" s="8" t="str">
        <f t="shared" si="10"/>
        <v>Mon</v>
      </c>
      <c r="V118" s="8" t="str">
        <f t="shared" si="11"/>
        <v>Wed</v>
      </c>
    </row>
    <row r="119" spans="1:22" hidden="1" x14ac:dyDescent="0.25">
      <c r="A119" t="s">
        <v>353</v>
      </c>
      <c r="B119" t="s">
        <v>36</v>
      </c>
      <c r="C119" t="s">
        <v>7</v>
      </c>
      <c r="D119" t="s">
        <v>12</v>
      </c>
      <c r="F119" s="5">
        <v>44229</v>
      </c>
      <c r="G119" s="5">
        <v>44229</v>
      </c>
      <c r="H119" s="2">
        <v>2</v>
      </c>
      <c r="I119" s="6"/>
      <c r="J119" s="6"/>
      <c r="K119" s="7">
        <v>0.5</v>
      </c>
      <c r="L119" s="7">
        <v>21.33</v>
      </c>
      <c r="M119" t="s">
        <v>17</v>
      </c>
      <c r="N119" s="9"/>
      <c r="O119" s="8">
        <f t="array" ref="O119">INDEX(TechRate,MATCH(H119,TechNum,0))</f>
        <v>140</v>
      </c>
      <c r="P119" s="10">
        <f>WorkOrders2[[#This Row],[Techs]]*(WorkOrders2[[#This Row],[PartsCost]]*WorkOrders2[[#This Row],[LbrHrs]])</f>
        <v>21.33</v>
      </c>
      <c r="Q119" s="10">
        <f t="shared" si="6"/>
        <v>21.33</v>
      </c>
      <c r="R119" s="10">
        <f t="shared" si="7"/>
        <v>21.33</v>
      </c>
      <c r="S119" s="10">
        <f t="shared" si="8"/>
        <v>42.66</v>
      </c>
      <c r="T119" s="10">
        <f t="shared" si="9"/>
        <v>42.66</v>
      </c>
      <c r="U119" s="8" t="str">
        <f t="shared" si="10"/>
        <v>Tue</v>
      </c>
      <c r="V119" s="8" t="str">
        <f t="shared" si="11"/>
        <v>Tue</v>
      </c>
    </row>
    <row r="120" spans="1:22" hidden="1" x14ac:dyDescent="0.25">
      <c r="A120" t="s">
        <v>355</v>
      </c>
      <c r="B120" t="s">
        <v>36</v>
      </c>
      <c r="C120" t="s">
        <v>7</v>
      </c>
      <c r="D120" t="s">
        <v>13</v>
      </c>
      <c r="F120" s="5">
        <v>44229</v>
      </c>
      <c r="G120" s="5">
        <v>44244</v>
      </c>
      <c r="H120" s="2">
        <v>2</v>
      </c>
      <c r="I120" s="6"/>
      <c r="J120" s="6"/>
      <c r="K120" s="7">
        <v>0.5</v>
      </c>
      <c r="L120" s="7">
        <v>56.496899999999997</v>
      </c>
      <c r="M120" t="s">
        <v>18</v>
      </c>
      <c r="N120" s="9"/>
      <c r="O120" s="8">
        <f t="array" ref="O120">INDEX(TechRate,MATCH(H120,TechNum,0))</f>
        <v>140</v>
      </c>
      <c r="P120" s="10">
        <f>WorkOrders2[[#This Row],[Techs]]*(WorkOrders2[[#This Row],[PartsCost]]*WorkOrders2[[#This Row],[LbrHrs]])</f>
        <v>56.496899999999997</v>
      </c>
      <c r="Q120" s="10">
        <f t="shared" si="6"/>
        <v>56.496899999999997</v>
      </c>
      <c r="R120" s="10">
        <f t="shared" si="7"/>
        <v>56.496899999999997</v>
      </c>
      <c r="S120" s="10">
        <f t="shared" si="8"/>
        <v>112.99379999999999</v>
      </c>
      <c r="T120" s="10">
        <f t="shared" si="9"/>
        <v>112.99379999999999</v>
      </c>
      <c r="U120" s="8" t="str">
        <f t="shared" si="10"/>
        <v>Tue</v>
      </c>
      <c r="V120" s="8" t="str">
        <f t="shared" si="11"/>
        <v>Wed</v>
      </c>
    </row>
    <row r="121" spans="1:22" hidden="1" x14ac:dyDescent="0.25">
      <c r="A121" t="s">
        <v>356</v>
      </c>
      <c r="B121" t="s">
        <v>36</v>
      </c>
      <c r="C121" t="s">
        <v>7</v>
      </c>
      <c r="D121" t="s">
        <v>13</v>
      </c>
      <c r="F121" s="5">
        <v>44229</v>
      </c>
      <c r="G121" s="5">
        <v>44245</v>
      </c>
      <c r="H121" s="2">
        <v>2</v>
      </c>
      <c r="I121" s="6"/>
      <c r="J121" s="6"/>
      <c r="K121" s="7">
        <v>0.5</v>
      </c>
      <c r="L121" s="7">
        <v>269.95400000000001</v>
      </c>
      <c r="M121" t="s">
        <v>17</v>
      </c>
      <c r="N121" s="9"/>
      <c r="O121" s="8">
        <f t="array" ref="O121">INDEX(TechRate,MATCH(H121,TechNum,0))</f>
        <v>140</v>
      </c>
      <c r="P121" s="10">
        <f>WorkOrders2[[#This Row],[Techs]]*(WorkOrders2[[#This Row],[PartsCost]]*WorkOrders2[[#This Row],[LbrHrs]])</f>
        <v>269.95400000000001</v>
      </c>
      <c r="Q121" s="10">
        <f t="shared" si="6"/>
        <v>269.95400000000001</v>
      </c>
      <c r="R121" s="10">
        <f t="shared" si="7"/>
        <v>269.95400000000001</v>
      </c>
      <c r="S121" s="10">
        <f t="shared" si="8"/>
        <v>539.90800000000002</v>
      </c>
      <c r="T121" s="10">
        <f t="shared" si="9"/>
        <v>539.90800000000002</v>
      </c>
      <c r="U121" s="8" t="str">
        <f t="shared" si="10"/>
        <v>Tue</v>
      </c>
      <c r="V121" s="8" t="str">
        <f t="shared" si="11"/>
        <v>Thu</v>
      </c>
    </row>
    <row r="122" spans="1:22" hidden="1" x14ac:dyDescent="0.25">
      <c r="A122" t="s">
        <v>370</v>
      </c>
      <c r="B122" t="s">
        <v>36</v>
      </c>
      <c r="C122" t="s">
        <v>7</v>
      </c>
      <c r="D122" t="s">
        <v>11</v>
      </c>
      <c r="E122" t="s">
        <v>3</v>
      </c>
      <c r="F122" s="5">
        <v>44235</v>
      </c>
      <c r="G122" s="5">
        <v>44246</v>
      </c>
      <c r="H122" s="2">
        <v>1</v>
      </c>
      <c r="I122" s="6"/>
      <c r="J122" s="6"/>
      <c r="K122" s="7">
        <v>0.25</v>
      </c>
      <c r="L122" s="7">
        <v>96.714699999999993</v>
      </c>
      <c r="M122" t="s">
        <v>17</v>
      </c>
      <c r="N122" s="9"/>
      <c r="O122" s="8">
        <f t="array" ref="O122">INDEX(TechRate,MATCH(H122,TechNum,0))</f>
        <v>80</v>
      </c>
      <c r="P122" s="10">
        <f>WorkOrders2[[#This Row],[Techs]]*(WorkOrders2[[#This Row],[PartsCost]]*WorkOrders2[[#This Row],[LbrHrs]])</f>
        <v>24.178674999999998</v>
      </c>
      <c r="Q122" s="10">
        <f t="shared" si="6"/>
        <v>24.178674999999998</v>
      </c>
      <c r="R122" s="10">
        <f t="shared" si="7"/>
        <v>96.714699999999993</v>
      </c>
      <c r="S122" s="10">
        <f t="shared" si="8"/>
        <v>120.89337499999999</v>
      </c>
      <c r="T122" s="10">
        <f t="shared" si="9"/>
        <v>120.89337499999999</v>
      </c>
      <c r="U122" s="8" t="str">
        <f t="shared" si="10"/>
        <v>Mon</v>
      </c>
      <c r="V122" s="8" t="str">
        <f t="shared" si="11"/>
        <v>Fri</v>
      </c>
    </row>
    <row r="123" spans="1:22" x14ac:dyDescent="0.25">
      <c r="A123" t="s">
        <v>373</v>
      </c>
      <c r="B123" t="s">
        <v>36</v>
      </c>
      <c r="C123" t="s">
        <v>7</v>
      </c>
      <c r="D123" t="s">
        <v>2</v>
      </c>
      <c r="F123" s="5">
        <v>44235</v>
      </c>
      <c r="G123" s="5">
        <v>44249</v>
      </c>
      <c r="H123" s="2">
        <v>2</v>
      </c>
      <c r="I123" s="6"/>
      <c r="J123" s="6"/>
      <c r="K123" s="7">
        <v>1</v>
      </c>
      <c r="L123" s="7">
        <v>118.55840000000001</v>
      </c>
      <c r="M123" t="s">
        <v>17</v>
      </c>
      <c r="N123" s="9"/>
      <c r="O123" s="8">
        <f t="array" ref="O123">INDEX(TechRate,MATCH(H123,TechNum,0))</f>
        <v>140</v>
      </c>
      <c r="P123" s="10">
        <f>WorkOrders2[[#This Row],[Techs]]*(WorkOrders2[[#This Row],[PartsCost]]*WorkOrders2[[#This Row],[LbrHrs]])</f>
        <v>237.11680000000001</v>
      </c>
      <c r="Q123" s="10">
        <f t="shared" si="6"/>
        <v>237.11680000000001</v>
      </c>
      <c r="R123" s="10">
        <f t="shared" si="7"/>
        <v>118.55840000000001</v>
      </c>
      <c r="S123" s="10">
        <f t="shared" si="8"/>
        <v>355.67520000000002</v>
      </c>
      <c r="T123" s="10">
        <f t="shared" si="9"/>
        <v>355.67520000000002</v>
      </c>
      <c r="U123" s="8" t="str">
        <f t="shared" si="10"/>
        <v>Mon</v>
      </c>
      <c r="V123" s="8" t="str">
        <f t="shared" si="11"/>
        <v>Mon</v>
      </c>
    </row>
    <row r="124" spans="1:22" hidden="1" x14ac:dyDescent="0.25">
      <c r="A124" t="s">
        <v>375</v>
      </c>
      <c r="B124" t="s">
        <v>36</v>
      </c>
      <c r="C124" t="s">
        <v>7</v>
      </c>
      <c r="D124" t="s">
        <v>12</v>
      </c>
      <c r="F124" s="5">
        <v>44236</v>
      </c>
      <c r="G124" s="5">
        <v>44249</v>
      </c>
      <c r="H124" s="2">
        <v>2</v>
      </c>
      <c r="I124" s="6"/>
      <c r="J124" s="6"/>
      <c r="K124" s="7">
        <v>0.25</v>
      </c>
      <c r="L124" s="7">
        <v>83.441299999999998</v>
      </c>
      <c r="M124" t="s">
        <v>17</v>
      </c>
      <c r="N124" s="9"/>
      <c r="O124" s="8">
        <f t="array" ref="O124">INDEX(TechRate,MATCH(H124,TechNum,0))</f>
        <v>140</v>
      </c>
      <c r="P124" s="10">
        <f>WorkOrders2[[#This Row],[Techs]]*(WorkOrders2[[#This Row],[PartsCost]]*WorkOrders2[[#This Row],[LbrHrs]])</f>
        <v>41.720649999999999</v>
      </c>
      <c r="Q124" s="10">
        <f t="shared" si="6"/>
        <v>41.720649999999999</v>
      </c>
      <c r="R124" s="10">
        <f t="shared" si="7"/>
        <v>83.441299999999998</v>
      </c>
      <c r="S124" s="10">
        <f t="shared" si="8"/>
        <v>125.16194999999999</v>
      </c>
      <c r="T124" s="10">
        <f t="shared" si="9"/>
        <v>125.16194999999999</v>
      </c>
      <c r="U124" s="8" t="str">
        <f t="shared" si="10"/>
        <v>Tue</v>
      </c>
      <c r="V124" s="8" t="str">
        <f t="shared" si="11"/>
        <v>Mon</v>
      </c>
    </row>
    <row r="125" spans="1:22" hidden="1" x14ac:dyDescent="0.25">
      <c r="A125" t="s">
        <v>376</v>
      </c>
      <c r="B125" t="s">
        <v>36</v>
      </c>
      <c r="C125" t="s">
        <v>7</v>
      </c>
      <c r="D125" t="s">
        <v>12</v>
      </c>
      <c r="F125" s="5">
        <v>44236</v>
      </c>
      <c r="G125" s="5">
        <v>44251</v>
      </c>
      <c r="H125" s="2">
        <v>2</v>
      </c>
      <c r="I125" s="6"/>
      <c r="J125" s="6"/>
      <c r="K125" s="7">
        <v>0.75</v>
      </c>
      <c r="L125" s="7">
        <v>36</v>
      </c>
      <c r="M125" t="s">
        <v>17</v>
      </c>
      <c r="N125" s="9"/>
      <c r="O125" s="8">
        <f t="array" ref="O125">INDEX(TechRate,MATCH(H125,TechNum,0))</f>
        <v>140</v>
      </c>
      <c r="P125" s="10">
        <f>WorkOrders2[[#This Row],[Techs]]*(WorkOrders2[[#This Row],[PartsCost]]*WorkOrders2[[#This Row],[LbrHrs]])</f>
        <v>54</v>
      </c>
      <c r="Q125" s="10">
        <f t="shared" si="6"/>
        <v>54</v>
      </c>
      <c r="R125" s="10">
        <f t="shared" si="7"/>
        <v>36</v>
      </c>
      <c r="S125" s="10">
        <f t="shared" si="8"/>
        <v>90</v>
      </c>
      <c r="T125" s="10">
        <f t="shared" si="9"/>
        <v>90</v>
      </c>
      <c r="U125" s="8" t="str">
        <f t="shared" si="10"/>
        <v>Tue</v>
      </c>
      <c r="V125" s="8" t="str">
        <f t="shared" si="11"/>
        <v>Wed</v>
      </c>
    </row>
    <row r="126" spans="1:22" hidden="1" x14ac:dyDescent="0.25">
      <c r="A126" t="s">
        <v>378</v>
      </c>
      <c r="B126" t="s">
        <v>36</v>
      </c>
      <c r="C126" t="s">
        <v>7</v>
      </c>
      <c r="D126" t="s">
        <v>12</v>
      </c>
      <c r="F126" s="5">
        <v>44237</v>
      </c>
      <c r="G126" s="5">
        <v>44244</v>
      </c>
      <c r="H126" s="2">
        <v>1</v>
      </c>
      <c r="I126" s="6"/>
      <c r="J126" s="6"/>
      <c r="K126" s="7">
        <v>0.5</v>
      </c>
      <c r="L126" s="7">
        <v>76.787999999999997</v>
      </c>
      <c r="M126" t="s">
        <v>17</v>
      </c>
      <c r="N126" s="9"/>
      <c r="O126" s="8">
        <f t="array" ref="O126">INDEX(TechRate,MATCH(H126,TechNum,0))</f>
        <v>80</v>
      </c>
      <c r="P126" s="10">
        <f>WorkOrders2[[#This Row],[Techs]]*(WorkOrders2[[#This Row],[PartsCost]]*WorkOrders2[[#This Row],[LbrHrs]])</f>
        <v>38.393999999999998</v>
      </c>
      <c r="Q126" s="10">
        <f t="shared" si="6"/>
        <v>38.393999999999998</v>
      </c>
      <c r="R126" s="10">
        <f t="shared" si="7"/>
        <v>76.787999999999997</v>
      </c>
      <c r="S126" s="10">
        <f t="shared" si="8"/>
        <v>115.18199999999999</v>
      </c>
      <c r="T126" s="10">
        <f t="shared" si="9"/>
        <v>115.18199999999999</v>
      </c>
      <c r="U126" s="8" t="str">
        <f t="shared" si="10"/>
        <v>Wed</v>
      </c>
      <c r="V126" s="8" t="str">
        <f t="shared" si="11"/>
        <v>Wed</v>
      </c>
    </row>
    <row r="127" spans="1:22" hidden="1" x14ac:dyDescent="0.25">
      <c r="A127" t="s">
        <v>384</v>
      </c>
      <c r="B127" t="s">
        <v>36</v>
      </c>
      <c r="C127" t="s">
        <v>7</v>
      </c>
      <c r="D127" t="s">
        <v>1</v>
      </c>
      <c r="F127" s="5">
        <v>44242</v>
      </c>
      <c r="G127" s="5">
        <v>44245</v>
      </c>
      <c r="H127" s="2">
        <v>2</v>
      </c>
      <c r="I127" s="6"/>
      <c r="J127" s="6"/>
      <c r="K127" s="7">
        <v>1</v>
      </c>
      <c r="L127" s="7">
        <v>157.86000000000001</v>
      </c>
      <c r="M127" t="s">
        <v>17</v>
      </c>
      <c r="N127" s="9"/>
      <c r="O127" s="8">
        <f t="array" ref="O127">INDEX(TechRate,MATCH(H127,TechNum,0))</f>
        <v>140</v>
      </c>
      <c r="P127" s="10">
        <f>WorkOrders2[[#This Row],[Techs]]*(WorkOrders2[[#This Row],[PartsCost]]*WorkOrders2[[#This Row],[LbrHrs]])</f>
        <v>315.72000000000003</v>
      </c>
      <c r="Q127" s="10">
        <f t="shared" si="6"/>
        <v>315.72000000000003</v>
      </c>
      <c r="R127" s="10">
        <f t="shared" si="7"/>
        <v>157.86000000000001</v>
      </c>
      <c r="S127" s="10">
        <f t="shared" si="8"/>
        <v>473.58000000000004</v>
      </c>
      <c r="T127" s="10">
        <f t="shared" si="9"/>
        <v>473.58000000000004</v>
      </c>
      <c r="U127" s="8" t="str">
        <f t="shared" si="10"/>
        <v>Mon</v>
      </c>
      <c r="V127" s="8" t="str">
        <f t="shared" si="11"/>
        <v>Thu</v>
      </c>
    </row>
    <row r="128" spans="1:22" hidden="1" x14ac:dyDescent="0.25">
      <c r="A128" t="s">
        <v>385</v>
      </c>
      <c r="B128" t="s">
        <v>36</v>
      </c>
      <c r="C128" t="s">
        <v>7</v>
      </c>
      <c r="D128" t="s">
        <v>12</v>
      </c>
      <c r="F128" s="5">
        <v>44242</v>
      </c>
      <c r="G128" s="5">
        <v>44251</v>
      </c>
      <c r="H128" s="2">
        <v>2</v>
      </c>
      <c r="I128" s="6"/>
      <c r="J128" s="6"/>
      <c r="K128" s="7">
        <v>0.25</v>
      </c>
      <c r="L128" s="7">
        <v>160.39080000000001</v>
      </c>
      <c r="M128" t="s">
        <v>17</v>
      </c>
      <c r="N128" s="9"/>
      <c r="O128" s="8">
        <f t="array" ref="O128">INDEX(TechRate,MATCH(H128,TechNum,0))</f>
        <v>140</v>
      </c>
      <c r="P128" s="10">
        <f>WorkOrders2[[#This Row],[Techs]]*(WorkOrders2[[#This Row],[PartsCost]]*WorkOrders2[[#This Row],[LbrHrs]])</f>
        <v>80.195400000000006</v>
      </c>
      <c r="Q128" s="10">
        <f t="shared" si="6"/>
        <v>80.195400000000006</v>
      </c>
      <c r="R128" s="10">
        <f t="shared" si="7"/>
        <v>160.39080000000001</v>
      </c>
      <c r="S128" s="10">
        <f t="shared" si="8"/>
        <v>240.58620000000002</v>
      </c>
      <c r="T128" s="10">
        <f t="shared" si="9"/>
        <v>240.58620000000002</v>
      </c>
      <c r="U128" s="8" t="str">
        <f t="shared" si="10"/>
        <v>Mon</v>
      </c>
      <c r="V128" s="8" t="str">
        <f t="shared" si="11"/>
        <v>Wed</v>
      </c>
    </row>
    <row r="129" spans="1:22" hidden="1" x14ac:dyDescent="0.25">
      <c r="A129" t="s">
        <v>386</v>
      </c>
      <c r="B129" t="s">
        <v>36</v>
      </c>
      <c r="C129" t="s">
        <v>7</v>
      </c>
      <c r="D129" t="s">
        <v>12</v>
      </c>
      <c r="F129" s="5">
        <v>44242</v>
      </c>
      <c r="G129" s="5">
        <v>44252</v>
      </c>
      <c r="H129" s="2">
        <v>2</v>
      </c>
      <c r="I129" s="6"/>
      <c r="J129" s="6"/>
      <c r="K129" s="7">
        <v>0.25</v>
      </c>
      <c r="L129" s="7">
        <v>46.845300000000002</v>
      </c>
      <c r="M129" t="s">
        <v>17</v>
      </c>
      <c r="N129" s="9"/>
      <c r="O129" s="8">
        <f t="array" ref="O129">INDEX(TechRate,MATCH(H129,TechNum,0))</f>
        <v>140</v>
      </c>
      <c r="P129" s="10">
        <f>WorkOrders2[[#This Row],[Techs]]*(WorkOrders2[[#This Row],[PartsCost]]*WorkOrders2[[#This Row],[LbrHrs]])</f>
        <v>23.422650000000001</v>
      </c>
      <c r="Q129" s="10">
        <f t="shared" si="6"/>
        <v>23.422650000000001</v>
      </c>
      <c r="R129" s="10">
        <f t="shared" si="7"/>
        <v>46.845300000000002</v>
      </c>
      <c r="S129" s="10">
        <f t="shared" si="8"/>
        <v>70.267949999999999</v>
      </c>
      <c r="T129" s="10">
        <f t="shared" si="9"/>
        <v>70.267949999999999</v>
      </c>
      <c r="U129" s="8" t="str">
        <f t="shared" si="10"/>
        <v>Mon</v>
      </c>
      <c r="V129" s="8" t="str">
        <f t="shared" si="11"/>
        <v>Thu</v>
      </c>
    </row>
    <row r="130" spans="1:22" hidden="1" x14ac:dyDescent="0.25">
      <c r="A130" t="s">
        <v>394</v>
      </c>
      <c r="B130" t="s">
        <v>36</v>
      </c>
      <c r="C130" t="s">
        <v>7</v>
      </c>
      <c r="D130" t="s">
        <v>11</v>
      </c>
      <c r="F130" s="5">
        <v>44244</v>
      </c>
      <c r="G130" s="5">
        <v>44263</v>
      </c>
      <c r="H130" s="2">
        <v>1</v>
      </c>
      <c r="I130" s="6"/>
      <c r="J130" s="6"/>
      <c r="K130" s="7">
        <v>0.25</v>
      </c>
      <c r="L130" s="7">
        <v>40.200000000000003</v>
      </c>
      <c r="M130" t="s">
        <v>17</v>
      </c>
      <c r="N130" s="9"/>
      <c r="O130" s="8">
        <f t="array" ref="O130">INDEX(TechRate,MATCH(H130,TechNum,0))</f>
        <v>80</v>
      </c>
      <c r="P130" s="10">
        <f>WorkOrders2[[#This Row],[Techs]]*(WorkOrders2[[#This Row],[PartsCost]]*WorkOrders2[[#This Row],[LbrHrs]])</f>
        <v>10.050000000000001</v>
      </c>
      <c r="Q130" s="10">
        <f t="shared" ref="Q130:Q193" si="12">IF(I130="Yes",0,P130)</f>
        <v>10.050000000000001</v>
      </c>
      <c r="R130" s="10">
        <f t="shared" ref="R130:R193" si="13">IF(J130="Yes",0,L130)</f>
        <v>40.200000000000003</v>
      </c>
      <c r="S130" s="10">
        <f t="shared" ref="S130:S193" si="14">SUM(L130,P130)</f>
        <v>50.25</v>
      </c>
      <c r="T130" s="10">
        <f t="shared" ref="T130:T193" si="15">SUM(Q130,R130)</f>
        <v>50.25</v>
      </c>
      <c r="U130" s="8" t="str">
        <f t="shared" ref="U130:U193" si="16">TEXT(F130,"ddd")</f>
        <v>Wed</v>
      </c>
      <c r="V130" s="8" t="str">
        <f t="shared" ref="V130:V193" si="17">TEXT(G130,"ddd")</f>
        <v>Mon</v>
      </c>
    </row>
    <row r="131" spans="1:22" hidden="1" x14ac:dyDescent="0.25">
      <c r="A131" t="s">
        <v>397</v>
      </c>
      <c r="B131" t="s">
        <v>36</v>
      </c>
      <c r="C131" t="s">
        <v>7</v>
      </c>
      <c r="D131" t="s">
        <v>13</v>
      </c>
      <c r="F131" s="5">
        <v>44245</v>
      </c>
      <c r="G131" s="5">
        <v>44265</v>
      </c>
      <c r="H131" s="2">
        <v>1</v>
      </c>
      <c r="I131" s="6"/>
      <c r="J131" s="6"/>
      <c r="K131" s="7">
        <v>0.5</v>
      </c>
      <c r="L131" s="7">
        <v>16.420000000000002</v>
      </c>
      <c r="M131" t="s">
        <v>21</v>
      </c>
      <c r="N131" s="9"/>
      <c r="O131" s="8">
        <f t="array" ref="O131">INDEX(TechRate,MATCH(H131,TechNum,0))</f>
        <v>80</v>
      </c>
      <c r="P131" s="10">
        <f>WorkOrders2[[#This Row],[Techs]]*(WorkOrders2[[#This Row],[PartsCost]]*WorkOrders2[[#This Row],[LbrHrs]])</f>
        <v>8.2100000000000009</v>
      </c>
      <c r="Q131" s="10">
        <f t="shared" si="12"/>
        <v>8.2100000000000009</v>
      </c>
      <c r="R131" s="10">
        <f t="shared" si="13"/>
        <v>16.420000000000002</v>
      </c>
      <c r="S131" s="10">
        <f t="shared" si="14"/>
        <v>24.630000000000003</v>
      </c>
      <c r="T131" s="10">
        <f t="shared" si="15"/>
        <v>24.630000000000003</v>
      </c>
      <c r="U131" s="8" t="str">
        <f t="shared" si="16"/>
        <v>Thu</v>
      </c>
      <c r="V131" s="8" t="str">
        <f t="shared" si="17"/>
        <v>Wed</v>
      </c>
    </row>
    <row r="132" spans="1:22" hidden="1" x14ac:dyDescent="0.25">
      <c r="A132" t="s">
        <v>399</v>
      </c>
      <c r="B132" t="s">
        <v>36</v>
      </c>
      <c r="C132" t="s">
        <v>7</v>
      </c>
      <c r="D132" t="s">
        <v>12</v>
      </c>
      <c r="F132" s="5">
        <v>44249</v>
      </c>
      <c r="G132" s="5">
        <v>44284</v>
      </c>
      <c r="H132" s="2">
        <v>2</v>
      </c>
      <c r="I132" s="6"/>
      <c r="J132" s="6"/>
      <c r="K132" s="7">
        <v>0.5</v>
      </c>
      <c r="L132" s="7">
        <v>239.96940000000001</v>
      </c>
      <c r="M132" t="s">
        <v>17</v>
      </c>
      <c r="N132" s="9"/>
      <c r="O132" s="8">
        <f t="array" ref="O132">INDEX(TechRate,MATCH(H132,TechNum,0))</f>
        <v>140</v>
      </c>
      <c r="P132" s="10">
        <f>WorkOrders2[[#This Row],[Techs]]*(WorkOrders2[[#This Row],[PartsCost]]*WorkOrders2[[#This Row],[LbrHrs]])</f>
        <v>239.96940000000001</v>
      </c>
      <c r="Q132" s="10">
        <f t="shared" si="12"/>
        <v>239.96940000000001</v>
      </c>
      <c r="R132" s="10">
        <f t="shared" si="13"/>
        <v>239.96940000000001</v>
      </c>
      <c r="S132" s="10">
        <f t="shared" si="14"/>
        <v>479.93880000000001</v>
      </c>
      <c r="T132" s="10">
        <f t="shared" si="15"/>
        <v>479.93880000000001</v>
      </c>
      <c r="U132" s="8" t="str">
        <f t="shared" si="16"/>
        <v>Mon</v>
      </c>
      <c r="V132" s="8" t="str">
        <f t="shared" si="17"/>
        <v>Mon</v>
      </c>
    </row>
    <row r="133" spans="1:22" hidden="1" x14ac:dyDescent="0.25">
      <c r="A133" t="s">
        <v>414</v>
      </c>
      <c r="B133" t="s">
        <v>36</v>
      </c>
      <c r="C133" t="s">
        <v>7</v>
      </c>
      <c r="D133" t="s">
        <v>12</v>
      </c>
      <c r="F133" s="5">
        <v>44256</v>
      </c>
      <c r="G133" s="5">
        <v>44315</v>
      </c>
      <c r="H133" s="2">
        <v>2</v>
      </c>
      <c r="I133" s="6" t="s">
        <v>3</v>
      </c>
      <c r="J133" s="6" t="s">
        <v>3</v>
      </c>
      <c r="K133" s="7">
        <v>1</v>
      </c>
      <c r="L133" s="7">
        <v>9.98</v>
      </c>
      <c r="M133" t="s">
        <v>20</v>
      </c>
      <c r="N133" s="9"/>
      <c r="O133" s="8">
        <f t="array" ref="O133">INDEX(TechRate,MATCH(H133,TechNum,0))</f>
        <v>140</v>
      </c>
      <c r="P133" s="10">
        <f>WorkOrders2[[#This Row],[Techs]]*(WorkOrders2[[#This Row],[PartsCost]]*WorkOrders2[[#This Row],[LbrHrs]])</f>
        <v>19.96</v>
      </c>
      <c r="Q133" s="10">
        <f t="shared" si="12"/>
        <v>0</v>
      </c>
      <c r="R133" s="10">
        <f t="shared" si="13"/>
        <v>0</v>
      </c>
      <c r="S133" s="10">
        <f t="shared" si="14"/>
        <v>29.94</v>
      </c>
      <c r="T133" s="10">
        <f t="shared" si="15"/>
        <v>0</v>
      </c>
      <c r="U133" s="8" t="str">
        <f t="shared" si="16"/>
        <v>Mon</v>
      </c>
      <c r="V133" s="8" t="str">
        <f t="shared" si="17"/>
        <v>Thu</v>
      </c>
    </row>
    <row r="134" spans="1:22" hidden="1" x14ac:dyDescent="0.25">
      <c r="A134" t="s">
        <v>430</v>
      </c>
      <c r="B134" t="s">
        <v>36</v>
      </c>
      <c r="C134" t="s">
        <v>7</v>
      </c>
      <c r="D134" t="s">
        <v>12</v>
      </c>
      <c r="F134" s="5">
        <v>44259</v>
      </c>
      <c r="G134" s="5">
        <v>44279</v>
      </c>
      <c r="H134" s="2">
        <v>2</v>
      </c>
      <c r="I134" s="6"/>
      <c r="J134" s="6"/>
      <c r="K134" s="7">
        <v>0.25</v>
      </c>
      <c r="L134" s="7">
        <v>19</v>
      </c>
      <c r="M134" t="s">
        <v>17</v>
      </c>
      <c r="N134" s="9"/>
      <c r="O134" s="8">
        <f t="array" ref="O134">INDEX(TechRate,MATCH(H134,TechNum,0))</f>
        <v>140</v>
      </c>
      <c r="P134" s="10">
        <f>WorkOrders2[[#This Row],[Techs]]*(WorkOrders2[[#This Row],[PartsCost]]*WorkOrders2[[#This Row],[LbrHrs]])</f>
        <v>9.5</v>
      </c>
      <c r="Q134" s="10">
        <f t="shared" si="12"/>
        <v>9.5</v>
      </c>
      <c r="R134" s="10">
        <f t="shared" si="13"/>
        <v>19</v>
      </c>
      <c r="S134" s="10">
        <f t="shared" si="14"/>
        <v>28.5</v>
      </c>
      <c r="T134" s="10">
        <f t="shared" si="15"/>
        <v>28.5</v>
      </c>
      <c r="U134" s="8" t="str">
        <f t="shared" si="16"/>
        <v>Thu</v>
      </c>
      <c r="V134" s="8" t="str">
        <f t="shared" si="17"/>
        <v>Wed</v>
      </c>
    </row>
    <row r="135" spans="1:22" hidden="1" x14ac:dyDescent="0.25">
      <c r="A135" t="s">
        <v>435</v>
      </c>
      <c r="B135" t="s">
        <v>36</v>
      </c>
      <c r="C135" t="s">
        <v>7</v>
      </c>
      <c r="D135" t="s">
        <v>12</v>
      </c>
      <c r="F135" s="5">
        <v>44263</v>
      </c>
      <c r="G135" s="5">
        <v>44280</v>
      </c>
      <c r="H135" s="2">
        <v>2</v>
      </c>
      <c r="I135" s="6"/>
      <c r="J135" s="6"/>
      <c r="K135" s="7">
        <v>0.25</v>
      </c>
      <c r="L135" s="7">
        <v>39</v>
      </c>
      <c r="M135" t="s">
        <v>17</v>
      </c>
      <c r="N135" s="9"/>
      <c r="O135" s="8">
        <f t="array" ref="O135">INDEX(TechRate,MATCH(H135,TechNum,0))</f>
        <v>140</v>
      </c>
      <c r="P135" s="10">
        <f>WorkOrders2[[#This Row],[Techs]]*(WorkOrders2[[#This Row],[PartsCost]]*WorkOrders2[[#This Row],[LbrHrs]])</f>
        <v>19.5</v>
      </c>
      <c r="Q135" s="10">
        <f t="shared" si="12"/>
        <v>19.5</v>
      </c>
      <c r="R135" s="10">
        <f t="shared" si="13"/>
        <v>39</v>
      </c>
      <c r="S135" s="10">
        <f t="shared" si="14"/>
        <v>58.5</v>
      </c>
      <c r="T135" s="10">
        <f t="shared" si="15"/>
        <v>58.5</v>
      </c>
      <c r="U135" s="8" t="str">
        <f t="shared" si="16"/>
        <v>Mon</v>
      </c>
      <c r="V135" s="8" t="str">
        <f t="shared" si="17"/>
        <v>Thu</v>
      </c>
    </row>
    <row r="136" spans="1:22" hidden="1" x14ac:dyDescent="0.25">
      <c r="A136" t="s">
        <v>443</v>
      </c>
      <c r="B136" t="s">
        <v>36</v>
      </c>
      <c r="C136" t="s">
        <v>7</v>
      </c>
      <c r="D136" t="s">
        <v>1</v>
      </c>
      <c r="E136" t="s">
        <v>3</v>
      </c>
      <c r="F136" s="5">
        <v>44265</v>
      </c>
      <c r="G136" s="5">
        <v>44272</v>
      </c>
      <c r="H136" s="2">
        <v>2</v>
      </c>
      <c r="I136" s="6"/>
      <c r="J136" s="6"/>
      <c r="K136" s="7">
        <v>1.5</v>
      </c>
      <c r="L136" s="7">
        <v>29.33</v>
      </c>
      <c r="M136" t="s">
        <v>17</v>
      </c>
      <c r="N136" s="9"/>
      <c r="O136" s="8">
        <f t="array" ref="O136">INDEX(TechRate,MATCH(H136,TechNum,0))</f>
        <v>140</v>
      </c>
      <c r="P136" s="10">
        <f>WorkOrders2[[#This Row],[Techs]]*(WorkOrders2[[#This Row],[PartsCost]]*WorkOrders2[[#This Row],[LbrHrs]])</f>
        <v>87.99</v>
      </c>
      <c r="Q136" s="10">
        <f t="shared" si="12"/>
        <v>87.99</v>
      </c>
      <c r="R136" s="10">
        <f t="shared" si="13"/>
        <v>29.33</v>
      </c>
      <c r="S136" s="10">
        <f t="shared" si="14"/>
        <v>117.32</v>
      </c>
      <c r="T136" s="10">
        <f t="shared" si="15"/>
        <v>117.32</v>
      </c>
      <c r="U136" s="8" t="str">
        <f t="shared" si="16"/>
        <v>Wed</v>
      </c>
      <c r="V136" s="8" t="str">
        <f t="shared" si="17"/>
        <v>Wed</v>
      </c>
    </row>
    <row r="137" spans="1:22" hidden="1" x14ac:dyDescent="0.25">
      <c r="A137" t="s">
        <v>448</v>
      </c>
      <c r="B137" t="s">
        <v>36</v>
      </c>
      <c r="C137" t="s">
        <v>7</v>
      </c>
      <c r="D137" t="s">
        <v>12</v>
      </c>
      <c r="F137" s="5">
        <v>44265</v>
      </c>
      <c r="G137" s="5">
        <v>44294</v>
      </c>
      <c r="H137" s="2">
        <v>1</v>
      </c>
      <c r="I137" s="6"/>
      <c r="J137" s="6"/>
      <c r="K137" s="7">
        <v>0.75</v>
      </c>
      <c r="L137" s="7">
        <v>58.361699999999999</v>
      </c>
      <c r="M137" t="s">
        <v>17</v>
      </c>
      <c r="N137" s="9"/>
      <c r="O137" s="8">
        <f t="array" ref="O137">INDEX(TechRate,MATCH(H137,TechNum,0))</f>
        <v>80</v>
      </c>
      <c r="P137" s="10">
        <f>WorkOrders2[[#This Row],[Techs]]*(WorkOrders2[[#This Row],[PartsCost]]*WorkOrders2[[#This Row],[LbrHrs]])</f>
        <v>43.771275000000003</v>
      </c>
      <c r="Q137" s="10">
        <f t="shared" si="12"/>
        <v>43.771275000000003</v>
      </c>
      <c r="R137" s="10">
        <f t="shared" si="13"/>
        <v>58.361699999999999</v>
      </c>
      <c r="S137" s="10">
        <f t="shared" si="14"/>
        <v>102.132975</v>
      </c>
      <c r="T137" s="10">
        <f t="shared" si="15"/>
        <v>102.132975</v>
      </c>
      <c r="U137" s="8" t="str">
        <f t="shared" si="16"/>
        <v>Wed</v>
      </c>
      <c r="V137" s="8" t="str">
        <f t="shared" si="17"/>
        <v>Thu</v>
      </c>
    </row>
    <row r="138" spans="1:22" hidden="1" x14ac:dyDescent="0.25">
      <c r="A138" t="s">
        <v>454</v>
      </c>
      <c r="B138" t="s">
        <v>36</v>
      </c>
      <c r="C138" t="s">
        <v>7</v>
      </c>
      <c r="D138" t="s">
        <v>12</v>
      </c>
      <c r="F138" s="5">
        <v>44270</v>
      </c>
      <c r="G138" s="5">
        <v>44282</v>
      </c>
      <c r="H138" s="2">
        <v>2</v>
      </c>
      <c r="I138" s="6"/>
      <c r="J138" s="6"/>
      <c r="K138" s="7">
        <v>1</v>
      </c>
      <c r="L138" s="7">
        <v>203</v>
      </c>
      <c r="M138" t="s">
        <v>17</v>
      </c>
      <c r="N138" s="9"/>
      <c r="O138" s="8">
        <f t="array" ref="O138">INDEX(TechRate,MATCH(H138,TechNum,0))</f>
        <v>140</v>
      </c>
      <c r="P138" s="10">
        <f>WorkOrders2[[#This Row],[Techs]]*(WorkOrders2[[#This Row],[PartsCost]]*WorkOrders2[[#This Row],[LbrHrs]])</f>
        <v>406</v>
      </c>
      <c r="Q138" s="10">
        <f t="shared" si="12"/>
        <v>406</v>
      </c>
      <c r="R138" s="10">
        <f t="shared" si="13"/>
        <v>203</v>
      </c>
      <c r="S138" s="10">
        <f t="shared" si="14"/>
        <v>609</v>
      </c>
      <c r="T138" s="10">
        <f t="shared" si="15"/>
        <v>609</v>
      </c>
      <c r="U138" s="8" t="str">
        <f t="shared" si="16"/>
        <v>Mon</v>
      </c>
      <c r="V138" s="8" t="str">
        <f t="shared" si="17"/>
        <v>Sat</v>
      </c>
    </row>
    <row r="139" spans="1:22" hidden="1" x14ac:dyDescent="0.25">
      <c r="A139" t="s">
        <v>457</v>
      </c>
      <c r="B139" t="s">
        <v>36</v>
      </c>
      <c r="C139" t="s">
        <v>7</v>
      </c>
      <c r="D139" t="s">
        <v>1</v>
      </c>
      <c r="F139" s="5">
        <v>44270</v>
      </c>
      <c r="G139" s="5">
        <v>44284</v>
      </c>
      <c r="H139" s="2">
        <v>2</v>
      </c>
      <c r="I139" s="6"/>
      <c r="J139" s="6" t="s">
        <v>3</v>
      </c>
      <c r="K139" s="7">
        <v>1</v>
      </c>
      <c r="L139" s="7">
        <v>60</v>
      </c>
      <c r="M139" t="s">
        <v>18</v>
      </c>
      <c r="N139" s="9"/>
      <c r="O139" s="8">
        <f t="array" ref="O139">INDEX(TechRate,MATCH(H139,TechNum,0))</f>
        <v>140</v>
      </c>
      <c r="P139" s="10">
        <f>WorkOrders2[[#This Row],[Techs]]*(WorkOrders2[[#This Row],[PartsCost]]*WorkOrders2[[#This Row],[LbrHrs]])</f>
        <v>120</v>
      </c>
      <c r="Q139" s="10">
        <f t="shared" si="12"/>
        <v>120</v>
      </c>
      <c r="R139" s="10">
        <f t="shared" si="13"/>
        <v>0</v>
      </c>
      <c r="S139" s="10">
        <f t="shared" si="14"/>
        <v>180</v>
      </c>
      <c r="T139" s="10">
        <f t="shared" si="15"/>
        <v>120</v>
      </c>
      <c r="U139" s="8" t="str">
        <f t="shared" si="16"/>
        <v>Mon</v>
      </c>
      <c r="V139" s="8" t="str">
        <f t="shared" si="17"/>
        <v>Mon</v>
      </c>
    </row>
    <row r="140" spans="1:22" hidden="1" x14ac:dyDescent="0.25">
      <c r="A140" t="s">
        <v>458</v>
      </c>
      <c r="B140" t="s">
        <v>36</v>
      </c>
      <c r="C140" t="s">
        <v>7</v>
      </c>
      <c r="D140" t="s">
        <v>12</v>
      </c>
      <c r="F140" s="5">
        <v>44270</v>
      </c>
      <c r="G140" s="5">
        <v>44286</v>
      </c>
      <c r="H140" s="2">
        <v>1</v>
      </c>
      <c r="I140" s="6"/>
      <c r="J140" s="6"/>
      <c r="K140" s="7">
        <v>0.75</v>
      </c>
      <c r="L140" s="7">
        <v>21.33</v>
      </c>
      <c r="M140" t="s">
        <v>17</v>
      </c>
      <c r="N140" s="9"/>
      <c r="O140" s="8">
        <f t="array" ref="O140">INDEX(TechRate,MATCH(H140,TechNum,0))</f>
        <v>80</v>
      </c>
      <c r="P140" s="10">
        <f>WorkOrders2[[#This Row],[Techs]]*(WorkOrders2[[#This Row],[PartsCost]]*WorkOrders2[[#This Row],[LbrHrs]])</f>
        <v>15.997499999999999</v>
      </c>
      <c r="Q140" s="10">
        <f t="shared" si="12"/>
        <v>15.997499999999999</v>
      </c>
      <c r="R140" s="10">
        <f t="shared" si="13"/>
        <v>21.33</v>
      </c>
      <c r="S140" s="10">
        <f t="shared" si="14"/>
        <v>37.327500000000001</v>
      </c>
      <c r="T140" s="10">
        <f t="shared" si="15"/>
        <v>37.327500000000001</v>
      </c>
      <c r="U140" s="8" t="str">
        <f t="shared" si="16"/>
        <v>Mon</v>
      </c>
      <c r="V140" s="8" t="str">
        <f t="shared" si="17"/>
        <v>Wed</v>
      </c>
    </row>
    <row r="141" spans="1:22" hidden="1" x14ac:dyDescent="0.25">
      <c r="A141" t="s">
        <v>459</v>
      </c>
      <c r="B141" t="s">
        <v>36</v>
      </c>
      <c r="C141" t="s">
        <v>7</v>
      </c>
      <c r="D141" t="s">
        <v>11</v>
      </c>
      <c r="F141" s="5">
        <v>44270</v>
      </c>
      <c r="G141" s="5">
        <v>44285</v>
      </c>
      <c r="H141" s="2">
        <v>1</v>
      </c>
      <c r="I141" s="6"/>
      <c r="J141" s="6"/>
      <c r="K141" s="7">
        <v>0.25</v>
      </c>
      <c r="L141" s="7">
        <v>204.28399999999999</v>
      </c>
      <c r="M141" t="s">
        <v>17</v>
      </c>
      <c r="N141" s="9"/>
      <c r="O141" s="8">
        <f t="array" ref="O141">INDEX(TechRate,MATCH(H141,TechNum,0))</f>
        <v>80</v>
      </c>
      <c r="P141" s="10">
        <f>WorkOrders2[[#This Row],[Techs]]*(WorkOrders2[[#This Row],[PartsCost]]*WorkOrders2[[#This Row],[LbrHrs]])</f>
        <v>51.070999999999998</v>
      </c>
      <c r="Q141" s="10">
        <f t="shared" si="12"/>
        <v>51.070999999999998</v>
      </c>
      <c r="R141" s="10">
        <f t="shared" si="13"/>
        <v>204.28399999999999</v>
      </c>
      <c r="S141" s="10">
        <f t="shared" si="14"/>
        <v>255.35499999999999</v>
      </c>
      <c r="T141" s="10">
        <f t="shared" si="15"/>
        <v>255.35499999999999</v>
      </c>
      <c r="U141" s="8" t="str">
        <f t="shared" si="16"/>
        <v>Mon</v>
      </c>
      <c r="V141" s="8" t="str">
        <f t="shared" si="17"/>
        <v>Tue</v>
      </c>
    </row>
    <row r="142" spans="1:22" hidden="1" x14ac:dyDescent="0.25">
      <c r="A142" t="s">
        <v>472</v>
      </c>
      <c r="B142" t="s">
        <v>36</v>
      </c>
      <c r="C142" t="s">
        <v>7</v>
      </c>
      <c r="D142" t="s">
        <v>11</v>
      </c>
      <c r="F142" s="5">
        <v>44272</v>
      </c>
      <c r="G142" s="5">
        <v>44296</v>
      </c>
      <c r="H142" s="2">
        <v>1</v>
      </c>
      <c r="I142" s="6"/>
      <c r="J142" s="6"/>
      <c r="K142" s="7">
        <v>0.25</v>
      </c>
      <c r="L142" s="7">
        <v>15.401</v>
      </c>
      <c r="M142" t="s">
        <v>17</v>
      </c>
      <c r="N142" s="9"/>
      <c r="O142" s="8">
        <f t="array" ref="O142">INDEX(TechRate,MATCH(H142,TechNum,0))</f>
        <v>80</v>
      </c>
      <c r="P142" s="10">
        <f>WorkOrders2[[#This Row],[Techs]]*(WorkOrders2[[#This Row],[PartsCost]]*WorkOrders2[[#This Row],[LbrHrs]])</f>
        <v>3.85025</v>
      </c>
      <c r="Q142" s="10">
        <f t="shared" si="12"/>
        <v>3.85025</v>
      </c>
      <c r="R142" s="10">
        <f t="shared" si="13"/>
        <v>15.401</v>
      </c>
      <c r="S142" s="10">
        <f t="shared" si="14"/>
        <v>19.251249999999999</v>
      </c>
      <c r="T142" s="10">
        <f t="shared" si="15"/>
        <v>19.251249999999999</v>
      </c>
      <c r="U142" s="8" t="str">
        <f t="shared" si="16"/>
        <v>Wed</v>
      </c>
      <c r="V142" s="8" t="str">
        <f t="shared" si="17"/>
        <v>Sat</v>
      </c>
    </row>
    <row r="143" spans="1:22" hidden="1" x14ac:dyDescent="0.25">
      <c r="A143" t="s">
        <v>474</v>
      </c>
      <c r="B143" t="s">
        <v>36</v>
      </c>
      <c r="C143" t="s">
        <v>7</v>
      </c>
      <c r="D143" t="s">
        <v>12</v>
      </c>
      <c r="F143" s="5">
        <v>44275</v>
      </c>
      <c r="G143" s="5">
        <v>44296</v>
      </c>
      <c r="H143" s="2">
        <v>1</v>
      </c>
      <c r="I143" s="6"/>
      <c r="J143" s="6"/>
      <c r="K143" s="7">
        <v>0.25</v>
      </c>
      <c r="L143" s="7">
        <v>12.63</v>
      </c>
      <c r="M143" t="s">
        <v>17</v>
      </c>
      <c r="N143" s="9"/>
      <c r="O143" s="8">
        <f t="array" ref="O143">INDEX(TechRate,MATCH(H143,TechNum,0))</f>
        <v>80</v>
      </c>
      <c r="P143" s="10">
        <f>WorkOrders2[[#This Row],[Techs]]*(WorkOrders2[[#This Row],[PartsCost]]*WorkOrders2[[#This Row],[LbrHrs]])</f>
        <v>3.1575000000000002</v>
      </c>
      <c r="Q143" s="10">
        <f t="shared" si="12"/>
        <v>3.1575000000000002</v>
      </c>
      <c r="R143" s="10">
        <f t="shared" si="13"/>
        <v>12.63</v>
      </c>
      <c r="S143" s="10">
        <f t="shared" si="14"/>
        <v>15.787500000000001</v>
      </c>
      <c r="T143" s="10">
        <f t="shared" si="15"/>
        <v>15.787500000000001</v>
      </c>
      <c r="U143" s="8" t="str">
        <f t="shared" si="16"/>
        <v>Sat</v>
      </c>
      <c r="V143" s="8" t="str">
        <f t="shared" si="17"/>
        <v>Sat</v>
      </c>
    </row>
    <row r="144" spans="1:22" hidden="1" x14ac:dyDescent="0.25">
      <c r="A144" t="s">
        <v>480</v>
      </c>
      <c r="B144" t="s">
        <v>36</v>
      </c>
      <c r="C144" t="s">
        <v>7</v>
      </c>
      <c r="D144" t="s">
        <v>12</v>
      </c>
      <c r="F144" s="5">
        <v>44277</v>
      </c>
      <c r="G144" s="5">
        <v>44322</v>
      </c>
      <c r="H144" s="2">
        <v>2</v>
      </c>
      <c r="I144" s="6"/>
      <c r="J144" s="6"/>
      <c r="K144" s="7">
        <v>0.5</v>
      </c>
      <c r="L144" s="7">
        <v>85.32</v>
      </c>
      <c r="M144" t="s">
        <v>17</v>
      </c>
      <c r="N144" s="9"/>
      <c r="O144" s="8">
        <f t="array" ref="O144">INDEX(TechRate,MATCH(H144,TechNum,0))</f>
        <v>140</v>
      </c>
      <c r="P144" s="10">
        <f>WorkOrders2[[#This Row],[Techs]]*(WorkOrders2[[#This Row],[PartsCost]]*WorkOrders2[[#This Row],[LbrHrs]])</f>
        <v>85.32</v>
      </c>
      <c r="Q144" s="10">
        <f t="shared" si="12"/>
        <v>85.32</v>
      </c>
      <c r="R144" s="10">
        <f t="shared" si="13"/>
        <v>85.32</v>
      </c>
      <c r="S144" s="10">
        <f t="shared" si="14"/>
        <v>170.64</v>
      </c>
      <c r="T144" s="10">
        <f t="shared" si="15"/>
        <v>170.64</v>
      </c>
      <c r="U144" s="8" t="str">
        <f t="shared" si="16"/>
        <v>Mon</v>
      </c>
      <c r="V144" s="8" t="str">
        <f t="shared" si="17"/>
        <v>Thu</v>
      </c>
    </row>
    <row r="145" spans="1:22" hidden="1" x14ac:dyDescent="0.25">
      <c r="A145" t="s">
        <v>484</v>
      </c>
      <c r="B145" t="s">
        <v>36</v>
      </c>
      <c r="C145" t="s">
        <v>7</v>
      </c>
      <c r="D145" t="s">
        <v>12</v>
      </c>
      <c r="F145" s="5">
        <v>44278</v>
      </c>
      <c r="G145" s="5">
        <v>44289</v>
      </c>
      <c r="H145" s="2">
        <v>2</v>
      </c>
      <c r="I145" s="6" t="s">
        <v>3</v>
      </c>
      <c r="J145" s="6" t="s">
        <v>3</v>
      </c>
      <c r="K145" s="7">
        <v>0.25</v>
      </c>
      <c r="L145" s="7">
        <v>55.295499999999997</v>
      </c>
      <c r="M145" t="s">
        <v>20</v>
      </c>
      <c r="N145" s="9"/>
      <c r="O145" s="8">
        <f t="array" ref="O145">INDEX(TechRate,MATCH(H145,TechNum,0))</f>
        <v>140</v>
      </c>
      <c r="P145" s="10">
        <f>WorkOrders2[[#This Row],[Techs]]*(WorkOrders2[[#This Row],[PartsCost]]*WorkOrders2[[#This Row],[LbrHrs]])</f>
        <v>27.647749999999998</v>
      </c>
      <c r="Q145" s="10">
        <f t="shared" si="12"/>
        <v>0</v>
      </c>
      <c r="R145" s="10">
        <f t="shared" si="13"/>
        <v>0</v>
      </c>
      <c r="S145" s="10">
        <f t="shared" si="14"/>
        <v>82.943249999999992</v>
      </c>
      <c r="T145" s="10">
        <f t="shared" si="15"/>
        <v>0</v>
      </c>
      <c r="U145" s="8" t="str">
        <f t="shared" si="16"/>
        <v>Tue</v>
      </c>
      <c r="V145" s="8" t="str">
        <f t="shared" si="17"/>
        <v>Sat</v>
      </c>
    </row>
    <row r="146" spans="1:22" hidden="1" x14ac:dyDescent="0.25">
      <c r="A146" t="s">
        <v>489</v>
      </c>
      <c r="B146" t="s">
        <v>36</v>
      </c>
      <c r="C146" t="s">
        <v>7</v>
      </c>
      <c r="D146" t="s">
        <v>1</v>
      </c>
      <c r="F146" s="5">
        <v>44278</v>
      </c>
      <c r="G146" s="5">
        <v>44298</v>
      </c>
      <c r="H146" s="2">
        <v>2</v>
      </c>
      <c r="I146" s="6" t="s">
        <v>3</v>
      </c>
      <c r="J146" s="6" t="s">
        <v>3</v>
      </c>
      <c r="K146" s="7">
        <v>1</v>
      </c>
      <c r="L146" s="7">
        <v>360</v>
      </c>
      <c r="M146" t="s">
        <v>20</v>
      </c>
      <c r="N146" s="9"/>
      <c r="O146" s="8">
        <f t="array" ref="O146">INDEX(TechRate,MATCH(H146,TechNum,0))</f>
        <v>140</v>
      </c>
      <c r="P146" s="10">
        <f>WorkOrders2[[#This Row],[Techs]]*(WorkOrders2[[#This Row],[PartsCost]]*WorkOrders2[[#This Row],[LbrHrs]])</f>
        <v>720</v>
      </c>
      <c r="Q146" s="10">
        <f t="shared" si="12"/>
        <v>0</v>
      </c>
      <c r="R146" s="10">
        <f t="shared" si="13"/>
        <v>0</v>
      </c>
      <c r="S146" s="10">
        <f t="shared" si="14"/>
        <v>1080</v>
      </c>
      <c r="T146" s="10">
        <f t="shared" si="15"/>
        <v>0</v>
      </c>
      <c r="U146" s="8" t="str">
        <f t="shared" si="16"/>
        <v>Tue</v>
      </c>
      <c r="V146" s="8" t="str">
        <f t="shared" si="17"/>
        <v>Mon</v>
      </c>
    </row>
    <row r="147" spans="1:22" x14ac:dyDescent="0.25">
      <c r="A147" t="s">
        <v>494</v>
      </c>
      <c r="B147" t="s">
        <v>36</v>
      </c>
      <c r="C147" t="s">
        <v>7</v>
      </c>
      <c r="D147" t="s">
        <v>2</v>
      </c>
      <c r="F147" s="5">
        <v>44282</v>
      </c>
      <c r="G147" s="5">
        <v>44377</v>
      </c>
      <c r="H147" s="2">
        <v>2</v>
      </c>
      <c r="I147" s="6"/>
      <c r="J147" s="6"/>
      <c r="K147" s="7">
        <v>1.75</v>
      </c>
      <c r="L147" s="7">
        <v>242.6396</v>
      </c>
      <c r="M147" t="s">
        <v>18</v>
      </c>
      <c r="N147" s="9"/>
      <c r="O147" s="8">
        <f t="array" ref="O147">INDEX(TechRate,MATCH(H147,TechNum,0))</f>
        <v>140</v>
      </c>
      <c r="P147" s="10">
        <f>WorkOrders2[[#This Row],[Techs]]*(WorkOrders2[[#This Row],[PartsCost]]*WorkOrders2[[#This Row],[LbrHrs]])</f>
        <v>849.23860000000002</v>
      </c>
      <c r="Q147" s="10">
        <f t="shared" si="12"/>
        <v>849.23860000000002</v>
      </c>
      <c r="R147" s="10">
        <f t="shared" si="13"/>
        <v>242.6396</v>
      </c>
      <c r="S147" s="10">
        <f t="shared" si="14"/>
        <v>1091.8782000000001</v>
      </c>
      <c r="T147" s="10">
        <f t="shared" si="15"/>
        <v>1091.8782000000001</v>
      </c>
      <c r="U147" s="8" t="str">
        <f t="shared" si="16"/>
        <v>Sat</v>
      </c>
      <c r="V147" s="8" t="str">
        <f t="shared" si="17"/>
        <v>Wed</v>
      </c>
    </row>
    <row r="148" spans="1:22" hidden="1" x14ac:dyDescent="0.25">
      <c r="A148" t="s">
        <v>500</v>
      </c>
      <c r="B148" t="s">
        <v>36</v>
      </c>
      <c r="C148" t="s">
        <v>7</v>
      </c>
      <c r="D148" t="s">
        <v>11</v>
      </c>
      <c r="F148" s="5">
        <v>44287</v>
      </c>
      <c r="G148" s="5">
        <v>44302</v>
      </c>
      <c r="H148" s="2">
        <v>1</v>
      </c>
      <c r="I148" s="6"/>
      <c r="J148" s="6"/>
      <c r="K148" s="7">
        <v>0.25</v>
      </c>
      <c r="L148" s="7">
        <v>89.5</v>
      </c>
      <c r="M148" t="s">
        <v>17</v>
      </c>
      <c r="N148" s="9"/>
      <c r="O148" s="8">
        <f t="array" ref="O148">INDEX(TechRate,MATCH(H148,TechNum,0))</f>
        <v>80</v>
      </c>
      <c r="P148" s="10">
        <f>WorkOrders2[[#This Row],[Techs]]*(WorkOrders2[[#This Row],[PartsCost]]*WorkOrders2[[#This Row],[LbrHrs]])</f>
        <v>22.375</v>
      </c>
      <c r="Q148" s="10">
        <f t="shared" si="12"/>
        <v>22.375</v>
      </c>
      <c r="R148" s="10">
        <f t="shared" si="13"/>
        <v>89.5</v>
      </c>
      <c r="S148" s="10">
        <f t="shared" si="14"/>
        <v>111.875</v>
      </c>
      <c r="T148" s="10">
        <f t="shared" si="15"/>
        <v>111.875</v>
      </c>
      <c r="U148" s="8" t="str">
        <f t="shared" si="16"/>
        <v>Thu</v>
      </c>
      <c r="V148" s="8" t="str">
        <f t="shared" si="17"/>
        <v>Fri</v>
      </c>
    </row>
    <row r="149" spans="1:22" x14ac:dyDescent="0.25">
      <c r="A149" t="s">
        <v>502</v>
      </c>
      <c r="B149" t="s">
        <v>36</v>
      </c>
      <c r="C149" t="s">
        <v>7</v>
      </c>
      <c r="D149" t="s">
        <v>2</v>
      </c>
      <c r="F149" s="5">
        <v>44287</v>
      </c>
      <c r="G149" s="5">
        <v>44298</v>
      </c>
      <c r="H149" s="2">
        <v>2</v>
      </c>
      <c r="I149" s="6"/>
      <c r="J149" s="6"/>
      <c r="K149" s="7">
        <v>1.5</v>
      </c>
      <c r="L149" s="7">
        <v>64</v>
      </c>
      <c r="M149" t="s">
        <v>17</v>
      </c>
      <c r="N149" s="9"/>
      <c r="O149" s="8">
        <f t="array" ref="O149">INDEX(TechRate,MATCH(H149,TechNum,0))</f>
        <v>140</v>
      </c>
      <c r="P149" s="10">
        <f>WorkOrders2[[#This Row],[Techs]]*(WorkOrders2[[#This Row],[PartsCost]]*WorkOrders2[[#This Row],[LbrHrs]])</f>
        <v>192</v>
      </c>
      <c r="Q149" s="10">
        <f t="shared" si="12"/>
        <v>192</v>
      </c>
      <c r="R149" s="10">
        <f t="shared" si="13"/>
        <v>64</v>
      </c>
      <c r="S149" s="10">
        <f t="shared" si="14"/>
        <v>256</v>
      </c>
      <c r="T149" s="10">
        <f t="shared" si="15"/>
        <v>256</v>
      </c>
      <c r="U149" s="8" t="str">
        <f t="shared" si="16"/>
        <v>Thu</v>
      </c>
      <c r="V149" s="8" t="str">
        <f t="shared" si="17"/>
        <v>Mon</v>
      </c>
    </row>
    <row r="150" spans="1:22" hidden="1" x14ac:dyDescent="0.25">
      <c r="A150" t="s">
        <v>507</v>
      </c>
      <c r="B150" t="s">
        <v>36</v>
      </c>
      <c r="C150" t="s">
        <v>7</v>
      </c>
      <c r="D150" t="s">
        <v>12</v>
      </c>
      <c r="F150" s="5">
        <v>44289</v>
      </c>
      <c r="G150" s="5">
        <v>44301</v>
      </c>
      <c r="H150" s="2">
        <v>2</v>
      </c>
      <c r="I150" s="6"/>
      <c r="J150" s="6"/>
      <c r="K150" s="7">
        <v>0.25</v>
      </c>
      <c r="L150" s="7">
        <v>14.76</v>
      </c>
      <c r="M150" t="s">
        <v>17</v>
      </c>
      <c r="N150" s="9"/>
      <c r="O150" s="8">
        <f t="array" ref="O150">INDEX(TechRate,MATCH(H150,TechNum,0))</f>
        <v>140</v>
      </c>
      <c r="P150" s="10">
        <f>WorkOrders2[[#This Row],[Techs]]*(WorkOrders2[[#This Row],[PartsCost]]*WorkOrders2[[#This Row],[LbrHrs]])</f>
        <v>7.38</v>
      </c>
      <c r="Q150" s="10">
        <f t="shared" si="12"/>
        <v>7.38</v>
      </c>
      <c r="R150" s="10">
        <f t="shared" si="13"/>
        <v>14.76</v>
      </c>
      <c r="S150" s="10">
        <f t="shared" si="14"/>
        <v>22.14</v>
      </c>
      <c r="T150" s="10">
        <f t="shared" si="15"/>
        <v>22.14</v>
      </c>
      <c r="U150" s="8" t="str">
        <f t="shared" si="16"/>
        <v>Sat</v>
      </c>
      <c r="V150" s="8" t="str">
        <f t="shared" si="17"/>
        <v>Thu</v>
      </c>
    </row>
    <row r="151" spans="1:22" hidden="1" x14ac:dyDescent="0.25">
      <c r="A151" t="s">
        <v>512</v>
      </c>
      <c r="B151" t="s">
        <v>36</v>
      </c>
      <c r="C151" t="s">
        <v>7</v>
      </c>
      <c r="D151" t="s">
        <v>13</v>
      </c>
      <c r="F151" s="5">
        <v>44291</v>
      </c>
      <c r="G151" s="5">
        <v>44309</v>
      </c>
      <c r="H151" s="2">
        <v>2</v>
      </c>
      <c r="I151" s="6"/>
      <c r="J151" s="6"/>
      <c r="K151" s="7">
        <v>0.5</v>
      </c>
      <c r="L151" s="7">
        <v>392.02480000000003</v>
      </c>
      <c r="M151" t="s">
        <v>18</v>
      </c>
      <c r="N151" s="9"/>
      <c r="O151" s="8">
        <f t="array" ref="O151">INDEX(TechRate,MATCH(H151,TechNum,0))</f>
        <v>140</v>
      </c>
      <c r="P151" s="10">
        <f>WorkOrders2[[#This Row],[Techs]]*(WorkOrders2[[#This Row],[PartsCost]]*WorkOrders2[[#This Row],[LbrHrs]])</f>
        <v>392.02480000000003</v>
      </c>
      <c r="Q151" s="10">
        <f t="shared" si="12"/>
        <v>392.02480000000003</v>
      </c>
      <c r="R151" s="10">
        <f t="shared" si="13"/>
        <v>392.02480000000003</v>
      </c>
      <c r="S151" s="10">
        <f t="shared" si="14"/>
        <v>784.04960000000005</v>
      </c>
      <c r="T151" s="10">
        <f t="shared" si="15"/>
        <v>784.04960000000005</v>
      </c>
      <c r="U151" s="8" t="str">
        <f t="shared" si="16"/>
        <v>Mon</v>
      </c>
      <c r="V151" s="8" t="str">
        <f t="shared" si="17"/>
        <v>Fri</v>
      </c>
    </row>
    <row r="152" spans="1:22" hidden="1" x14ac:dyDescent="0.25">
      <c r="A152" t="s">
        <v>513</v>
      </c>
      <c r="B152" t="s">
        <v>36</v>
      </c>
      <c r="C152" t="s">
        <v>7</v>
      </c>
      <c r="D152" t="s">
        <v>12</v>
      </c>
      <c r="F152" s="5">
        <v>44291</v>
      </c>
      <c r="G152" s="5">
        <v>44315</v>
      </c>
      <c r="H152" s="2">
        <v>1</v>
      </c>
      <c r="I152" s="6"/>
      <c r="J152" s="6"/>
      <c r="K152" s="7">
        <v>0.25</v>
      </c>
      <c r="L152" s="7">
        <v>151.78790000000001</v>
      </c>
      <c r="M152" t="s">
        <v>17</v>
      </c>
      <c r="N152" s="9"/>
      <c r="O152" s="8">
        <f t="array" ref="O152">INDEX(TechRate,MATCH(H152,TechNum,0))</f>
        <v>80</v>
      </c>
      <c r="P152" s="10">
        <f>WorkOrders2[[#This Row],[Techs]]*(WorkOrders2[[#This Row],[PartsCost]]*WorkOrders2[[#This Row],[LbrHrs]])</f>
        <v>37.946975000000002</v>
      </c>
      <c r="Q152" s="10">
        <f t="shared" si="12"/>
        <v>37.946975000000002</v>
      </c>
      <c r="R152" s="10">
        <f t="shared" si="13"/>
        <v>151.78790000000001</v>
      </c>
      <c r="S152" s="10">
        <f t="shared" si="14"/>
        <v>189.73487500000002</v>
      </c>
      <c r="T152" s="10">
        <f t="shared" si="15"/>
        <v>189.73487500000002</v>
      </c>
      <c r="U152" s="8" t="str">
        <f t="shared" si="16"/>
        <v>Mon</v>
      </c>
      <c r="V152" s="8" t="str">
        <f t="shared" si="17"/>
        <v>Thu</v>
      </c>
    </row>
    <row r="153" spans="1:22" hidden="1" x14ac:dyDescent="0.25">
      <c r="A153" t="s">
        <v>523</v>
      </c>
      <c r="B153" t="s">
        <v>36</v>
      </c>
      <c r="C153" t="s">
        <v>7</v>
      </c>
      <c r="D153" t="s">
        <v>11</v>
      </c>
      <c r="E153" t="s">
        <v>3</v>
      </c>
      <c r="F153" s="5">
        <v>44293</v>
      </c>
      <c r="G153" s="5">
        <v>44300</v>
      </c>
      <c r="H153" s="2">
        <v>1</v>
      </c>
      <c r="I153" s="6"/>
      <c r="J153" s="6"/>
      <c r="K153" s="7">
        <v>0.25</v>
      </c>
      <c r="L153" s="7">
        <v>259.2</v>
      </c>
      <c r="M153" t="s">
        <v>18</v>
      </c>
      <c r="N153" s="9"/>
      <c r="O153" s="8">
        <f t="array" ref="O153">INDEX(TechRate,MATCH(H153,TechNum,0))</f>
        <v>80</v>
      </c>
      <c r="P153" s="10">
        <f>WorkOrders2[[#This Row],[Techs]]*(WorkOrders2[[#This Row],[PartsCost]]*WorkOrders2[[#This Row],[LbrHrs]])</f>
        <v>64.8</v>
      </c>
      <c r="Q153" s="10">
        <f t="shared" si="12"/>
        <v>64.8</v>
      </c>
      <c r="R153" s="10">
        <f t="shared" si="13"/>
        <v>259.2</v>
      </c>
      <c r="S153" s="10">
        <f t="shared" si="14"/>
        <v>324</v>
      </c>
      <c r="T153" s="10">
        <f t="shared" si="15"/>
        <v>324</v>
      </c>
      <c r="U153" s="8" t="str">
        <f t="shared" si="16"/>
        <v>Wed</v>
      </c>
      <c r="V153" s="8" t="str">
        <f t="shared" si="17"/>
        <v>Wed</v>
      </c>
    </row>
    <row r="154" spans="1:22" hidden="1" x14ac:dyDescent="0.25">
      <c r="A154" t="s">
        <v>524</v>
      </c>
      <c r="B154" t="s">
        <v>36</v>
      </c>
      <c r="C154" t="s">
        <v>7</v>
      </c>
      <c r="D154" t="s">
        <v>12</v>
      </c>
      <c r="F154" s="5">
        <v>44293</v>
      </c>
      <c r="G154" s="5">
        <v>44314</v>
      </c>
      <c r="H154" s="2">
        <v>2</v>
      </c>
      <c r="I154" s="6"/>
      <c r="J154" s="6"/>
      <c r="K154" s="7">
        <v>0.25</v>
      </c>
      <c r="L154" s="7">
        <v>26.582599999999999</v>
      </c>
      <c r="M154" t="s">
        <v>17</v>
      </c>
      <c r="N154" s="9"/>
      <c r="O154" s="8">
        <f t="array" ref="O154">INDEX(TechRate,MATCH(H154,TechNum,0))</f>
        <v>140</v>
      </c>
      <c r="P154" s="10">
        <f>WorkOrders2[[#This Row],[Techs]]*(WorkOrders2[[#This Row],[PartsCost]]*WorkOrders2[[#This Row],[LbrHrs]])</f>
        <v>13.2913</v>
      </c>
      <c r="Q154" s="10">
        <f t="shared" si="12"/>
        <v>13.2913</v>
      </c>
      <c r="R154" s="10">
        <f t="shared" si="13"/>
        <v>26.582599999999999</v>
      </c>
      <c r="S154" s="10">
        <f t="shared" si="14"/>
        <v>39.873899999999999</v>
      </c>
      <c r="T154" s="10">
        <f t="shared" si="15"/>
        <v>39.873899999999999</v>
      </c>
      <c r="U154" s="8" t="str">
        <f t="shared" si="16"/>
        <v>Wed</v>
      </c>
      <c r="V154" s="8" t="str">
        <f t="shared" si="17"/>
        <v>Wed</v>
      </c>
    </row>
    <row r="155" spans="1:22" hidden="1" x14ac:dyDescent="0.25">
      <c r="A155" t="s">
        <v>526</v>
      </c>
      <c r="B155" t="s">
        <v>36</v>
      </c>
      <c r="C155" t="s">
        <v>7</v>
      </c>
      <c r="D155" t="s">
        <v>13</v>
      </c>
      <c r="F155" s="5">
        <v>44293</v>
      </c>
      <c r="G155" s="5">
        <v>44315</v>
      </c>
      <c r="H155" s="2">
        <v>2</v>
      </c>
      <c r="I155" s="6" t="s">
        <v>3</v>
      </c>
      <c r="J155" s="6" t="s">
        <v>3</v>
      </c>
      <c r="K155" s="7">
        <v>0.5</v>
      </c>
      <c r="L155" s="7">
        <v>181.15710000000001</v>
      </c>
      <c r="M155" t="s">
        <v>20</v>
      </c>
      <c r="N155" s="9"/>
      <c r="O155" s="8">
        <f t="array" ref="O155">INDEX(TechRate,MATCH(H155,TechNum,0))</f>
        <v>140</v>
      </c>
      <c r="P155" s="10">
        <f>WorkOrders2[[#This Row],[Techs]]*(WorkOrders2[[#This Row],[PartsCost]]*WorkOrders2[[#This Row],[LbrHrs]])</f>
        <v>181.15710000000001</v>
      </c>
      <c r="Q155" s="10">
        <f t="shared" si="12"/>
        <v>0</v>
      </c>
      <c r="R155" s="10">
        <f t="shared" si="13"/>
        <v>0</v>
      </c>
      <c r="S155" s="10">
        <f t="shared" si="14"/>
        <v>362.31420000000003</v>
      </c>
      <c r="T155" s="10">
        <f t="shared" si="15"/>
        <v>0</v>
      </c>
      <c r="U155" s="8" t="str">
        <f t="shared" si="16"/>
        <v>Wed</v>
      </c>
      <c r="V155" s="8" t="str">
        <f t="shared" si="17"/>
        <v>Thu</v>
      </c>
    </row>
    <row r="156" spans="1:22" hidden="1" x14ac:dyDescent="0.25">
      <c r="A156" t="s">
        <v>529</v>
      </c>
      <c r="B156" t="s">
        <v>36</v>
      </c>
      <c r="C156" t="s">
        <v>7</v>
      </c>
      <c r="D156" t="s">
        <v>13</v>
      </c>
      <c r="F156" s="5">
        <v>44294</v>
      </c>
      <c r="G156" s="5">
        <v>44308</v>
      </c>
      <c r="H156" s="2">
        <v>2</v>
      </c>
      <c r="I156" s="6"/>
      <c r="J156" s="6"/>
      <c r="K156" s="7">
        <v>0.75</v>
      </c>
      <c r="L156" s="7">
        <v>158</v>
      </c>
      <c r="M156" t="s">
        <v>17</v>
      </c>
      <c r="N156" s="9"/>
      <c r="O156" s="8">
        <f t="array" ref="O156">INDEX(TechRate,MATCH(H156,TechNum,0))</f>
        <v>140</v>
      </c>
      <c r="P156" s="10">
        <f>WorkOrders2[[#This Row],[Techs]]*(WorkOrders2[[#This Row],[PartsCost]]*WorkOrders2[[#This Row],[LbrHrs]])</f>
        <v>237</v>
      </c>
      <c r="Q156" s="10">
        <f t="shared" si="12"/>
        <v>237</v>
      </c>
      <c r="R156" s="10">
        <f t="shared" si="13"/>
        <v>158</v>
      </c>
      <c r="S156" s="10">
        <f t="shared" si="14"/>
        <v>395</v>
      </c>
      <c r="T156" s="10">
        <f t="shared" si="15"/>
        <v>395</v>
      </c>
      <c r="U156" s="8" t="str">
        <f t="shared" si="16"/>
        <v>Thu</v>
      </c>
      <c r="V156" s="8" t="str">
        <f t="shared" si="17"/>
        <v>Thu</v>
      </c>
    </row>
    <row r="157" spans="1:22" hidden="1" x14ac:dyDescent="0.25">
      <c r="A157" t="s">
        <v>532</v>
      </c>
      <c r="B157" t="s">
        <v>36</v>
      </c>
      <c r="C157" t="s">
        <v>7</v>
      </c>
      <c r="D157" t="s">
        <v>11</v>
      </c>
      <c r="E157" t="s">
        <v>3</v>
      </c>
      <c r="F157" s="5">
        <v>44294</v>
      </c>
      <c r="G157" s="5">
        <v>44319</v>
      </c>
      <c r="H157" s="2">
        <v>1</v>
      </c>
      <c r="I157" s="6"/>
      <c r="J157" s="6"/>
      <c r="K157" s="7">
        <v>0.25</v>
      </c>
      <c r="L157" s="7">
        <v>85.32</v>
      </c>
      <c r="M157" t="s">
        <v>18</v>
      </c>
      <c r="N157" s="9"/>
      <c r="O157" s="8">
        <f t="array" ref="O157">INDEX(TechRate,MATCH(H157,TechNum,0))</f>
        <v>80</v>
      </c>
      <c r="P157" s="10">
        <f>WorkOrders2[[#This Row],[Techs]]*(WorkOrders2[[#This Row],[PartsCost]]*WorkOrders2[[#This Row],[LbrHrs]])</f>
        <v>21.33</v>
      </c>
      <c r="Q157" s="10">
        <f t="shared" si="12"/>
        <v>21.33</v>
      </c>
      <c r="R157" s="10">
        <f t="shared" si="13"/>
        <v>85.32</v>
      </c>
      <c r="S157" s="10">
        <f t="shared" si="14"/>
        <v>106.64999999999999</v>
      </c>
      <c r="T157" s="10">
        <f t="shared" si="15"/>
        <v>106.64999999999999</v>
      </c>
      <c r="U157" s="8" t="str">
        <f t="shared" si="16"/>
        <v>Thu</v>
      </c>
      <c r="V157" s="8" t="str">
        <f t="shared" si="17"/>
        <v>Mon</v>
      </c>
    </row>
    <row r="158" spans="1:22" hidden="1" x14ac:dyDescent="0.25">
      <c r="A158" t="s">
        <v>535</v>
      </c>
      <c r="B158" t="s">
        <v>36</v>
      </c>
      <c r="C158" t="s">
        <v>7</v>
      </c>
      <c r="D158" t="s">
        <v>11</v>
      </c>
      <c r="F158" s="5">
        <v>44294</v>
      </c>
      <c r="G158" s="5">
        <v>44355</v>
      </c>
      <c r="H158" s="2">
        <v>1</v>
      </c>
      <c r="I158" s="6"/>
      <c r="J158" s="6"/>
      <c r="K158" s="7">
        <v>0.25</v>
      </c>
      <c r="L158" s="7">
        <v>66.864900000000006</v>
      </c>
      <c r="M158" t="s">
        <v>17</v>
      </c>
      <c r="N158" s="9"/>
      <c r="O158" s="8">
        <f t="array" ref="O158">INDEX(TechRate,MATCH(H158,TechNum,0))</f>
        <v>80</v>
      </c>
      <c r="P158" s="10">
        <f>WorkOrders2[[#This Row],[Techs]]*(WorkOrders2[[#This Row],[PartsCost]]*WorkOrders2[[#This Row],[LbrHrs]])</f>
        <v>16.716225000000001</v>
      </c>
      <c r="Q158" s="10">
        <f t="shared" si="12"/>
        <v>16.716225000000001</v>
      </c>
      <c r="R158" s="10">
        <f t="shared" si="13"/>
        <v>66.864900000000006</v>
      </c>
      <c r="S158" s="10">
        <f t="shared" si="14"/>
        <v>83.581125000000014</v>
      </c>
      <c r="T158" s="10">
        <f t="shared" si="15"/>
        <v>83.581125000000014</v>
      </c>
      <c r="U158" s="8" t="str">
        <f t="shared" si="16"/>
        <v>Thu</v>
      </c>
      <c r="V158" s="8" t="str">
        <f t="shared" si="17"/>
        <v>Tue</v>
      </c>
    </row>
    <row r="159" spans="1:22" hidden="1" x14ac:dyDescent="0.25">
      <c r="A159" t="s">
        <v>536</v>
      </c>
      <c r="B159" t="s">
        <v>36</v>
      </c>
      <c r="C159" t="s">
        <v>7</v>
      </c>
      <c r="D159" t="s">
        <v>13</v>
      </c>
      <c r="F159" s="5">
        <v>44296</v>
      </c>
      <c r="G159" s="5">
        <v>44307</v>
      </c>
      <c r="H159" s="2">
        <v>2</v>
      </c>
      <c r="I159" s="6"/>
      <c r="J159" s="6"/>
      <c r="K159" s="7">
        <v>0.75</v>
      </c>
      <c r="L159" s="7">
        <v>108.9273</v>
      </c>
      <c r="M159" t="s">
        <v>17</v>
      </c>
      <c r="N159" s="9"/>
      <c r="O159" s="8">
        <f t="array" ref="O159">INDEX(TechRate,MATCH(H159,TechNum,0))</f>
        <v>140</v>
      </c>
      <c r="P159" s="10">
        <f>WorkOrders2[[#This Row],[Techs]]*(WorkOrders2[[#This Row],[PartsCost]]*WorkOrders2[[#This Row],[LbrHrs]])</f>
        <v>163.39095</v>
      </c>
      <c r="Q159" s="10">
        <f t="shared" si="12"/>
        <v>163.39095</v>
      </c>
      <c r="R159" s="10">
        <f t="shared" si="13"/>
        <v>108.9273</v>
      </c>
      <c r="S159" s="10">
        <f t="shared" si="14"/>
        <v>272.31825000000003</v>
      </c>
      <c r="T159" s="10">
        <f t="shared" si="15"/>
        <v>272.31825000000003</v>
      </c>
      <c r="U159" s="8" t="str">
        <f t="shared" si="16"/>
        <v>Sat</v>
      </c>
      <c r="V159" s="8" t="str">
        <f t="shared" si="17"/>
        <v>Wed</v>
      </c>
    </row>
    <row r="160" spans="1:22" hidden="1" x14ac:dyDescent="0.25">
      <c r="A160" t="s">
        <v>540</v>
      </c>
      <c r="B160" t="s">
        <v>36</v>
      </c>
      <c r="C160" t="s">
        <v>7</v>
      </c>
      <c r="D160" t="s">
        <v>11</v>
      </c>
      <c r="F160" s="5">
        <v>44298</v>
      </c>
      <c r="G160" s="5">
        <v>44314</v>
      </c>
      <c r="H160" s="2">
        <v>1</v>
      </c>
      <c r="I160" s="6"/>
      <c r="J160" s="6"/>
      <c r="K160" s="7">
        <v>0.25</v>
      </c>
      <c r="L160" s="7">
        <v>4.99</v>
      </c>
      <c r="M160" t="s">
        <v>18</v>
      </c>
      <c r="N160" s="9"/>
      <c r="O160" s="8">
        <f t="array" ref="O160">INDEX(TechRate,MATCH(H160,TechNum,0))</f>
        <v>80</v>
      </c>
      <c r="P160" s="10">
        <f>WorkOrders2[[#This Row],[Techs]]*(WorkOrders2[[#This Row],[PartsCost]]*WorkOrders2[[#This Row],[LbrHrs]])</f>
        <v>1.2475000000000001</v>
      </c>
      <c r="Q160" s="10">
        <f t="shared" si="12"/>
        <v>1.2475000000000001</v>
      </c>
      <c r="R160" s="10">
        <f t="shared" si="13"/>
        <v>4.99</v>
      </c>
      <c r="S160" s="10">
        <f t="shared" si="14"/>
        <v>6.2375000000000007</v>
      </c>
      <c r="T160" s="10">
        <f t="shared" si="15"/>
        <v>6.2375000000000007</v>
      </c>
      <c r="U160" s="8" t="str">
        <f t="shared" si="16"/>
        <v>Mon</v>
      </c>
      <c r="V160" s="8" t="str">
        <f t="shared" si="17"/>
        <v>Wed</v>
      </c>
    </row>
    <row r="161" spans="1:22" hidden="1" x14ac:dyDescent="0.25">
      <c r="A161" t="s">
        <v>545</v>
      </c>
      <c r="B161" t="s">
        <v>36</v>
      </c>
      <c r="C161" t="s">
        <v>7</v>
      </c>
      <c r="D161" t="s">
        <v>11</v>
      </c>
      <c r="F161" s="5">
        <v>44299</v>
      </c>
      <c r="G161" s="5">
        <v>44314</v>
      </c>
      <c r="H161" s="2">
        <v>1</v>
      </c>
      <c r="I161" s="6" t="s">
        <v>3</v>
      </c>
      <c r="J161" s="6" t="s">
        <v>3</v>
      </c>
      <c r="K161" s="7">
        <v>0.25</v>
      </c>
      <c r="L161" s="7">
        <v>38.124600000000001</v>
      </c>
      <c r="M161" t="s">
        <v>20</v>
      </c>
      <c r="N161" s="9"/>
      <c r="O161" s="8">
        <f t="array" ref="O161">INDEX(TechRate,MATCH(H161,TechNum,0))</f>
        <v>80</v>
      </c>
      <c r="P161" s="10">
        <f>WorkOrders2[[#This Row],[Techs]]*(WorkOrders2[[#This Row],[PartsCost]]*WorkOrders2[[#This Row],[LbrHrs]])</f>
        <v>9.5311500000000002</v>
      </c>
      <c r="Q161" s="10">
        <f t="shared" si="12"/>
        <v>0</v>
      </c>
      <c r="R161" s="10">
        <f t="shared" si="13"/>
        <v>0</v>
      </c>
      <c r="S161" s="10">
        <f t="shared" si="14"/>
        <v>47.655749999999998</v>
      </c>
      <c r="T161" s="10">
        <f t="shared" si="15"/>
        <v>0</v>
      </c>
      <c r="U161" s="8" t="str">
        <f t="shared" si="16"/>
        <v>Tue</v>
      </c>
      <c r="V161" s="8" t="str">
        <f t="shared" si="17"/>
        <v>Wed</v>
      </c>
    </row>
    <row r="162" spans="1:22" x14ac:dyDescent="0.25">
      <c r="A162" t="s">
        <v>138</v>
      </c>
      <c r="B162" t="s">
        <v>41</v>
      </c>
      <c r="C162" t="s">
        <v>6</v>
      </c>
      <c r="D162" t="s">
        <v>2</v>
      </c>
      <c r="F162" s="5">
        <v>44112</v>
      </c>
      <c r="G162" s="5">
        <v>44166</v>
      </c>
      <c r="H162" s="2">
        <v>2</v>
      </c>
      <c r="I162" s="6"/>
      <c r="J162" s="6"/>
      <c r="K162" s="7">
        <v>4.75</v>
      </c>
      <c r="L162" s="7">
        <v>1123.9716000000001</v>
      </c>
      <c r="M162" t="s">
        <v>18</v>
      </c>
      <c r="N162" s="9"/>
      <c r="O162" s="8">
        <f t="array" ref="O162">INDEX(TechRate,MATCH(H162,TechNum,0))</f>
        <v>140</v>
      </c>
      <c r="P162" s="10">
        <f>WorkOrders2[[#This Row],[Techs]]*(WorkOrders2[[#This Row],[PartsCost]]*WorkOrders2[[#This Row],[LbrHrs]])</f>
        <v>10677.7302</v>
      </c>
      <c r="Q162" s="10">
        <f t="shared" si="12"/>
        <v>10677.7302</v>
      </c>
      <c r="R162" s="10">
        <f t="shared" si="13"/>
        <v>1123.9716000000001</v>
      </c>
      <c r="S162" s="10">
        <f t="shared" si="14"/>
        <v>11801.701800000001</v>
      </c>
      <c r="T162" s="10">
        <f t="shared" si="15"/>
        <v>11801.701800000001</v>
      </c>
      <c r="U162" s="8" t="str">
        <f t="shared" si="16"/>
        <v>Thu</v>
      </c>
      <c r="V162" s="8" t="str">
        <f t="shared" si="17"/>
        <v>Tue</v>
      </c>
    </row>
    <row r="163" spans="1:22" x14ac:dyDescent="0.25">
      <c r="A163" t="s">
        <v>238</v>
      </c>
      <c r="B163" t="s">
        <v>41</v>
      </c>
      <c r="C163" t="s">
        <v>6</v>
      </c>
      <c r="D163" t="s">
        <v>2</v>
      </c>
      <c r="F163" s="5">
        <v>44165</v>
      </c>
      <c r="G163" s="5">
        <v>44173</v>
      </c>
      <c r="H163" s="2">
        <v>2</v>
      </c>
      <c r="I163" s="6"/>
      <c r="J163" s="6"/>
      <c r="K163" s="7">
        <v>2.75</v>
      </c>
      <c r="L163" s="7">
        <v>1204.6415</v>
      </c>
      <c r="M163" t="s">
        <v>18</v>
      </c>
      <c r="N163" s="9"/>
      <c r="O163" s="8">
        <f t="array" ref="O163">INDEX(TechRate,MATCH(H163,TechNum,0))</f>
        <v>140</v>
      </c>
      <c r="P163" s="10">
        <f>WorkOrders2[[#This Row],[Techs]]*(WorkOrders2[[#This Row],[PartsCost]]*WorkOrders2[[#This Row],[LbrHrs]])</f>
        <v>6625.5282499999994</v>
      </c>
      <c r="Q163" s="10">
        <f t="shared" si="12"/>
        <v>6625.5282499999994</v>
      </c>
      <c r="R163" s="10">
        <f t="shared" si="13"/>
        <v>1204.6415</v>
      </c>
      <c r="S163" s="10">
        <f t="shared" si="14"/>
        <v>7830.1697499999991</v>
      </c>
      <c r="T163" s="10">
        <f t="shared" si="15"/>
        <v>7830.1697499999991</v>
      </c>
      <c r="U163" s="8" t="str">
        <f t="shared" si="16"/>
        <v>Mon</v>
      </c>
      <c r="V163" s="8" t="str">
        <f t="shared" si="17"/>
        <v>Tue</v>
      </c>
    </row>
    <row r="164" spans="1:22" x14ac:dyDescent="0.25">
      <c r="A164" t="s">
        <v>239</v>
      </c>
      <c r="B164" t="s">
        <v>41</v>
      </c>
      <c r="C164" t="s">
        <v>9</v>
      </c>
      <c r="D164" t="s">
        <v>2</v>
      </c>
      <c r="F164" s="5">
        <v>44165</v>
      </c>
      <c r="G164" s="5">
        <v>44182</v>
      </c>
      <c r="H164" s="2">
        <v>2</v>
      </c>
      <c r="I164" s="6"/>
      <c r="J164" s="6"/>
      <c r="K164" s="7">
        <v>3</v>
      </c>
      <c r="L164" s="7">
        <v>111</v>
      </c>
      <c r="M164" t="s">
        <v>18</v>
      </c>
      <c r="N164" s="9"/>
      <c r="O164" s="8">
        <f t="array" ref="O164">INDEX(TechRate,MATCH(H164,TechNum,0))</f>
        <v>140</v>
      </c>
      <c r="P164" s="10">
        <f>WorkOrders2[[#This Row],[Techs]]*(WorkOrders2[[#This Row],[PartsCost]]*WorkOrders2[[#This Row],[LbrHrs]])</f>
        <v>666</v>
      </c>
      <c r="Q164" s="10">
        <f t="shared" si="12"/>
        <v>666</v>
      </c>
      <c r="R164" s="10">
        <f t="shared" si="13"/>
        <v>111</v>
      </c>
      <c r="S164" s="10">
        <f t="shared" si="14"/>
        <v>777</v>
      </c>
      <c r="T164" s="10">
        <f t="shared" si="15"/>
        <v>777</v>
      </c>
      <c r="U164" s="8" t="str">
        <f t="shared" si="16"/>
        <v>Mon</v>
      </c>
      <c r="V164" s="8" t="str">
        <f t="shared" si="17"/>
        <v>Thu</v>
      </c>
    </row>
    <row r="165" spans="1:22" hidden="1" x14ac:dyDescent="0.25">
      <c r="A165" t="s">
        <v>241</v>
      </c>
      <c r="B165" t="s">
        <v>41</v>
      </c>
      <c r="C165" t="s">
        <v>7</v>
      </c>
      <c r="D165" t="s">
        <v>12</v>
      </c>
      <c r="F165" s="5">
        <v>44165</v>
      </c>
      <c r="G165" s="5">
        <v>44252</v>
      </c>
      <c r="H165" s="2">
        <v>2</v>
      </c>
      <c r="I165" s="6"/>
      <c r="J165" s="6"/>
      <c r="K165" s="7">
        <v>0.5</v>
      </c>
      <c r="L165" s="7">
        <v>158.31389999999999</v>
      </c>
      <c r="M165" t="s">
        <v>18</v>
      </c>
      <c r="N165" s="9"/>
      <c r="O165" s="8">
        <f t="array" ref="O165">INDEX(TechRate,MATCH(H165,TechNum,0))</f>
        <v>140</v>
      </c>
      <c r="P165" s="10">
        <f>WorkOrders2[[#This Row],[Techs]]*(WorkOrders2[[#This Row],[PartsCost]]*WorkOrders2[[#This Row],[LbrHrs]])</f>
        <v>158.31389999999999</v>
      </c>
      <c r="Q165" s="10">
        <f t="shared" si="12"/>
        <v>158.31389999999999</v>
      </c>
      <c r="R165" s="10">
        <f t="shared" si="13"/>
        <v>158.31389999999999</v>
      </c>
      <c r="S165" s="10">
        <f t="shared" si="14"/>
        <v>316.62779999999998</v>
      </c>
      <c r="T165" s="10">
        <f t="shared" si="15"/>
        <v>316.62779999999998</v>
      </c>
      <c r="U165" s="8" t="str">
        <f t="shared" si="16"/>
        <v>Mon</v>
      </c>
      <c r="V165" s="8" t="str">
        <f t="shared" si="17"/>
        <v>Thu</v>
      </c>
    </row>
    <row r="166" spans="1:22" hidden="1" x14ac:dyDescent="0.25">
      <c r="A166" t="s">
        <v>263</v>
      </c>
      <c r="B166" t="s">
        <v>41</v>
      </c>
      <c r="C166" t="s">
        <v>6</v>
      </c>
      <c r="D166" t="s">
        <v>1</v>
      </c>
      <c r="F166" s="5">
        <v>44174</v>
      </c>
      <c r="G166" s="5">
        <v>44208</v>
      </c>
      <c r="H166" s="2">
        <v>2</v>
      </c>
      <c r="I166" s="6"/>
      <c r="J166" s="6"/>
      <c r="K166" s="7">
        <v>3</v>
      </c>
      <c r="L166" s="7">
        <v>1193.7465999999999</v>
      </c>
      <c r="M166" t="s">
        <v>18</v>
      </c>
      <c r="N166" s="9"/>
      <c r="O166" s="8">
        <f t="array" ref="O166">INDEX(TechRate,MATCH(H166,TechNum,0))</f>
        <v>140</v>
      </c>
      <c r="P166" s="10">
        <f>WorkOrders2[[#This Row],[Techs]]*(WorkOrders2[[#This Row],[PartsCost]]*WorkOrders2[[#This Row],[LbrHrs]])</f>
        <v>7162.4795999999997</v>
      </c>
      <c r="Q166" s="10">
        <f t="shared" si="12"/>
        <v>7162.4795999999997</v>
      </c>
      <c r="R166" s="10">
        <f t="shared" si="13"/>
        <v>1193.7465999999999</v>
      </c>
      <c r="S166" s="10">
        <f t="shared" si="14"/>
        <v>8356.2261999999992</v>
      </c>
      <c r="T166" s="10">
        <f t="shared" si="15"/>
        <v>8356.2261999999992</v>
      </c>
      <c r="U166" s="8" t="str">
        <f t="shared" si="16"/>
        <v>Wed</v>
      </c>
      <c r="V166" s="8" t="str">
        <f t="shared" si="17"/>
        <v>Tue</v>
      </c>
    </row>
    <row r="167" spans="1:22" hidden="1" x14ac:dyDescent="0.25">
      <c r="A167" t="s">
        <v>352</v>
      </c>
      <c r="B167" t="s">
        <v>41</v>
      </c>
      <c r="C167" t="s">
        <v>7</v>
      </c>
      <c r="D167" t="s">
        <v>12</v>
      </c>
      <c r="F167" s="5">
        <v>44228</v>
      </c>
      <c r="G167" s="5">
        <v>44266</v>
      </c>
      <c r="H167" s="2">
        <v>1</v>
      </c>
      <c r="I167" s="6"/>
      <c r="J167" s="6"/>
      <c r="K167" s="7">
        <v>0.25</v>
      </c>
      <c r="L167" s="7">
        <v>21.33</v>
      </c>
      <c r="M167" t="s">
        <v>17</v>
      </c>
      <c r="N167" s="9"/>
      <c r="O167" s="8">
        <f t="array" ref="O167">INDEX(TechRate,MATCH(H167,TechNum,0))</f>
        <v>80</v>
      </c>
      <c r="P167" s="10">
        <f>WorkOrders2[[#This Row],[Techs]]*(WorkOrders2[[#This Row],[PartsCost]]*WorkOrders2[[#This Row],[LbrHrs]])</f>
        <v>5.3324999999999996</v>
      </c>
      <c r="Q167" s="10">
        <f t="shared" si="12"/>
        <v>5.3324999999999996</v>
      </c>
      <c r="R167" s="10">
        <f t="shared" si="13"/>
        <v>21.33</v>
      </c>
      <c r="S167" s="10">
        <f t="shared" si="14"/>
        <v>26.662499999999998</v>
      </c>
      <c r="T167" s="10">
        <f t="shared" si="15"/>
        <v>26.662499999999998</v>
      </c>
      <c r="U167" s="8" t="str">
        <f t="shared" si="16"/>
        <v>Mon</v>
      </c>
      <c r="V167" s="8" t="str">
        <f t="shared" si="17"/>
        <v>Thu</v>
      </c>
    </row>
    <row r="168" spans="1:22" hidden="1" x14ac:dyDescent="0.25">
      <c r="A168" t="s">
        <v>365</v>
      </c>
      <c r="B168" t="s">
        <v>41</v>
      </c>
      <c r="C168" t="s">
        <v>7</v>
      </c>
      <c r="D168" t="s">
        <v>11</v>
      </c>
      <c r="F168" s="5">
        <v>44231</v>
      </c>
      <c r="G168" s="5">
        <v>44270</v>
      </c>
      <c r="H168" s="2">
        <v>1</v>
      </c>
      <c r="I168" s="6"/>
      <c r="J168" s="6"/>
      <c r="K168" s="7">
        <v>0.25</v>
      </c>
      <c r="L168" s="7">
        <v>30</v>
      </c>
      <c r="M168" t="s">
        <v>17</v>
      </c>
      <c r="N168" s="9"/>
      <c r="O168" s="8">
        <f t="array" ref="O168">INDEX(TechRate,MATCH(H168,TechNum,0))</f>
        <v>80</v>
      </c>
      <c r="P168" s="10">
        <f>WorkOrders2[[#This Row],[Techs]]*(WorkOrders2[[#This Row],[PartsCost]]*WorkOrders2[[#This Row],[LbrHrs]])</f>
        <v>7.5</v>
      </c>
      <c r="Q168" s="10">
        <f t="shared" si="12"/>
        <v>7.5</v>
      </c>
      <c r="R168" s="10">
        <f t="shared" si="13"/>
        <v>30</v>
      </c>
      <c r="S168" s="10">
        <f t="shared" si="14"/>
        <v>37.5</v>
      </c>
      <c r="T168" s="10">
        <f t="shared" si="15"/>
        <v>37.5</v>
      </c>
      <c r="U168" s="8" t="str">
        <f t="shared" si="16"/>
        <v>Thu</v>
      </c>
      <c r="V168" s="8" t="str">
        <f t="shared" si="17"/>
        <v>Mon</v>
      </c>
    </row>
    <row r="169" spans="1:22" hidden="1" x14ac:dyDescent="0.25">
      <c r="A169" t="s">
        <v>469</v>
      </c>
      <c r="B169" t="s">
        <v>41</v>
      </c>
      <c r="C169" t="s">
        <v>7</v>
      </c>
      <c r="D169" t="s">
        <v>1</v>
      </c>
      <c r="F169" s="5">
        <v>44271</v>
      </c>
      <c r="G169" s="5">
        <v>44302</v>
      </c>
      <c r="H169" s="2">
        <v>2</v>
      </c>
      <c r="I169" s="6"/>
      <c r="J169" s="6" t="s">
        <v>3</v>
      </c>
      <c r="K169" s="7">
        <v>2.75</v>
      </c>
      <c r="L169" s="7">
        <v>340.54520000000002</v>
      </c>
      <c r="M169" t="s">
        <v>18</v>
      </c>
      <c r="N169" s="9"/>
      <c r="O169" s="8">
        <f t="array" ref="O169">INDEX(TechRate,MATCH(H169,TechNum,0))</f>
        <v>140</v>
      </c>
      <c r="P169" s="10">
        <f>WorkOrders2[[#This Row],[Techs]]*(WorkOrders2[[#This Row],[PartsCost]]*WorkOrders2[[#This Row],[LbrHrs]])</f>
        <v>1872.9986000000001</v>
      </c>
      <c r="Q169" s="10">
        <f t="shared" si="12"/>
        <v>1872.9986000000001</v>
      </c>
      <c r="R169" s="10">
        <f t="shared" si="13"/>
        <v>0</v>
      </c>
      <c r="S169" s="10">
        <f t="shared" si="14"/>
        <v>2213.5438000000004</v>
      </c>
      <c r="T169" s="10">
        <f t="shared" si="15"/>
        <v>1872.9986000000001</v>
      </c>
      <c r="U169" s="8" t="str">
        <f t="shared" si="16"/>
        <v>Tue</v>
      </c>
      <c r="V169" s="8" t="str">
        <f t="shared" si="17"/>
        <v>Fri</v>
      </c>
    </row>
    <row r="170" spans="1:22" hidden="1" x14ac:dyDescent="0.25">
      <c r="A170" t="s">
        <v>471</v>
      </c>
      <c r="B170" t="s">
        <v>41</v>
      </c>
      <c r="C170" t="s">
        <v>9</v>
      </c>
      <c r="D170" t="s">
        <v>12</v>
      </c>
      <c r="F170" s="5">
        <v>44272</v>
      </c>
      <c r="G170" s="5">
        <v>44296</v>
      </c>
      <c r="H170" s="2">
        <v>1</v>
      </c>
      <c r="I170" s="6"/>
      <c r="J170" s="6"/>
      <c r="K170" s="7">
        <v>0.5</v>
      </c>
      <c r="L170" s="7">
        <v>48.990699999999997</v>
      </c>
      <c r="M170" t="s">
        <v>17</v>
      </c>
      <c r="N170" s="9"/>
      <c r="O170" s="8">
        <f t="array" ref="O170">INDEX(TechRate,MATCH(H170,TechNum,0))</f>
        <v>80</v>
      </c>
      <c r="P170" s="10">
        <f>WorkOrders2[[#This Row],[Techs]]*(WorkOrders2[[#This Row],[PartsCost]]*WorkOrders2[[#This Row],[LbrHrs]])</f>
        <v>24.495349999999998</v>
      </c>
      <c r="Q170" s="10">
        <f t="shared" si="12"/>
        <v>24.495349999999998</v>
      </c>
      <c r="R170" s="10">
        <f t="shared" si="13"/>
        <v>48.990699999999997</v>
      </c>
      <c r="S170" s="10">
        <f t="shared" si="14"/>
        <v>73.486049999999992</v>
      </c>
      <c r="T170" s="10">
        <f t="shared" si="15"/>
        <v>73.486049999999992</v>
      </c>
      <c r="U170" s="8" t="str">
        <f t="shared" si="16"/>
        <v>Wed</v>
      </c>
      <c r="V170" s="8" t="str">
        <f t="shared" si="17"/>
        <v>Sat</v>
      </c>
    </row>
    <row r="171" spans="1:22" hidden="1" x14ac:dyDescent="0.25">
      <c r="A171" t="s">
        <v>475</v>
      </c>
      <c r="B171" t="s">
        <v>41</v>
      </c>
      <c r="C171" t="s">
        <v>7</v>
      </c>
      <c r="D171" t="s">
        <v>12</v>
      </c>
      <c r="F171" s="5">
        <v>44275</v>
      </c>
      <c r="G171" s="5">
        <v>44299</v>
      </c>
      <c r="H171" s="2">
        <v>1</v>
      </c>
      <c r="I171" s="6"/>
      <c r="J171" s="6"/>
      <c r="K171" s="7">
        <v>0.25</v>
      </c>
      <c r="L171" s="7">
        <v>15.24</v>
      </c>
      <c r="M171" t="s">
        <v>19</v>
      </c>
      <c r="N171" s="9"/>
      <c r="O171" s="8">
        <f t="array" ref="O171">INDEX(TechRate,MATCH(H171,TechNum,0))</f>
        <v>80</v>
      </c>
      <c r="P171" s="10">
        <f>WorkOrders2[[#This Row],[Techs]]*(WorkOrders2[[#This Row],[PartsCost]]*WorkOrders2[[#This Row],[LbrHrs]])</f>
        <v>3.81</v>
      </c>
      <c r="Q171" s="10">
        <f t="shared" si="12"/>
        <v>3.81</v>
      </c>
      <c r="R171" s="10">
        <f t="shared" si="13"/>
        <v>15.24</v>
      </c>
      <c r="S171" s="10">
        <f t="shared" si="14"/>
        <v>19.05</v>
      </c>
      <c r="T171" s="10">
        <f t="shared" si="15"/>
        <v>19.05</v>
      </c>
      <c r="U171" s="8" t="str">
        <f t="shared" si="16"/>
        <v>Sat</v>
      </c>
      <c r="V171" s="8" t="str">
        <f t="shared" si="17"/>
        <v>Tue</v>
      </c>
    </row>
    <row r="172" spans="1:22" hidden="1" x14ac:dyDescent="0.25">
      <c r="A172" t="s">
        <v>510</v>
      </c>
      <c r="B172" t="s">
        <v>41</v>
      </c>
      <c r="C172" t="s">
        <v>8</v>
      </c>
      <c r="D172" t="s">
        <v>12</v>
      </c>
      <c r="E172" t="s">
        <v>3</v>
      </c>
      <c r="F172" s="5">
        <v>44289</v>
      </c>
      <c r="G172" s="5">
        <v>44327</v>
      </c>
      <c r="H172" s="2">
        <v>1</v>
      </c>
      <c r="I172" s="6"/>
      <c r="J172" s="6"/>
      <c r="K172" s="7">
        <v>0.5</v>
      </c>
      <c r="L172" s="7">
        <v>36.3384</v>
      </c>
      <c r="M172" t="s">
        <v>17</v>
      </c>
      <c r="N172" s="9"/>
      <c r="O172" s="8">
        <f t="array" ref="O172">INDEX(TechRate,MATCH(H172,TechNum,0))</f>
        <v>80</v>
      </c>
      <c r="P172" s="10">
        <f>WorkOrders2[[#This Row],[Techs]]*(WorkOrders2[[#This Row],[PartsCost]]*WorkOrders2[[#This Row],[LbrHrs]])</f>
        <v>18.1692</v>
      </c>
      <c r="Q172" s="10">
        <f t="shared" si="12"/>
        <v>18.1692</v>
      </c>
      <c r="R172" s="10">
        <f t="shared" si="13"/>
        <v>36.3384</v>
      </c>
      <c r="S172" s="10">
        <f t="shared" si="14"/>
        <v>54.507599999999996</v>
      </c>
      <c r="T172" s="10">
        <f t="shared" si="15"/>
        <v>54.507599999999996</v>
      </c>
      <c r="U172" s="8" t="str">
        <f t="shared" si="16"/>
        <v>Sat</v>
      </c>
      <c r="V172" s="8" t="str">
        <f t="shared" si="17"/>
        <v>Tue</v>
      </c>
    </row>
    <row r="173" spans="1:22" hidden="1" x14ac:dyDescent="0.25">
      <c r="A173" t="s">
        <v>522</v>
      </c>
      <c r="B173" t="s">
        <v>41</v>
      </c>
      <c r="C173" t="s">
        <v>8</v>
      </c>
      <c r="D173" t="s">
        <v>13</v>
      </c>
      <c r="F173" s="5">
        <v>44292</v>
      </c>
      <c r="G173" s="5">
        <v>44376</v>
      </c>
      <c r="H173" s="2">
        <v>2</v>
      </c>
      <c r="I173" s="6"/>
      <c r="J173" s="6"/>
      <c r="K173" s="7">
        <v>0.75</v>
      </c>
      <c r="L173" s="7">
        <v>40</v>
      </c>
      <c r="M173" t="s">
        <v>19</v>
      </c>
      <c r="N173" s="9"/>
      <c r="O173" s="8">
        <f t="array" ref="O173">INDEX(TechRate,MATCH(H173,TechNum,0))</f>
        <v>140</v>
      </c>
      <c r="P173" s="10">
        <f>WorkOrders2[[#This Row],[Techs]]*(WorkOrders2[[#This Row],[PartsCost]]*WorkOrders2[[#This Row],[LbrHrs]])</f>
        <v>60</v>
      </c>
      <c r="Q173" s="10">
        <f t="shared" si="12"/>
        <v>60</v>
      </c>
      <c r="R173" s="10">
        <f t="shared" si="13"/>
        <v>40</v>
      </c>
      <c r="S173" s="10">
        <f t="shared" si="14"/>
        <v>100</v>
      </c>
      <c r="T173" s="10">
        <f t="shared" si="15"/>
        <v>100</v>
      </c>
      <c r="U173" s="8" t="str">
        <f t="shared" si="16"/>
        <v>Tue</v>
      </c>
      <c r="V173" s="8" t="str">
        <f t="shared" si="17"/>
        <v>Tue</v>
      </c>
    </row>
    <row r="174" spans="1:22" hidden="1" x14ac:dyDescent="0.25">
      <c r="A174" t="s">
        <v>528</v>
      </c>
      <c r="B174" t="s">
        <v>41</v>
      </c>
      <c r="C174" t="s">
        <v>7</v>
      </c>
      <c r="D174" t="s">
        <v>12</v>
      </c>
      <c r="F174" s="5">
        <v>44293</v>
      </c>
      <c r="G174" s="5"/>
      <c r="H174" s="2">
        <v>2</v>
      </c>
      <c r="I174" s="6"/>
      <c r="J174" s="6" t="s">
        <v>3</v>
      </c>
      <c r="K174" s="7"/>
      <c r="L174" s="7">
        <v>1587.2547999999999</v>
      </c>
      <c r="M174" t="s">
        <v>18</v>
      </c>
      <c r="N174" s="9"/>
      <c r="O174" s="8">
        <f t="array" ref="O174">INDEX(TechRate,MATCH(H174,TechNum,0))</f>
        <v>140</v>
      </c>
      <c r="P174" s="10">
        <f>WorkOrders2[[#This Row],[Techs]]*(WorkOrders2[[#This Row],[PartsCost]]*WorkOrders2[[#This Row],[LbrHrs]])</f>
        <v>0</v>
      </c>
      <c r="Q174" s="10">
        <f t="shared" si="12"/>
        <v>0</v>
      </c>
      <c r="R174" s="10">
        <f t="shared" si="13"/>
        <v>0</v>
      </c>
      <c r="S174" s="10">
        <f t="shared" si="14"/>
        <v>1587.2547999999999</v>
      </c>
      <c r="T174" s="10">
        <f t="shared" si="15"/>
        <v>0</v>
      </c>
      <c r="U174" s="8" t="str">
        <f t="shared" si="16"/>
        <v>Wed</v>
      </c>
      <c r="V174" s="8" t="str">
        <f t="shared" si="17"/>
        <v>Sat</v>
      </c>
    </row>
    <row r="175" spans="1:22" x14ac:dyDescent="0.25">
      <c r="A175" t="s">
        <v>531</v>
      </c>
      <c r="B175" t="s">
        <v>41</v>
      </c>
      <c r="C175" t="s">
        <v>9</v>
      </c>
      <c r="D175" t="s">
        <v>2</v>
      </c>
      <c r="F175" s="5">
        <v>44294</v>
      </c>
      <c r="G175" s="5">
        <v>44315</v>
      </c>
      <c r="H175" s="2">
        <v>2</v>
      </c>
      <c r="I175" s="6"/>
      <c r="J175" s="6" t="s">
        <v>3</v>
      </c>
      <c r="K175" s="7">
        <v>1</v>
      </c>
      <c r="L175" s="7">
        <v>54.28</v>
      </c>
      <c r="M175" t="s">
        <v>18</v>
      </c>
      <c r="N175" s="9"/>
      <c r="O175" s="8">
        <f t="array" ref="O175">INDEX(TechRate,MATCH(H175,TechNum,0))</f>
        <v>140</v>
      </c>
      <c r="P175" s="10">
        <f>WorkOrders2[[#This Row],[Techs]]*(WorkOrders2[[#This Row],[PartsCost]]*WorkOrders2[[#This Row],[LbrHrs]])</f>
        <v>108.56</v>
      </c>
      <c r="Q175" s="10">
        <f t="shared" si="12"/>
        <v>108.56</v>
      </c>
      <c r="R175" s="10">
        <f t="shared" si="13"/>
        <v>0</v>
      </c>
      <c r="S175" s="10">
        <f t="shared" si="14"/>
        <v>162.84</v>
      </c>
      <c r="T175" s="10">
        <f t="shared" si="15"/>
        <v>108.56</v>
      </c>
      <c r="U175" s="8" t="str">
        <f t="shared" si="16"/>
        <v>Thu</v>
      </c>
      <c r="V175" s="8" t="str">
        <f t="shared" si="17"/>
        <v>Thu</v>
      </c>
    </row>
    <row r="176" spans="1:22" hidden="1" x14ac:dyDescent="0.25">
      <c r="A176" t="s">
        <v>533</v>
      </c>
      <c r="B176" t="s">
        <v>41</v>
      </c>
      <c r="C176" t="s">
        <v>7</v>
      </c>
      <c r="D176" t="s">
        <v>12</v>
      </c>
      <c r="F176" s="5">
        <v>44294</v>
      </c>
      <c r="G176" s="5">
        <v>44329</v>
      </c>
      <c r="H176" s="2">
        <v>2</v>
      </c>
      <c r="I176" s="6"/>
      <c r="J176" s="6"/>
      <c r="K176" s="7">
        <v>0.25</v>
      </c>
      <c r="L176" s="7">
        <v>30</v>
      </c>
      <c r="M176" t="s">
        <v>18</v>
      </c>
      <c r="N176" s="9"/>
      <c r="O176" s="8">
        <f t="array" ref="O176">INDEX(TechRate,MATCH(H176,TechNum,0))</f>
        <v>140</v>
      </c>
      <c r="P176" s="10">
        <f>WorkOrders2[[#This Row],[Techs]]*(WorkOrders2[[#This Row],[PartsCost]]*WorkOrders2[[#This Row],[LbrHrs]])</f>
        <v>15</v>
      </c>
      <c r="Q176" s="10">
        <f t="shared" si="12"/>
        <v>15</v>
      </c>
      <c r="R176" s="10">
        <f t="shared" si="13"/>
        <v>30</v>
      </c>
      <c r="S176" s="10">
        <f t="shared" si="14"/>
        <v>45</v>
      </c>
      <c r="T176" s="10">
        <f t="shared" si="15"/>
        <v>45</v>
      </c>
      <c r="U176" s="8" t="str">
        <f t="shared" si="16"/>
        <v>Thu</v>
      </c>
      <c r="V176" s="8" t="str">
        <f t="shared" si="17"/>
        <v>Thu</v>
      </c>
    </row>
    <row r="177" spans="1:22" hidden="1" x14ac:dyDescent="0.25">
      <c r="A177" t="s">
        <v>51</v>
      </c>
      <c r="B177" t="s">
        <v>35</v>
      </c>
      <c r="C177" t="s">
        <v>44</v>
      </c>
      <c r="D177" t="s">
        <v>11</v>
      </c>
      <c r="E177" t="s">
        <v>3</v>
      </c>
      <c r="F177" s="5">
        <v>44075</v>
      </c>
      <c r="G177" s="5">
        <v>44091</v>
      </c>
      <c r="H177" s="2">
        <v>1</v>
      </c>
      <c r="I177" s="6"/>
      <c r="J177" s="6"/>
      <c r="K177" s="7">
        <v>0.25</v>
      </c>
      <c r="L177" s="7">
        <v>45.237400000000001</v>
      </c>
      <c r="M177" t="s">
        <v>17</v>
      </c>
      <c r="N177" s="9"/>
      <c r="O177" s="8">
        <f t="array" ref="O177">INDEX(TechRate,MATCH(H177,TechNum,0))</f>
        <v>80</v>
      </c>
      <c r="P177" s="10">
        <f>WorkOrders2[[#This Row],[Techs]]*(WorkOrders2[[#This Row],[PartsCost]]*WorkOrders2[[#This Row],[LbrHrs]])</f>
        <v>11.30935</v>
      </c>
      <c r="Q177" s="10">
        <f t="shared" si="12"/>
        <v>11.30935</v>
      </c>
      <c r="R177" s="10">
        <f t="shared" si="13"/>
        <v>45.237400000000001</v>
      </c>
      <c r="S177" s="10">
        <f t="shared" si="14"/>
        <v>56.546750000000003</v>
      </c>
      <c r="T177" s="10">
        <f t="shared" si="15"/>
        <v>56.546750000000003</v>
      </c>
      <c r="U177" s="8" t="str">
        <f t="shared" si="16"/>
        <v>Tue</v>
      </c>
      <c r="V177" s="8" t="str">
        <f t="shared" si="17"/>
        <v>Thu</v>
      </c>
    </row>
    <row r="178" spans="1:22" hidden="1" x14ac:dyDescent="0.25">
      <c r="A178" t="s">
        <v>55</v>
      </c>
      <c r="B178" t="s">
        <v>35</v>
      </c>
      <c r="C178" t="s">
        <v>9</v>
      </c>
      <c r="D178" t="s">
        <v>11</v>
      </c>
      <c r="F178" s="5">
        <v>44076</v>
      </c>
      <c r="G178" s="5">
        <v>44105</v>
      </c>
      <c r="H178" s="2">
        <v>1</v>
      </c>
      <c r="I178" s="6"/>
      <c r="J178" s="6"/>
      <c r="K178" s="7">
        <v>0.25</v>
      </c>
      <c r="L178" s="7">
        <v>76.7</v>
      </c>
      <c r="M178" t="s">
        <v>18</v>
      </c>
      <c r="N178" s="9"/>
      <c r="O178" s="8">
        <f t="array" ref="O178">INDEX(TechRate,MATCH(H178,TechNum,0))</f>
        <v>80</v>
      </c>
      <c r="P178" s="10">
        <f>WorkOrders2[[#This Row],[Techs]]*(WorkOrders2[[#This Row],[PartsCost]]*WorkOrders2[[#This Row],[LbrHrs]])</f>
        <v>19.175000000000001</v>
      </c>
      <c r="Q178" s="10">
        <f t="shared" si="12"/>
        <v>19.175000000000001</v>
      </c>
      <c r="R178" s="10">
        <f t="shared" si="13"/>
        <v>76.7</v>
      </c>
      <c r="S178" s="10">
        <f t="shared" si="14"/>
        <v>95.875</v>
      </c>
      <c r="T178" s="10">
        <f t="shared" si="15"/>
        <v>95.875</v>
      </c>
      <c r="U178" s="8" t="str">
        <f t="shared" si="16"/>
        <v>Wed</v>
      </c>
      <c r="V178" s="8" t="str">
        <f t="shared" si="17"/>
        <v>Thu</v>
      </c>
    </row>
    <row r="179" spans="1:22" hidden="1" x14ac:dyDescent="0.25">
      <c r="A179" t="s">
        <v>61</v>
      </c>
      <c r="B179" t="s">
        <v>35</v>
      </c>
      <c r="C179" t="s">
        <v>8</v>
      </c>
      <c r="D179" t="s">
        <v>13</v>
      </c>
      <c r="E179" t="s">
        <v>3</v>
      </c>
      <c r="F179" s="5">
        <v>44078</v>
      </c>
      <c r="G179" s="5">
        <v>44145</v>
      </c>
      <c r="H179" s="2">
        <v>1</v>
      </c>
      <c r="I179" s="6"/>
      <c r="J179" s="6"/>
      <c r="K179" s="7">
        <v>0.75</v>
      </c>
      <c r="L179" s="7">
        <v>938</v>
      </c>
      <c r="M179" t="s">
        <v>18</v>
      </c>
      <c r="N179" s="9"/>
      <c r="O179" s="8">
        <f t="array" ref="O179">INDEX(TechRate,MATCH(H179,TechNum,0))</f>
        <v>80</v>
      </c>
      <c r="P179" s="10">
        <f>WorkOrders2[[#This Row],[Techs]]*(WorkOrders2[[#This Row],[PartsCost]]*WorkOrders2[[#This Row],[LbrHrs]])</f>
        <v>703.5</v>
      </c>
      <c r="Q179" s="10">
        <f t="shared" si="12"/>
        <v>703.5</v>
      </c>
      <c r="R179" s="10">
        <f t="shared" si="13"/>
        <v>938</v>
      </c>
      <c r="S179" s="10">
        <f t="shared" si="14"/>
        <v>1641.5</v>
      </c>
      <c r="T179" s="10">
        <f t="shared" si="15"/>
        <v>1641.5</v>
      </c>
      <c r="U179" s="8" t="str">
        <f t="shared" si="16"/>
        <v>Fri</v>
      </c>
      <c r="V179" s="8" t="str">
        <f t="shared" si="17"/>
        <v>Tue</v>
      </c>
    </row>
    <row r="180" spans="1:22" hidden="1" x14ac:dyDescent="0.25">
      <c r="A180" t="s">
        <v>64</v>
      </c>
      <c r="B180" t="s">
        <v>35</v>
      </c>
      <c r="C180" t="s">
        <v>9</v>
      </c>
      <c r="D180" t="s">
        <v>12</v>
      </c>
      <c r="F180" s="5">
        <v>44081</v>
      </c>
      <c r="G180" s="5">
        <v>44084</v>
      </c>
      <c r="H180" s="2">
        <v>2</v>
      </c>
      <c r="I180" s="6"/>
      <c r="J180" s="6"/>
      <c r="K180" s="7">
        <v>0.25</v>
      </c>
      <c r="L180" s="7">
        <v>204.28399999999999</v>
      </c>
      <c r="M180" t="s">
        <v>17</v>
      </c>
      <c r="N180" s="9"/>
      <c r="O180" s="8">
        <f t="array" ref="O180">INDEX(TechRate,MATCH(H180,TechNum,0))</f>
        <v>140</v>
      </c>
      <c r="P180" s="10">
        <f>WorkOrders2[[#This Row],[Techs]]*(WorkOrders2[[#This Row],[PartsCost]]*WorkOrders2[[#This Row],[LbrHrs]])</f>
        <v>102.142</v>
      </c>
      <c r="Q180" s="10">
        <f t="shared" si="12"/>
        <v>102.142</v>
      </c>
      <c r="R180" s="10">
        <f t="shared" si="13"/>
        <v>204.28399999999999</v>
      </c>
      <c r="S180" s="10">
        <f t="shared" si="14"/>
        <v>306.42599999999999</v>
      </c>
      <c r="T180" s="10">
        <f t="shared" si="15"/>
        <v>306.42599999999999</v>
      </c>
      <c r="U180" s="8" t="str">
        <f t="shared" si="16"/>
        <v>Mon</v>
      </c>
      <c r="V180" s="8" t="str">
        <f t="shared" si="17"/>
        <v>Thu</v>
      </c>
    </row>
    <row r="181" spans="1:22" hidden="1" x14ac:dyDescent="0.25">
      <c r="A181" t="s">
        <v>65</v>
      </c>
      <c r="B181" t="s">
        <v>35</v>
      </c>
      <c r="C181" t="s">
        <v>44</v>
      </c>
      <c r="D181" t="s">
        <v>13</v>
      </c>
      <c r="F181" s="5">
        <v>44082</v>
      </c>
      <c r="G181" s="5">
        <v>44089</v>
      </c>
      <c r="H181" s="2">
        <v>2</v>
      </c>
      <c r="I181" s="6"/>
      <c r="J181" s="6"/>
      <c r="K181" s="7">
        <v>0.5</v>
      </c>
      <c r="L181" s="7">
        <v>240</v>
      </c>
      <c r="M181" t="s">
        <v>17</v>
      </c>
      <c r="N181" s="9"/>
      <c r="O181" s="8">
        <f t="array" ref="O181">INDEX(TechRate,MATCH(H181,TechNum,0))</f>
        <v>140</v>
      </c>
      <c r="P181" s="10">
        <f>WorkOrders2[[#This Row],[Techs]]*(WorkOrders2[[#This Row],[PartsCost]]*WorkOrders2[[#This Row],[LbrHrs]])</f>
        <v>240</v>
      </c>
      <c r="Q181" s="10">
        <f t="shared" si="12"/>
        <v>240</v>
      </c>
      <c r="R181" s="10">
        <f t="shared" si="13"/>
        <v>240</v>
      </c>
      <c r="S181" s="10">
        <f t="shared" si="14"/>
        <v>480</v>
      </c>
      <c r="T181" s="10">
        <f t="shared" si="15"/>
        <v>480</v>
      </c>
      <c r="U181" s="8" t="str">
        <f t="shared" si="16"/>
        <v>Tue</v>
      </c>
      <c r="V181" s="8" t="str">
        <f t="shared" si="17"/>
        <v>Tue</v>
      </c>
    </row>
    <row r="182" spans="1:22" hidden="1" x14ac:dyDescent="0.25">
      <c r="A182" t="s">
        <v>69</v>
      </c>
      <c r="B182" t="s">
        <v>35</v>
      </c>
      <c r="C182" t="s">
        <v>8</v>
      </c>
      <c r="D182" t="s">
        <v>12</v>
      </c>
      <c r="F182" s="5">
        <v>44082</v>
      </c>
      <c r="G182" s="5">
        <v>44132</v>
      </c>
      <c r="H182" s="2">
        <v>1</v>
      </c>
      <c r="I182" s="6"/>
      <c r="J182" s="6"/>
      <c r="K182" s="7">
        <v>0.75</v>
      </c>
      <c r="L182" s="7">
        <v>61.180599999999998</v>
      </c>
      <c r="M182" t="s">
        <v>18</v>
      </c>
      <c r="N182" s="9"/>
      <c r="O182" s="8">
        <f t="array" ref="O182">INDEX(TechRate,MATCH(H182,TechNum,0))</f>
        <v>80</v>
      </c>
      <c r="P182" s="10">
        <f>WorkOrders2[[#This Row],[Techs]]*(WorkOrders2[[#This Row],[PartsCost]]*WorkOrders2[[#This Row],[LbrHrs]])</f>
        <v>45.885449999999999</v>
      </c>
      <c r="Q182" s="10">
        <f t="shared" si="12"/>
        <v>45.885449999999999</v>
      </c>
      <c r="R182" s="10">
        <f t="shared" si="13"/>
        <v>61.180599999999998</v>
      </c>
      <c r="S182" s="10">
        <f t="shared" si="14"/>
        <v>107.06604999999999</v>
      </c>
      <c r="T182" s="10">
        <f t="shared" si="15"/>
        <v>107.06604999999999</v>
      </c>
      <c r="U182" s="8" t="str">
        <f t="shared" si="16"/>
        <v>Tue</v>
      </c>
      <c r="V182" s="8" t="str">
        <f t="shared" si="17"/>
        <v>Wed</v>
      </c>
    </row>
    <row r="183" spans="1:22" hidden="1" x14ac:dyDescent="0.25">
      <c r="A183" t="s">
        <v>71</v>
      </c>
      <c r="B183" t="s">
        <v>35</v>
      </c>
      <c r="C183" t="s">
        <v>6</v>
      </c>
      <c r="D183" t="s">
        <v>13</v>
      </c>
      <c r="E183" t="s">
        <v>3</v>
      </c>
      <c r="F183" s="5">
        <v>44083</v>
      </c>
      <c r="G183" s="5">
        <v>44098</v>
      </c>
      <c r="H183" s="2">
        <v>2</v>
      </c>
      <c r="I183" s="6"/>
      <c r="J183" s="6"/>
      <c r="K183" s="7">
        <v>0.5</v>
      </c>
      <c r="L183" s="7">
        <v>204.28399999999999</v>
      </c>
      <c r="M183" t="s">
        <v>18</v>
      </c>
      <c r="N183" s="9"/>
      <c r="O183" s="8">
        <f t="array" ref="O183">INDEX(TechRate,MATCH(H183,TechNum,0))</f>
        <v>140</v>
      </c>
      <c r="P183" s="10">
        <f>WorkOrders2[[#This Row],[Techs]]*(WorkOrders2[[#This Row],[PartsCost]]*WorkOrders2[[#This Row],[LbrHrs]])</f>
        <v>204.28399999999999</v>
      </c>
      <c r="Q183" s="10">
        <f t="shared" si="12"/>
        <v>204.28399999999999</v>
      </c>
      <c r="R183" s="10">
        <f t="shared" si="13"/>
        <v>204.28399999999999</v>
      </c>
      <c r="S183" s="10">
        <f t="shared" si="14"/>
        <v>408.56799999999998</v>
      </c>
      <c r="T183" s="10">
        <f t="shared" si="15"/>
        <v>408.56799999999998</v>
      </c>
      <c r="U183" s="8" t="str">
        <f t="shared" si="16"/>
        <v>Wed</v>
      </c>
      <c r="V183" s="8" t="str">
        <f t="shared" si="17"/>
        <v>Thu</v>
      </c>
    </row>
    <row r="184" spans="1:22" hidden="1" x14ac:dyDescent="0.25">
      <c r="A184" t="s">
        <v>73</v>
      </c>
      <c r="B184" t="s">
        <v>35</v>
      </c>
      <c r="C184" t="s">
        <v>9</v>
      </c>
      <c r="D184" t="s">
        <v>11</v>
      </c>
      <c r="E184" t="s">
        <v>3</v>
      </c>
      <c r="F184" s="5">
        <v>44083</v>
      </c>
      <c r="G184" s="5">
        <v>44103</v>
      </c>
      <c r="H184" s="2">
        <v>1</v>
      </c>
      <c r="I184" s="6"/>
      <c r="J184" s="6"/>
      <c r="K184" s="7">
        <v>0.25</v>
      </c>
      <c r="L184" s="7">
        <v>88.405699999999996</v>
      </c>
      <c r="M184" t="s">
        <v>17</v>
      </c>
      <c r="N184" s="9"/>
      <c r="O184" s="8">
        <f t="array" ref="O184">INDEX(TechRate,MATCH(H184,TechNum,0))</f>
        <v>80</v>
      </c>
      <c r="P184" s="10">
        <f>WorkOrders2[[#This Row],[Techs]]*(WorkOrders2[[#This Row],[PartsCost]]*WorkOrders2[[#This Row],[LbrHrs]])</f>
        <v>22.101424999999999</v>
      </c>
      <c r="Q184" s="10">
        <f t="shared" si="12"/>
        <v>22.101424999999999</v>
      </c>
      <c r="R184" s="10">
        <f t="shared" si="13"/>
        <v>88.405699999999996</v>
      </c>
      <c r="S184" s="10">
        <f t="shared" si="14"/>
        <v>110.507125</v>
      </c>
      <c r="T184" s="10">
        <f t="shared" si="15"/>
        <v>110.507125</v>
      </c>
      <c r="U184" s="8" t="str">
        <f t="shared" si="16"/>
        <v>Wed</v>
      </c>
      <c r="V184" s="8" t="str">
        <f t="shared" si="17"/>
        <v>Tue</v>
      </c>
    </row>
    <row r="185" spans="1:22" hidden="1" x14ac:dyDescent="0.25">
      <c r="A185" t="s">
        <v>76</v>
      </c>
      <c r="B185" t="s">
        <v>35</v>
      </c>
      <c r="C185" t="s">
        <v>6</v>
      </c>
      <c r="D185" t="s">
        <v>11</v>
      </c>
      <c r="F185" s="5">
        <v>44085</v>
      </c>
      <c r="G185" s="5">
        <v>44088</v>
      </c>
      <c r="H185" s="2">
        <v>1</v>
      </c>
      <c r="I185" s="6"/>
      <c r="J185" s="6"/>
      <c r="K185" s="7">
        <v>0.25</v>
      </c>
      <c r="L185" s="7">
        <v>120</v>
      </c>
      <c r="M185" t="s">
        <v>17</v>
      </c>
      <c r="N185" s="9"/>
      <c r="O185" s="8">
        <f t="array" ref="O185">INDEX(TechRate,MATCH(H185,TechNum,0))</f>
        <v>80</v>
      </c>
      <c r="P185" s="10">
        <f>WorkOrders2[[#This Row],[Techs]]*(WorkOrders2[[#This Row],[PartsCost]]*WorkOrders2[[#This Row],[LbrHrs]])</f>
        <v>30</v>
      </c>
      <c r="Q185" s="10">
        <f t="shared" si="12"/>
        <v>30</v>
      </c>
      <c r="R185" s="10">
        <f t="shared" si="13"/>
        <v>120</v>
      </c>
      <c r="S185" s="10">
        <f t="shared" si="14"/>
        <v>150</v>
      </c>
      <c r="T185" s="10">
        <f t="shared" si="15"/>
        <v>150</v>
      </c>
      <c r="U185" s="8" t="str">
        <f t="shared" si="16"/>
        <v>Fri</v>
      </c>
      <c r="V185" s="8" t="str">
        <f t="shared" si="17"/>
        <v>Mon</v>
      </c>
    </row>
    <row r="186" spans="1:22" hidden="1" x14ac:dyDescent="0.25">
      <c r="A186" t="s">
        <v>78</v>
      </c>
      <c r="B186" t="s">
        <v>35</v>
      </c>
      <c r="C186" t="s">
        <v>8</v>
      </c>
      <c r="D186" t="s">
        <v>12</v>
      </c>
      <c r="F186" s="5">
        <v>44085</v>
      </c>
      <c r="G186" s="5">
        <v>44097</v>
      </c>
      <c r="H186" s="2">
        <v>2</v>
      </c>
      <c r="I186" s="6"/>
      <c r="J186" s="6"/>
      <c r="K186" s="7">
        <v>0.25</v>
      </c>
      <c r="L186" s="7">
        <v>24.63</v>
      </c>
      <c r="M186" t="s">
        <v>17</v>
      </c>
      <c r="N186" s="9"/>
      <c r="O186" s="8">
        <f t="array" ref="O186">INDEX(TechRate,MATCH(H186,TechNum,0))</f>
        <v>140</v>
      </c>
      <c r="P186" s="10">
        <f>WorkOrders2[[#This Row],[Techs]]*(WorkOrders2[[#This Row],[PartsCost]]*WorkOrders2[[#This Row],[LbrHrs]])</f>
        <v>12.315</v>
      </c>
      <c r="Q186" s="10">
        <f t="shared" si="12"/>
        <v>12.315</v>
      </c>
      <c r="R186" s="10">
        <f t="shared" si="13"/>
        <v>24.63</v>
      </c>
      <c r="S186" s="10">
        <f t="shared" si="14"/>
        <v>36.945</v>
      </c>
      <c r="T186" s="10">
        <f t="shared" si="15"/>
        <v>36.945</v>
      </c>
      <c r="U186" s="8" t="str">
        <f t="shared" si="16"/>
        <v>Fri</v>
      </c>
      <c r="V186" s="8" t="str">
        <f t="shared" si="17"/>
        <v>Wed</v>
      </c>
    </row>
    <row r="187" spans="1:22" hidden="1" x14ac:dyDescent="0.25">
      <c r="A187" t="s">
        <v>79</v>
      </c>
      <c r="B187" t="s">
        <v>35</v>
      </c>
      <c r="C187" t="s">
        <v>8</v>
      </c>
      <c r="D187" t="s">
        <v>13</v>
      </c>
      <c r="F187" s="5">
        <v>44085</v>
      </c>
      <c r="G187" s="5">
        <v>44100</v>
      </c>
      <c r="H187" s="2">
        <v>2</v>
      </c>
      <c r="I187" s="6"/>
      <c r="J187" s="6"/>
      <c r="K187" s="7">
        <v>0.5</v>
      </c>
      <c r="L187" s="7">
        <v>43.26</v>
      </c>
      <c r="M187" t="s">
        <v>17</v>
      </c>
      <c r="N187" s="9"/>
      <c r="O187" s="8">
        <f t="array" ref="O187">INDEX(TechRate,MATCH(H187,TechNum,0))</f>
        <v>140</v>
      </c>
      <c r="P187" s="10">
        <f>WorkOrders2[[#This Row],[Techs]]*(WorkOrders2[[#This Row],[PartsCost]]*WorkOrders2[[#This Row],[LbrHrs]])</f>
        <v>43.26</v>
      </c>
      <c r="Q187" s="10">
        <f t="shared" si="12"/>
        <v>43.26</v>
      </c>
      <c r="R187" s="10">
        <f t="shared" si="13"/>
        <v>43.26</v>
      </c>
      <c r="S187" s="10">
        <f t="shared" si="14"/>
        <v>86.52</v>
      </c>
      <c r="T187" s="10">
        <f t="shared" si="15"/>
        <v>86.52</v>
      </c>
      <c r="U187" s="8" t="str">
        <f t="shared" si="16"/>
        <v>Fri</v>
      </c>
      <c r="V187" s="8" t="str">
        <f t="shared" si="17"/>
        <v>Sat</v>
      </c>
    </row>
    <row r="188" spans="1:22" hidden="1" x14ac:dyDescent="0.25">
      <c r="A188" t="s">
        <v>82</v>
      </c>
      <c r="B188" t="s">
        <v>35</v>
      </c>
      <c r="C188" t="s">
        <v>8</v>
      </c>
      <c r="D188" t="s">
        <v>12</v>
      </c>
      <c r="F188" s="5">
        <v>44088</v>
      </c>
      <c r="G188" s="5">
        <v>44098</v>
      </c>
      <c r="H188" s="2">
        <v>2</v>
      </c>
      <c r="I188" s="6"/>
      <c r="J188" s="6"/>
      <c r="K188" s="7">
        <v>0.25</v>
      </c>
      <c r="L188" s="7">
        <v>126.62309999999999</v>
      </c>
      <c r="M188" t="s">
        <v>18</v>
      </c>
      <c r="N188" s="9"/>
      <c r="O188" s="8">
        <f t="array" ref="O188">INDEX(TechRate,MATCH(H188,TechNum,0))</f>
        <v>140</v>
      </c>
      <c r="P188" s="10">
        <f>WorkOrders2[[#This Row],[Techs]]*(WorkOrders2[[#This Row],[PartsCost]]*WorkOrders2[[#This Row],[LbrHrs]])</f>
        <v>63.311549999999997</v>
      </c>
      <c r="Q188" s="10">
        <f t="shared" si="12"/>
        <v>63.311549999999997</v>
      </c>
      <c r="R188" s="10">
        <f t="shared" si="13"/>
        <v>126.62309999999999</v>
      </c>
      <c r="S188" s="10">
        <f t="shared" si="14"/>
        <v>189.93464999999998</v>
      </c>
      <c r="T188" s="10">
        <f t="shared" si="15"/>
        <v>189.93464999999998</v>
      </c>
      <c r="U188" s="8" t="str">
        <f t="shared" si="16"/>
        <v>Mon</v>
      </c>
      <c r="V188" s="8" t="str">
        <f t="shared" si="17"/>
        <v>Thu</v>
      </c>
    </row>
    <row r="189" spans="1:22" hidden="1" x14ac:dyDescent="0.25">
      <c r="A189" t="s">
        <v>85</v>
      </c>
      <c r="B189" t="s">
        <v>35</v>
      </c>
      <c r="C189" t="s">
        <v>6</v>
      </c>
      <c r="D189" t="s">
        <v>11</v>
      </c>
      <c r="E189" t="s">
        <v>3</v>
      </c>
      <c r="F189" s="5">
        <v>44088</v>
      </c>
      <c r="G189" s="5">
        <v>44111</v>
      </c>
      <c r="H189" s="2">
        <v>1</v>
      </c>
      <c r="I189" s="6"/>
      <c r="J189" s="6"/>
      <c r="K189" s="7">
        <v>0.25</v>
      </c>
      <c r="L189" s="7">
        <v>36</v>
      </c>
      <c r="M189" t="s">
        <v>17</v>
      </c>
      <c r="N189" s="9"/>
      <c r="O189" s="8">
        <f t="array" ref="O189">INDEX(TechRate,MATCH(H189,TechNum,0))</f>
        <v>80</v>
      </c>
      <c r="P189" s="10">
        <f>WorkOrders2[[#This Row],[Techs]]*(WorkOrders2[[#This Row],[PartsCost]]*WorkOrders2[[#This Row],[LbrHrs]])</f>
        <v>9</v>
      </c>
      <c r="Q189" s="10">
        <f t="shared" si="12"/>
        <v>9</v>
      </c>
      <c r="R189" s="10">
        <f t="shared" si="13"/>
        <v>36</v>
      </c>
      <c r="S189" s="10">
        <f t="shared" si="14"/>
        <v>45</v>
      </c>
      <c r="T189" s="10">
        <f t="shared" si="15"/>
        <v>45</v>
      </c>
      <c r="U189" s="8" t="str">
        <f t="shared" si="16"/>
        <v>Mon</v>
      </c>
      <c r="V189" s="8" t="str">
        <f t="shared" si="17"/>
        <v>Wed</v>
      </c>
    </row>
    <row r="190" spans="1:22" hidden="1" x14ac:dyDescent="0.25">
      <c r="A190" t="s">
        <v>87</v>
      </c>
      <c r="B190" t="s">
        <v>35</v>
      </c>
      <c r="C190" t="s">
        <v>6</v>
      </c>
      <c r="D190" t="s">
        <v>13</v>
      </c>
      <c r="F190" s="5">
        <v>44089</v>
      </c>
      <c r="G190" s="5">
        <v>44111</v>
      </c>
      <c r="H190" s="2">
        <v>2</v>
      </c>
      <c r="I190" s="6"/>
      <c r="J190" s="6"/>
      <c r="K190" s="7">
        <v>0.5</v>
      </c>
      <c r="L190" s="7">
        <v>42.66</v>
      </c>
      <c r="M190" t="s">
        <v>17</v>
      </c>
      <c r="N190" s="9"/>
      <c r="O190" s="8">
        <f t="array" ref="O190">INDEX(TechRate,MATCH(H190,TechNum,0))</f>
        <v>140</v>
      </c>
      <c r="P190" s="10">
        <f>WorkOrders2[[#This Row],[Techs]]*(WorkOrders2[[#This Row],[PartsCost]]*WorkOrders2[[#This Row],[LbrHrs]])</f>
        <v>42.66</v>
      </c>
      <c r="Q190" s="10">
        <f t="shared" si="12"/>
        <v>42.66</v>
      </c>
      <c r="R190" s="10">
        <f t="shared" si="13"/>
        <v>42.66</v>
      </c>
      <c r="S190" s="10">
        <f t="shared" si="14"/>
        <v>85.32</v>
      </c>
      <c r="T190" s="10">
        <f t="shared" si="15"/>
        <v>85.32</v>
      </c>
      <c r="U190" s="8" t="str">
        <f t="shared" si="16"/>
        <v>Tue</v>
      </c>
      <c r="V190" s="8" t="str">
        <f t="shared" si="17"/>
        <v>Wed</v>
      </c>
    </row>
    <row r="191" spans="1:22" hidden="1" x14ac:dyDescent="0.25">
      <c r="A191" t="s">
        <v>89</v>
      </c>
      <c r="B191" t="s">
        <v>35</v>
      </c>
      <c r="C191" t="s">
        <v>8</v>
      </c>
      <c r="D191" t="s">
        <v>12</v>
      </c>
      <c r="E191" t="s">
        <v>3</v>
      </c>
      <c r="F191" s="5">
        <v>44090</v>
      </c>
      <c r="G191" s="5">
        <v>44102</v>
      </c>
      <c r="H191" s="2">
        <v>1</v>
      </c>
      <c r="I191" s="6"/>
      <c r="J191" s="6"/>
      <c r="K191" s="7">
        <v>0.25</v>
      </c>
      <c r="L191" s="7">
        <v>45.237400000000001</v>
      </c>
      <c r="M191" t="s">
        <v>17</v>
      </c>
      <c r="N191" s="9"/>
      <c r="O191" s="8">
        <f t="array" ref="O191">INDEX(TechRate,MATCH(H191,TechNum,0))</f>
        <v>80</v>
      </c>
      <c r="P191" s="10">
        <f>WorkOrders2[[#This Row],[Techs]]*(WorkOrders2[[#This Row],[PartsCost]]*WorkOrders2[[#This Row],[LbrHrs]])</f>
        <v>11.30935</v>
      </c>
      <c r="Q191" s="10">
        <f t="shared" si="12"/>
        <v>11.30935</v>
      </c>
      <c r="R191" s="10">
        <f t="shared" si="13"/>
        <v>45.237400000000001</v>
      </c>
      <c r="S191" s="10">
        <f t="shared" si="14"/>
        <v>56.546750000000003</v>
      </c>
      <c r="T191" s="10">
        <f t="shared" si="15"/>
        <v>56.546750000000003</v>
      </c>
      <c r="U191" s="8" t="str">
        <f t="shared" si="16"/>
        <v>Wed</v>
      </c>
      <c r="V191" s="8" t="str">
        <f t="shared" si="17"/>
        <v>Mon</v>
      </c>
    </row>
    <row r="192" spans="1:22" hidden="1" x14ac:dyDescent="0.25">
      <c r="A192" t="s">
        <v>90</v>
      </c>
      <c r="B192" t="s">
        <v>35</v>
      </c>
      <c r="C192" t="s">
        <v>9</v>
      </c>
      <c r="D192" t="s">
        <v>12</v>
      </c>
      <c r="F192" s="5">
        <v>44090</v>
      </c>
      <c r="G192" s="5">
        <v>44105</v>
      </c>
      <c r="H192" s="2">
        <v>2</v>
      </c>
      <c r="I192" s="6"/>
      <c r="J192" s="6"/>
      <c r="K192" s="7">
        <v>0.75</v>
      </c>
      <c r="L192" s="7">
        <v>199.452</v>
      </c>
      <c r="M192" t="s">
        <v>18</v>
      </c>
      <c r="N192" s="9"/>
      <c r="O192" s="8">
        <f t="array" ref="O192">INDEX(TechRate,MATCH(H192,TechNum,0))</f>
        <v>140</v>
      </c>
      <c r="P192" s="10">
        <f>WorkOrders2[[#This Row],[Techs]]*(WorkOrders2[[#This Row],[PartsCost]]*WorkOrders2[[#This Row],[LbrHrs]])</f>
        <v>299.178</v>
      </c>
      <c r="Q192" s="10">
        <f t="shared" si="12"/>
        <v>299.178</v>
      </c>
      <c r="R192" s="10">
        <f t="shared" si="13"/>
        <v>199.452</v>
      </c>
      <c r="S192" s="10">
        <f t="shared" si="14"/>
        <v>498.63</v>
      </c>
      <c r="T192" s="10">
        <f t="shared" si="15"/>
        <v>498.63</v>
      </c>
      <c r="U192" s="8" t="str">
        <f t="shared" si="16"/>
        <v>Wed</v>
      </c>
      <c r="V192" s="8" t="str">
        <f t="shared" si="17"/>
        <v>Thu</v>
      </c>
    </row>
    <row r="193" spans="1:22" hidden="1" x14ac:dyDescent="0.25">
      <c r="A193" t="s">
        <v>93</v>
      </c>
      <c r="B193" t="s">
        <v>35</v>
      </c>
      <c r="C193" t="s">
        <v>6</v>
      </c>
      <c r="D193" t="s">
        <v>13</v>
      </c>
      <c r="F193" s="5">
        <v>44091</v>
      </c>
      <c r="G193" s="5">
        <v>44116</v>
      </c>
      <c r="H193" s="2">
        <v>2</v>
      </c>
      <c r="I193" s="6"/>
      <c r="J193" s="6"/>
      <c r="K193" s="7">
        <v>1</v>
      </c>
      <c r="L193" s="7">
        <v>36</v>
      </c>
      <c r="M193" t="s">
        <v>17</v>
      </c>
      <c r="N193" s="9"/>
      <c r="O193" s="8">
        <f t="array" ref="O193">INDEX(TechRate,MATCH(H193,TechNum,0))</f>
        <v>140</v>
      </c>
      <c r="P193" s="10">
        <f>WorkOrders2[[#This Row],[Techs]]*(WorkOrders2[[#This Row],[PartsCost]]*WorkOrders2[[#This Row],[LbrHrs]])</f>
        <v>72</v>
      </c>
      <c r="Q193" s="10">
        <f t="shared" si="12"/>
        <v>72</v>
      </c>
      <c r="R193" s="10">
        <f t="shared" si="13"/>
        <v>36</v>
      </c>
      <c r="S193" s="10">
        <f t="shared" si="14"/>
        <v>108</v>
      </c>
      <c r="T193" s="10">
        <f t="shared" si="15"/>
        <v>108</v>
      </c>
      <c r="U193" s="8" t="str">
        <f t="shared" si="16"/>
        <v>Thu</v>
      </c>
      <c r="V193" s="8" t="str">
        <f t="shared" si="17"/>
        <v>Mon</v>
      </c>
    </row>
    <row r="194" spans="1:22" hidden="1" x14ac:dyDescent="0.25">
      <c r="A194" t="s">
        <v>106</v>
      </c>
      <c r="B194" t="s">
        <v>35</v>
      </c>
      <c r="C194" t="s">
        <v>8</v>
      </c>
      <c r="D194" t="s">
        <v>11</v>
      </c>
      <c r="F194" s="5">
        <v>44098</v>
      </c>
      <c r="G194" s="5">
        <v>44119</v>
      </c>
      <c r="H194" s="2">
        <v>1</v>
      </c>
      <c r="I194" s="6"/>
      <c r="J194" s="6"/>
      <c r="K194" s="7">
        <v>0.25</v>
      </c>
      <c r="L194" s="7">
        <v>160</v>
      </c>
      <c r="M194" t="s">
        <v>17</v>
      </c>
      <c r="N194" s="9"/>
      <c r="O194" s="8">
        <f t="array" ref="O194">INDEX(TechRate,MATCH(H194,TechNum,0))</f>
        <v>80</v>
      </c>
      <c r="P194" s="10">
        <f>WorkOrders2[[#This Row],[Techs]]*(WorkOrders2[[#This Row],[PartsCost]]*WorkOrders2[[#This Row],[LbrHrs]])</f>
        <v>40</v>
      </c>
      <c r="Q194" s="10">
        <f t="shared" ref="Q194:Q257" si="18">IF(I194="Yes",0,P194)</f>
        <v>40</v>
      </c>
      <c r="R194" s="10">
        <f t="shared" ref="R194:R257" si="19">IF(J194="Yes",0,L194)</f>
        <v>160</v>
      </c>
      <c r="S194" s="10">
        <f t="shared" ref="S194:S257" si="20">SUM(L194,P194)</f>
        <v>200</v>
      </c>
      <c r="T194" s="10">
        <f t="shared" ref="T194:T257" si="21">SUM(Q194,R194)</f>
        <v>200</v>
      </c>
      <c r="U194" s="8" t="str">
        <f t="shared" ref="U194:U257" si="22">TEXT(F194,"ddd")</f>
        <v>Thu</v>
      </c>
      <c r="V194" s="8" t="str">
        <f t="shared" ref="V194:V257" si="23">TEXT(G194,"ddd")</f>
        <v>Thu</v>
      </c>
    </row>
    <row r="195" spans="1:22" hidden="1" x14ac:dyDescent="0.25">
      <c r="A195" t="s">
        <v>107</v>
      </c>
      <c r="B195" t="s">
        <v>35</v>
      </c>
      <c r="C195" t="s">
        <v>9</v>
      </c>
      <c r="D195" t="s">
        <v>13</v>
      </c>
      <c r="F195" s="5">
        <v>44098</v>
      </c>
      <c r="G195" s="5">
        <v>44140</v>
      </c>
      <c r="H195" s="2">
        <v>2</v>
      </c>
      <c r="I195" s="6"/>
      <c r="J195" s="6"/>
      <c r="K195" s="7">
        <v>0.75</v>
      </c>
      <c r="L195" s="7">
        <v>159.50489999999999</v>
      </c>
      <c r="M195" t="s">
        <v>17</v>
      </c>
      <c r="N195" s="9"/>
      <c r="O195" s="8">
        <f t="array" ref="O195">INDEX(TechRate,MATCH(H195,TechNum,0))</f>
        <v>140</v>
      </c>
      <c r="P195" s="10">
        <f>WorkOrders2[[#This Row],[Techs]]*(WorkOrders2[[#This Row],[PartsCost]]*WorkOrders2[[#This Row],[LbrHrs]])</f>
        <v>239.25734999999997</v>
      </c>
      <c r="Q195" s="10">
        <f t="shared" si="18"/>
        <v>239.25734999999997</v>
      </c>
      <c r="R195" s="10">
        <f t="shared" si="19"/>
        <v>159.50489999999999</v>
      </c>
      <c r="S195" s="10">
        <f t="shared" si="20"/>
        <v>398.76224999999999</v>
      </c>
      <c r="T195" s="10">
        <f t="shared" si="21"/>
        <v>398.76224999999999</v>
      </c>
      <c r="U195" s="8" t="str">
        <f t="shared" si="22"/>
        <v>Thu</v>
      </c>
      <c r="V195" s="8" t="str">
        <f t="shared" si="23"/>
        <v>Thu</v>
      </c>
    </row>
    <row r="196" spans="1:22" hidden="1" x14ac:dyDescent="0.25">
      <c r="A196" t="s">
        <v>113</v>
      </c>
      <c r="B196" t="s">
        <v>35</v>
      </c>
      <c r="C196" t="s">
        <v>6</v>
      </c>
      <c r="D196" t="s">
        <v>11</v>
      </c>
      <c r="F196" s="5">
        <v>44103</v>
      </c>
      <c r="G196" s="5">
        <v>44125</v>
      </c>
      <c r="H196" s="2">
        <v>2</v>
      </c>
      <c r="I196" s="6"/>
      <c r="J196" s="6"/>
      <c r="K196" s="7">
        <v>0.25</v>
      </c>
      <c r="L196" s="7">
        <v>367.71109999999999</v>
      </c>
      <c r="M196" t="s">
        <v>17</v>
      </c>
      <c r="N196" s="9"/>
      <c r="O196" s="8">
        <f t="array" ref="O196">INDEX(TechRate,MATCH(H196,TechNum,0))</f>
        <v>140</v>
      </c>
      <c r="P196" s="10">
        <f>WorkOrders2[[#This Row],[Techs]]*(WorkOrders2[[#This Row],[PartsCost]]*WorkOrders2[[#This Row],[LbrHrs]])</f>
        <v>183.85554999999999</v>
      </c>
      <c r="Q196" s="10">
        <f t="shared" si="18"/>
        <v>183.85554999999999</v>
      </c>
      <c r="R196" s="10">
        <f t="shared" si="19"/>
        <v>367.71109999999999</v>
      </c>
      <c r="S196" s="10">
        <f t="shared" si="20"/>
        <v>551.56664999999998</v>
      </c>
      <c r="T196" s="10">
        <f t="shared" si="21"/>
        <v>551.56664999999998</v>
      </c>
      <c r="U196" s="8" t="str">
        <f t="shared" si="22"/>
        <v>Tue</v>
      </c>
      <c r="V196" s="8" t="str">
        <f t="shared" si="23"/>
        <v>Wed</v>
      </c>
    </row>
    <row r="197" spans="1:22" hidden="1" x14ac:dyDescent="0.25">
      <c r="A197" t="s">
        <v>118</v>
      </c>
      <c r="B197" t="s">
        <v>35</v>
      </c>
      <c r="C197" t="s">
        <v>8</v>
      </c>
      <c r="D197" t="s">
        <v>11</v>
      </c>
      <c r="E197" t="s">
        <v>3</v>
      </c>
      <c r="F197" s="5">
        <v>44104</v>
      </c>
      <c r="G197" s="5">
        <v>44111</v>
      </c>
      <c r="H197" s="2">
        <v>1</v>
      </c>
      <c r="I197" s="6"/>
      <c r="J197" s="6"/>
      <c r="K197" s="7">
        <v>0.25</v>
      </c>
      <c r="L197" s="7">
        <v>239.1001</v>
      </c>
      <c r="M197" t="s">
        <v>17</v>
      </c>
      <c r="N197" s="9"/>
      <c r="O197" s="8">
        <f t="array" ref="O197">INDEX(TechRate,MATCH(H197,TechNum,0))</f>
        <v>80</v>
      </c>
      <c r="P197" s="10">
        <f>WorkOrders2[[#This Row],[Techs]]*(WorkOrders2[[#This Row],[PartsCost]]*WorkOrders2[[#This Row],[LbrHrs]])</f>
        <v>59.775024999999999</v>
      </c>
      <c r="Q197" s="10">
        <f t="shared" si="18"/>
        <v>59.775024999999999</v>
      </c>
      <c r="R197" s="10">
        <f t="shared" si="19"/>
        <v>239.1001</v>
      </c>
      <c r="S197" s="10">
        <f t="shared" si="20"/>
        <v>298.87512500000003</v>
      </c>
      <c r="T197" s="10">
        <f t="shared" si="21"/>
        <v>298.87512500000003</v>
      </c>
      <c r="U197" s="8" t="str">
        <f t="shared" si="22"/>
        <v>Wed</v>
      </c>
      <c r="V197" s="8" t="str">
        <f t="shared" si="23"/>
        <v>Wed</v>
      </c>
    </row>
    <row r="198" spans="1:22" x14ac:dyDescent="0.25">
      <c r="A198" t="s">
        <v>120</v>
      </c>
      <c r="B198" t="s">
        <v>35</v>
      </c>
      <c r="C198" t="s">
        <v>44</v>
      </c>
      <c r="D198" t="s">
        <v>2</v>
      </c>
      <c r="F198" s="5">
        <v>44104</v>
      </c>
      <c r="G198" s="5">
        <v>44153</v>
      </c>
      <c r="H198" s="2">
        <v>2</v>
      </c>
      <c r="I198" s="6"/>
      <c r="J198" s="6"/>
      <c r="K198" s="7">
        <v>2.25</v>
      </c>
      <c r="L198" s="7">
        <v>800.71119999999996</v>
      </c>
      <c r="M198" t="s">
        <v>17</v>
      </c>
      <c r="N198" s="9"/>
      <c r="O198" s="8">
        <f t="array" ref="O198">INDEX(TechRate,MATCH(H198,TechNum,0))</f>
        <v>140</v>
      </c>
      <c r="P198" s="10">
        <f>WorkOrders2[[#This Row],[Techs]]*(WorkOrders2[[#This Row],[PartsCost]]*WorkOrders2[[#This Row],[LbrHrs]])</f>
        <v>3603.2003999999997</v>
      </c>
      <c r="Q198" s="10">
        <f t="shared" si="18"/>
        <v>3603.2003999999997</v>
      </c>
      <c r="R198" s="10">
        <f t="shared" si="19"/>
        <v>800.71119999999996</v>
      </c>
      <c r="S198" s="10">
        <f t="shared" si="20"/>
        <v>4403.9115999999995</v>
      </c>
      <c r="T198" s="10">
        <f t="shared" si="21"/>
        <v>4403.9115999999995</v>
      </c>
      <c r="U198" s="8" t="str">
        <f t="shared" si="22"/>
        <v>Wed</v>
      </c>
      <c r="V198" s="8" t="str">
        <f t="shared" si="23"/>
        <v>Wed</v>
      </c>
    </row>
    <row r="199" spans="1:22" hidden="1" x14ac:dyDescent="0.25">
      <c r="A199" t="s">
        <v>121</v>
      </c>
      <c r="B199" t="s">
        <v>35</v>
      </c>
      <c r="C199" t="s">
        <v>8</v>
      </c>
      <c r="D199" t="s">
        <v>12</v>
      </c>
      <c r="F199" s="5">
        <v>44105</v>
      </c>
      <c r="G199" s="5">
        <v>44130</v>
      </c>
      <c r="H199" s="2">
        <v>1</v>
      </c>
      <c r="I199" s="6"/>
      <c r="J199" s="6"/>
      <c r="K199" s="7">
        <v>0.25</v>
      </c>
      <c r="L199" s="7">
        <v>19.196999999999999</v>
      </c>
      <c r="M199" t="s">
        <v>17</v>
      </c>
      <c r="N199" s="9"/>
      <c r="O199" s="8">
        <f t="array" ref="O199">INDEX(TechRate,MATCH(H199,TechNum,0))</f>
        <v>80</v>
      </c>
      <c r="P199" s="10">
        <f>WorkOrders2[[#This Row],[Techs]]*(WorkOrders2[[#This Row],[PartsCost]]*WorkOrders2[[#This Row],[LbrHrs]])</f>
        <v>4.7992499999999998</v>
      </c>
      <c r="Q199" s="10">
        <f t="shared" si="18"/>
        <v>4.7992499999999998</v>
      </c>
      <c r="R199" s="10">
        <f t="shared" si="19"/>
        <v>19.196999999999999</v>
      </c>
      <c r="S199" s="10">
        <f t="shared" si="20"/>
        <v>23.99625</v>
      </c>
      <c r="T199" s="10">
        <f t="shared" si="21"/>
        <v>23.99625</v>
      </c>
      <c r="U199" s="8" t="str">
        <f t="shared" si="22"/>
        <v>Thu</v>
      </c>
      <c r="V199" s="8" t="str">
        <f t="shared" si="23"/>
        <v>Mon</v>
      </c>
    </row>
    <row r="200" spans="1:22" hidden="1" x14ac:dyDescent="0.25">
      <c r="A200" t="s">
        <v>128</v>
      </c>
      <c r="B200" t="s">
        <v>35</v>
      </c>
      <c r="C200" t="s">
        <v>8</v>
      </c>
      <c r="D200" t="s">
        <v>12</v>
      </c>
      <c r="F200" s="5">
        <v>44110</v>
      </c>
      <c r="G200" s="5">
        <v>44127</v>
      </c>
      <c r="H200" s="2">
        <v>2</v>
      </c>
      <c r="I200" s="6"/>
      <c r="J200" s="6"/>
      <c r="K200" s="7">
        <v>0.75</v>
      </c>
      <c r="L200" s="7">
        <v>124.1649</v>
      </c>
      <c r="M200" t="s">
        <v>18</v>
      </c>
      <c r="N200" s="9"/>
      <c r="O200" s="8">
        <f t="array" ref="O200">INDEX(TechRate,MATCH(H200,TechNum,0))</f>
        <v>140</v>
      </c>
      <c r="P200" s="10">
        <f>WorkOrders2[[#This Row],[Techs]]*(WorkOrders2[[#This Row],[PartsCost]]*WorkOrders2[[#This Row],[LbrHrs]])</f>
        <v>186.24735000000001</v>
      </c>
      <c r="Q200" s="10">
        <f t="shared" si="18"/>
        <v>186.24735000000001</v>
      </c>
      <c r="R200" s="10">
        <f t="shared" si="19"/>
        <v>124.1649</v>
      </c>
      <c r="S200" s="10">
        <f t="shared" si="20"/>
        <v>310.41225000000003</v>
      </c>
      <c r="T200" s="10">
        <f t="shared" si="21"/>
        <v>310.41225000000003</v>
      </c>
      <c r="U200" s="8" t="str">
        <f t="shared" si="22"/>
        <v>Tue</v>
      </c>
      <c r="V200" s="8" t="str">
        <f t="shared" si="23"/>
        <v>Fri</v>
      </c>
    </row>
    <row r="201" spans="1:22" hidden="1" x14ac:dyDescent="0.25">
      <c r="A201" t="s">
        <v>130</v>
      </c>
      <c r="B201" t="s">
        <v>35</v>
      </c>
      <c r="C201" t="s">
        <v>8</v>
      </c>
      <c r="D201" t="s">
        <v>12</v>
      </c>
      <c r="F201" s="5">
        <v>44111</v>
      </c>
      <c r="G201" s="5">
        <v>44123</v>
      </c>
      <c r="H201" s="2">
        <v>2</v>
      </c>
      <c r="I201" s="6"/>
      <c r="J201" s="6" t="s">
        <v>3</v>
      </c>
      <c r="K201" s="7">
        <v>0.25</v>
      </c>
      <c r="L201" s="7">
        <v>33</v>
      </c>
      <c r="M201" t="s">
        <v>18</v>
      </c>
      <c r="N201" s="9"/>
      <c r="O201" s="8">
        <f t="array" ref="O201">INDEX(TechRate,MATCH(H201,TechNum,0))</f>
        <v>140</v>
      </c>
      <c r="P201" s="10">
        <f>WorkOrders2[[#This Row],[Techs]]*(WorkOrders2[[#This Row],[PartsCost]]*WorkOrders2[[#This Row],[LbrHrs]])</f>
        <v>16.5</v>
      </c>
      <c r="Q201" s="10">
        <f t="shared" si="18"/>
        <v>16.5</v>
      </c>
      <c r="R201" s="10">
        <f t="shared" si="19"/>
        <v>0</v>
      </c>
      <c r="S201" s="10">
        <f t="shared" si="20"/>
        <v>49.5</v>
      </c>
      <c r="T201" s="10">
        <f t="shared" si="21"/>
        <v>16.5</v>
      </c>
      <c r="U201" s="8" t="str">
        <f t="shared" si="22"/>
        <v>Wed</v>
      </c>
      <c r="V201" s="8" t="str">
        <f t="shared" si="23"/>
        <v>Mon</v>
      </c>
    </row>
    <row r="202" spans="1:22" hidden="1" x14ac:dyDescent="0.25">
      <c r="A202" t="s">
        <v>131</v>
      </c>
      <c r="B202" t="s">
        <v>35</v>
      </c>
      <c r="C202" t="s">
        <v>8</v>
      </c>
      <c r="D202" t="s">
        <v>12</v>
      </c>
      <c r="F202" s="5">
        <v>44111</v>
      </c>
      <c r="G202" s="5">
        <v>44123</v>
      </c>
      <c r="H202" s="2">
        <v>2</v>
      </c>
      <c r="I202" s="6"/>
      <c r="J202" s="6"/>
      <c r="K202" s="7">
        <v>0.5</v>
      </c>
      <c r="L202" s="7">
        <v>154.5</v>
      </c>
      <c r="M202" t="s">
        <v>18</v>
      </c>
      <c r="N202" s="9"/>
      <c r="O202" s="8">
        <f t="array" ref="O202">INDEX(TechRate,MATCH(H202,TechNum,0))</f>
        <v>140</v>
      </c>
      <c r="P202" s="10">
        <f>WorkOrders2[[#This Row],[Techs]]*(WorkOrders2[[#This Row],[PartsCost]]*WorkOrders2[[#This Row],[LbrHrs]])</f>
        <v>154.5</v>
      </c>
      <c r="Q202" s="10">
        <f t="shared" si="18"/>
        <v>154.5</v>
      </c>
      <c r="R202" s="10">
        <f t="shared" si="19"/>
        <v>154.5</v>
      </c>
      <c r="S202" s="10">
        <f t="shared" si="20"/>
        <v>309</v>
      </c>
      <c r="T202" s="10">
        <f t="shared" si="21"/>
        <v>309</v>
      </c>
      <c r="U202" s="8" t="str">
        <f t="shared" si="22"/>
        <v>Wed</v>
      </c>
      <c r="V202" s="8" t="str">
        <f t="shared" si="23"/>
        <v>Mon</v>
      </c>
    </row>
    <row r="203" spans="1:22" hidden="1" x14ac:dyDescent="0.25">
      <c r="A203" t="s">
        <v>134</v>
      </c>
      <c r="B203" t="s">
        <v>35</v>
      </c>
      <c r="C203" t="s">
        <v>8</v>
      </c>
      <c r="D203" t="s">
        <v>13</v>
      </c>
      <c r="F203" s="5">
        <v>44112</v>
      </c>
      <c r="G203" s="5">
        <v>44142</v>
      </c>
      <c r="H203" s="2">
        <v>1</v>
      </c>
      <c r="I203" s="6"/>
      <c r="J203" s="6"/>
      <c r="K203" s="7">
        <v>0.75</v>
      </c>
      <c r="L203" s="7">
        <v>117</v>
      </c>
      <c r="M203" t="s">
        <v>18</v>
      </c>
      <c r="N203" s="9"/>
      <c r="O203" s="8">
        <f t="array" ref="O203">INDEX(TechRate,MATCH(H203,TechNum,0))</f>
        <v>80</v>
      </c>
      <c r="P203" s="10">
        <f>WorkOrders2[[#This Row],[Techs]]*(WorkOrders2[[#This Row],[PartsCost]]*WorkOrders2[[#This Row],[LbrHrs]])</f>
        <v>87.75</v>
      </c>
      <c r="Q203" s="10">
        <f t="shared" si="18"/>
        <v>87.75</v>
      </c>
      <c r="R203" s="10">
        <f t="shared" si="19"/>
        <v>117</v>
      </c>
      <c r="S203" s="10">
        <f t="shared" si="20"/>
        <v>204.75</v>
      </c>
      <c r="T203" s="10">
        <f t="shared" si="21"/>
        <v>204.75</v>
      </c>
      <c r="U203" s="8" t="str">
        <f t="shared" si="22"/>
        <v>Thu</v>
      </c>
      <c r="V203" s="8" t="str">
        <f t="shared" si="23"/>
        <v>Sat</v>
      </c>
    </row>
    <row r="204" spans="1:22" x14ac:dyDescent="0.25">
      <c r="A204" t="s">
        <v>135</v>
      </c>
      <c r="B204" t="s">
        <v>35</v>
      </c>
      <c r="C204" t="s">
        <v>44</v>
      </c>
      <c r="D204" t="s">
        <v>2</v>
      </c>
      <c r="F204" s="5">
        <v>44112</v>
      </c>
      <c r="G204" s="5">
        <v>44145</v>
      </c>
      <c r="H204" s="2">
        <v>2</v>
      </c>
      <c r="I204" s="6"/>
      <c r="J204" s="6"/>
      <c r="K204" s="7">
        <v>1.5</v>
      </c>
      <c r="L204" s="7">
        <v>1575.9739999999999</v>
      </c>
      <c r="M204" t="s">
        <v>18</v>
      </c>
      <c r="N204" s="9"/>
      <c r="O204" s="8">
        <f t="array" ref="O204">INDEX(TechRate,MATCH(H204,TechNum,0))</f>
        <v>140</v>
      </c>
      <c r="P204" s="10">
        <f>WorkOrders2[[#This Row],[Techs]]*(WorkOrders2[[#This Row],[PartsCost]]*WorkOrders2[[#This Row],[LbrHrs]])</f>
        <v>4727.9219999999996</v>
      </c>
      <c r="Q204" s="10">
        <f t="shared" si="18"/>
        <v>4727.9219999999996</v>
      </c>
      <c r="R204" s="10">
        <f t="shared" si="19"/>
        <v>1575.9739999999999</v>
      </c>
      <c r="S204" s="10">
        <f t="shared" si="20"/>
        <v>6303.8959999999997</v>
      </c>
      <c r="T204" s="10">
        <f t="shared" si="21"/>
        <v>6303.8959999999997</v>
      </c>
      <c r="U204" s="8" t="str">
        <f t="shared" si="22"/>
        <v>Thu</v>
      </c>
      <c r="V204" s="8" t="str">
        <f t="shared" si="23"/>
        <v>Tue</v>
      </c>
    </row>
    <row r="205" spans="1:22" hidden="1" x14ac:dyDescent="0.25">
      <c r="A205" t="s">
        <v>143</v>
      </c>
      <c r="B205" t="s">
        <v>35</v>
      </c>
      <c r="C205" t="s">
        <v>6</v>
      </c>
      <c r="D205" t="s">
        <v>12</v>
      </c>
      <c r="E205" t="s">
        <v>3</v>
      </c>
      <c r="F205" s="5">
        <v>44116</v>
      </c>
      <c r="G205" s="5">
        <v>44154</v>
      </c>
      <c r="H205" s="2">
        <v>1</v>
      </c>
      <c r="I205" s="6"/>
      <c r="J205" s="6"/>
      <c r="K205" s="7">
        <v>0.5</v>
      </c>
      <c r="L205" s="7">
        <v>55.935699999999997</v>
      </c>
      <c r="M205" t="s">
        <v>18</v>
      </c>
      <c r="N205" s="9"/>
      <c r="O205" s="8">
        <f t="array" ref="O205">INDEX(TechRate,MATCH(H205,TechNum,0))</f>
        <v>80</v>
      </c>
      <c r="P205" s="10">
        <f>WorkOrders2[[#This Row],[Techs]]*(WorkOrders2[[#This Row],[PartsCost]]*WorkOrders2[[#This Row],[LbrHrs]])</f>
        <v>27.967849999999999</v>
      </c>
      <c r="Q205" s="10">
        <f t="shared" si="18"/>
        <v>27.967849999999999</v>
      </c>
      <c r="R205" s="10">
        <f t="shared" si="19"/>
        <v>55.935699999999997</v>
      </c>
      <c r="S205" s="10">
        <f t="shared" si="20"/>
        <v>83.903549999999996</v>
      </c>
      <c r="T205" s="10">
        <f t="shared" si="21"/>
        <v>83.903549999999996</v>
      </c>
      <c r="U205" s="8" t="str">
        <f t="shared" si="22"/>
        <v>Mon</v>
      </c>
      <c r="V205" s="8" t="str">
        <f t="shared" si="23"/>
        <v>Thu</v>
      </c>
    </row>
    <row r="206" spans="1:22" hidden="1" x14ac:dyDescent="0.25">
      <c r="A206" t="s">
        <v>146</v>
      </c>
      <c r="B206" t="s">
        <v>35</v>
      </c>
      <c r="C206" t="s">
        <v>8</v>
      </c>
      <c r="D206" t="s">
        <v>12</v>
      </c>
      <c r="F206" s="5">
        <v>44118</v>
      </c>
      <c r="G206" s="5">
        <v>44123</v>
      </c>
      <c r="H206" s="2">
        <v>2</v>
      </c>
      <c r="I206" s="6"/>
      <c r="J206" s="6"/>
      <c r="K206" s="7">
        <v>0.5</v>
      </c>
      <c r="L206" s="7">
        <v>66.158000000000001</v>
      </c>
      <c r="M206" t="s">
        <v>17</v>
      </c>
      <c r="N206" s="9"/>
      <c r="O206" s="8">
        <f t="array" ref="O206">INDEX(TechRate,MATCH(H206,TechNum,0))</f>
        <v>140</v>
      </c>
      <c r="P206" s="10">
        <f>WorkOrders2[[#This Row],[Techs]]*(WorkOrders2[[#This Row],[PartsCost]]*WorkOrders2[[#This Row],[LbrHrs]])</f>
        <v>66.158000000000001</v>
      </c>
      <c r="Q206" s="10">
        <f t="shared" si="18"/>
        <v>66.158000000000001</v>
      </c>
      <c r="R206" s="10">
        <f t="shared" si="19"/>
        <v>66.158000000000001</v>
      </c>
      <c r="S206" s="10">
        <f t="shared" si="20"/>
        <v>132.316</v>
      </c>
      <c r="T206" s="10">
        <f t="shared" si="21"/>
        <v>132.316</v>
      </c>
      <c r="U206" s="8" t="str">
        <f t="shared" si="22"/>
        <v>Wed</v>
      </c>
      <c r="V206" s="8" t="str">
        <f t="shared" si="23"/>
        <v>Mon</v>
      </c>
    </row>
    <row r="207" spans="1:22" hidden="1" x14ac:dyDescent="0.25">
      <c r="A207" t="s">
        <v>155</v>
      </c>
      <c r="B207" t="s">
        <v>35</v>
      </c>
      <c r="C207" t="s">
        <v>9</v>
      </c>
      <c r="D207" t="s">
        <v>13</v>
      </c>
      <c r="F207" s="5">
        <v>44123</v>
      </c>
      <c r="G207" s="5">
        <v>44140</v>
      </c>
      <c r="H207" s="2">
        <v>2</v>
      </c>
      <c r="I207" s="6"/>
      <c r="J207" s="6"/>
      <c r="K207" s="7">
        <v>1</v>
      </c>
      <c r="L207" s="7">
        <v>547.08590000000004</v>
      </c>
      <c r="M207" t="s">
        <v>18</v>
      </c>
      <c r="N207" s="9"/>
      <c r="O207" s="8">
        <f t="array" ref="O207">INDEX(TechRate,MATCH(H207,TechNum,0))</f>
        <v>140</v>
      </c>
      <c r="P207" s="10">
        <f>WorkOrders2[[#This Row],[Techs]]*(WorkOrders2[[#This Row],[PartsCost]]*WorkOrders2[[#This Row],[LbrHrs]])</f>
        <v>1094.1718000000001</v>
      </c>
      <c r="Q207" s="10">
        <f t="shared" si="18"/>
        <v>1094.1718000000001</v>
      </c>
      <c r="R207" s="10">
        <f t="shared" si="19"/>
        <v>547.08590000000004</v>
      </c>
      <c r="S207" s="10">
        <f t="shared" si="20"/>
        <v>1641.2577000000001</v>
      </c>
      <c r="T207" s="10">
        <f t="shared" si="21"/>
        <v>1641.2577000000001</v>
      </c>
      <c r="U207" s="8" t="str">
        <f t="shared" si="22"/>
        <v>Mon</v>
      </c>
      <c r="V207" s="8" t="str">
        <f t="shared" si="23"/>
        <v>Thu</v>
      </c>
    </row>
    <row r="208" spans="1:22" hidden="1" x14ac:dyDescent="0.25">
      <c r="A208" t="s">
        <v>157</v>
      </c>
      <c r="B208" t="s">
        <v>35</v>
      </c>
      <c r="C208" t="s">
        <v>8</v>
      </c>
      <c r="D208" t="s">
        <v>12</v>
      </c>
      <c r="F208" s="5">
        <v>44124</v>
      </c>
      <c r="G208" s="5">
        <v>44134</v>
      </c>
      <c r="H208" s="2">
        <v>1</v>
      </c>
      <c r="I208" s="6"/>
      <c r="J208" s="6"/>
      <c r="K208" s="7">
        <v>0.25</v>
      </c>
      <c r="L208" s="7">
        <v>30</v>
      </c>
      <c r="M208" t="s">
        <v>17</v>
      </c>
      <c r="N208" s="9"/>
      <c r="O208" s="8">
        <f t="array" ref="O208">INDEX(TechRate,MATCH(H208,TechNum,0))</f>
        <v>80</v>
      </c>
      <c r="P208" s="10">
        <f>WorkOrders2[[#This Row],[Techs]]*(WorkOrders2[[#This Row],[PartsCost]]*WorkOrders2[[#This Row],[LbrHrs]])</f>
        <v>7.5</v>
      </c>
      <c r="Q208" s="10">
        <f t="shared" si="18"/>
        <v>7.5</v>
      </c>
      <c r="R208" s="10">
        <f t="shared" si="19"/>
        <v>30</v>
      </c>
      <c r="S208" s="10">
        <f t="shared" si="20"/>
        <v>37.5</v>
      </c>
      <c r="T208" s="10">
        <f t="shared" si="21"/>
        <v>37.5</v>
      </c>
      <c r="U208" s="8" t="str">
        <f t="shared" si="22"/>
        <v>Tue</v>
      </c>
      <c r="V208" s="8" t="str">
        <f t="shared" si="23"/>
        <v>Fri</v>
      </c>
    </row>
    <row r="209" spans="1:22" hidden="1" x14ac:dyDescent="0.25">
      <c r="A209" t="s">
        <v>160</v>
      </c>
      <c r="B209" t="s">
        <v>35</v>
      </c>
      <c r="C209" t="s">
        <v>6</v>
      </c>
      <c r="D209" t="s">
        <v>12</v>
      </c>
      <c r="E209" t="s">
        <v>3</v>
      </c>
      <c r="F209" s="5">
        <v>44125</v>
      </c>
      <c r="G209" s="5">
        <v>44140</v>
      </c>
      <c r="H209" s="2">
        <v>2</v>
      </c>
      <c r="I209" s="6"/>
      <c r="J209" s="6"/>
      <c r="K209" s="7">
        <v>0.25</v>
      </c>
      <c r="L209" s="7">
        <v>38.698399999999999</v>
      </c>
      <c r="M209" t="s">
        <v>18</v>
      </c>
      <c r="N209" s="9"/>
      <c r="O209" s="8">
        <f t="array" ref="O209">INDEX(TechRate,MATCH(H209,TechNum,0))</f>
        <v>140</v>
      </c>
      <c r="P209" s="10">
        <f>WorkOrders2[[#This Row],[Techs]]*(WorkOrders2[[#This Row],[PartsCost]]*WorkOrders2[[#This Row],[LbrHrs]])</f>
        <v>19.3492</v>
      </c>
      <c r="Q209" s="10">
        <f t="shared" si="18"/>
        <v>19.3492</v>
      </c>
      <c r="R209" s="10">
        <f t="shared" si="19"/>
        <v>38.698399999999999</v>
      </c>
      <c r="S209" s="10">
        <f t="shared" si="20"/>
        <v>58.047600000000003</v>
      </c>
      <c r="T209" s="10">
        <f t="shared" si="21"/>
        <v>58.047600000000003</v>
      </c>
      <c r="U209" s="8" t="str">
        <f t="shared" si="22"/>
        <v>Wed</v>
      </c>
      <c r="V209" s="8" t="str">
        <f t="shared" si="23"/>
        <v>Thu</v>
      </c>
    </row>
    <row r="210" spans="1:22" hidden="1" x14ac:dyDescent="0.25">
      <c r="A210" t="s">
        <v>161</v>
      </c>
      <c r="B210" t="s">
        <v>35</v>
      </c>
      <c r="C210" t="s">
        <v>44</v>
      </c>
      <c r="D210" t="s">
        <v>12</v>
      </c>
      <c r="E210" t="s">
        <v>3</v>
      </c>
      <c r="F210" s="5">
        <v>44125</v>
      </c>
      <c r="G210" s="5">
        <v>44145</v>
      </c>
      <c r="H210" s="2">
        <v>2</v>
      </c>
      <c r="I210" s="6"/>
      <c r="J210" s="6"/>
      <c r="K210" s="7">
        <v>0.25</v>
      </c>
      <c r="L210" s="7">
        <v>33</v>
      </c>
      <c r="M210" t="s">
        <v>17</v>
      </c>
      <c r="N210" s="9"/>
      <c r="O210" s="8">
        <f t="array" ref="O210">INDEX(TechRate,MATCH(H210,TechNum,0))</f>
        <v>140</v>
      </c>
      <c r="P210" s="10">
        <f>WorkOrders2[[#This Row],[Techs]]*(WorkOrders2[[#This Row],[PartsCost]]*WorkOrders2[[#This Row],[LbrHrs]])</f>
        <v>16.5</v>
      </c>
      <c r="Q210" s="10">
        <f t="shared" si="18"/>
        <v>16.5</v>
      </c>
      <c r="R210" s="10">
        <f t="shared" si="19"/>
        <v>33</v>
      </c>
      <c r="S210" s="10">
        <f t="shared" si="20"/>
        <v>49.5</v>
      </c>
      <c r="T210" s="10">
        <f t="shared" si="21"/>
        <v>49.5</v>
      </c>
      <c r="U210" s="8" t="str">
        <f t="shared" si="22"/>
        <v>Wed</v>
      </c>
      <c r="V210" s="8" t="str">
        <f t="shared" si="23"/>
        <v>Tue</v>
      </c>
    </row>
    <row r="211" spans="1:22" hidden="1" x14ac:dyDescent="0.25">
      <c r="A211" t="s">
        <v>175</v>
      </c>
      <c r="B211" t="s">
        <v>35</v>
      </c>
      <c r="C211" t="s">
        <v>8</v>
      </c>
      <c r="D211" t="s">
        <v>11</v>
      </c>
      <c r="F211" s="5">
        <v>44133</v>
      </c>
      <c r="G211" s="5">
        <v>44141</v>
      </c>
      <c r="H211" s="2">
        <v>1</v>
      </c>
      <c r="I211" s="6"/>
      <c r="J211" s="6"/>
      <c r="K211" s="7">
        <v>0.25</v>
      </c>
      <c r="L211" s="7">
        <v>240</v>
      </c>
      <c r="M211" t="s">
        <v>17</v>
      </c>
      <c r="N211" s="9"/>
      <c r="O211" s="8">
        <f t="array" ref="O211">INDEX(TechRate,MATCH(H211,TechNum,0))</f>
        <v>80</v>
      </c>
      <c r="P211" s="10">
        <f>WorkOrders2[[#This Row],[Techs]]*(WorkOrders2[[#This Row],[PartsCost]]*WorkOrders2[[#This Row],[LbrHrs]])</f>
        <v>60</v>
      </c>
      <c r="Q211" s="10">
        <f t="shared" si="18"/>
        <v>60</v>
      </c>
      <c r="R211" s="10">
        <f t="shared" si="19"/>
        <v>240</v>
      </c>
      <c r="S211" s="10">
        <f t="shared" si="20"/>
        <v>300</v>
      </c>
      <c r="T211" s="10">
        <f t="shared" si="21"/>
        <v>300</v>
      </c>
      <c r="U211" s="8" t="str">
        <f t="shared" si="22"/>
        <v>Thu</v>
      </c>
      <c r="V211" s="8" t="str">
        <f t="shared" si="23"/>
        <v>Fri</v>
      </c>
    </row>
    <row r="212" spans="1:22" hidden="1" x14ac:dyDescent="0.25">
      <c r="A212" t="s">
        <v>176</v>
      </c>
      <c r="B212" t="s">
        <v>35</v>
      </c>
      <c r="C212" t="s">
        <v>44</v>
      </c>
      <c r="D212" t="s">
        <v>11</v>
      </c>
      <c r="F212" s="5">
        <v>44133</v>
      </c>
      <c r="G212" s="5">
        <v>44153</v>
      </c>
      <c r="H212" s="2">
        <v>1</v>
      </c>
      <c r="I212" s="6"/>
      <c r="J212" s="6"/>
      <c r="K212" s="7">
        <v>0.25</v>
      </c>
      <c r="L212" s="7">
        <v>27</v>
      </c>
      <c r="M212" t="s">
        <v>18</v>
      </c>
      <c r="N212" s="9"/>
      <c r="O212" s="8">
        <f t="array" ref="O212">INDEX(TechRate,MATCH(H212,TechNum,0))</f>
        <v>80</v>
      </c>
      <c r="P212" s="10">
        <f>WorkOrders2[[#This Row],[Techs]]*(WorkOrders2[[#This Row],[PartsCost]]*WorkOrders2[[#This Row],[LbrHrs]])</f>
        <v>6.75</v>
      </c>
      <c r="Q212" s="10">
        <f t="shared" si="18"/>
        <v>6.75</v>
      </c>
      <c r="R212" s="10">
        <f t="shared" si="19"/>
        <v>27</v>
      </c>
      <c r="S212" s="10">
        <f t="shared" si="20"/>
        <v>33.75</v>
      </c>
      <c r="T212" s="10">
        <f t="shared" si="21"/>
        <v>33.75</v>
      </c>
      <c r="U212" s="8" t="str">
        <f t="shared" si="22"/>
        <v>Thu</v>
      </c>
      <c r="V212" s="8" t="str">
        <f t="shared" si="23"/>
        <v>Wed</v>
      </c>
    </row>
    <row r="213" spans="1:22" hidden="1" x14ac:dyDescent="0.25">
      <c r="A213" t="s">
        <v>192</v>
      </c>
      <c r="B213" t="s">
        <v>35</v>
      </c>
      <c r="C213" t="s">
        <v>9</v>
      </c>
      <c r="D213" t="s">
        <v>12</v>
      </c>
      <c r="F213" s="5">
        <v>44142</v>
      </c>
      <c r="G213" s="5">
        <v>44174</v>
      </c>
      <c r="H213" s="2">
        <v>2</v>
      </c>
      <c r="I213" s="6"/>
      <c r="J213" s="6"/>
      <c r="K213" s="7">
        <v>0.75</v>
      </c>
      <c r="L213" s="7">
        <v>62.13</v>
      </c>
      <c r="M213" t="s">
        <v>17</v>
      </c>
      <c r="N213" s="9"/>
      <c r="O213" s="8">
        <f t="array" ref="O213">INDEX(TechRate,MATCH(H213,TechNum,0))</f>
        <v>140</v>
      </c>
      <c r="P213" s="10">
        <f>WorkOrders2[[#This Row],[Techs]]*(WorkOrders2[[#This Row],[PartsCost]]*WorkOrders2[[#This Row],[LbrHrs]])</f>
        <v>93.195000000000007</v>
      </c>
      <c r="Q213" s="10">
        <f t="shared" si="18"/>
        <v>93.195000000000007</v>
      </c>
      <c r="R213" s="10">
        <f t="shared" si="19"/>
        <v>62.13</v>
      </c>
      <c r="S213" s="10">
        <f t="shared" si="20"/>
        <v>155.32500000000002</v>
      </c>
      <c r="T213" s="10">
        <f t="shared" si="21"/>
        <v>155.32500000000002</v>
      </c>
      <c r="U213" s="8" t="str">
        <f t="shared" si="22"/>
        <v>Sat</v>
      </c>
      <c r="V213" s="8" t="str">
        <f t="shared" si="23"/>
        <v>Wed</v>
      </c>
    </row>
    <row r="214" spans="1:22" hidden="1" x14ac:dyDescent="0.25">
      <c r="A214" t="s">
        <v>200</v>
      </c>
      <c r="B214" t="s">
        <v>35</v>
      </c>
      <c r="C214" t="s">
        <v>44</v>
      </c>
      <c r="D214" t="s">
        <v>13</v>
      </c>
      <c r="F214" s="5">
        <v>44147</v>
      </c>
      <c r="G214" s="5">
        <v>44154</v>
      </c>
      <c r="H214" s="2">
        <v>2</v>
      </c>
      <c r="I214" s="6"/>
      <c r="J214" s="6"/>
      <c r="K214" s="7">
        <v>0.75</v>
      </c>
      <c r="L214" s="7">
        <v>340.45229999999998</v>
      </c>
      <c r="M214" t="s">
        <v>18</v>
      </c>
      <c r="N214" s="9"/>
      <c r="O214" s="8">
        <f t="array" ref="O214">INDEX(TechRate,MATCH(H214,TechNum,0))</f>
        <v>140</v>
      </c>
      <c r="P214" s="10">
        <f>WorkOrders2[[#This Row],[Techs]]*(WorkOrders2[[#This Row],[PartsCost]]*WorkOrders2[[#This Row],[LbrHrs]])</f>
        <v>510.67845</v>
      </c>
      <c r="Q214" s="10">
        <f t="shared" si="18"/>
        <v>510.67845</v>
      </c>
      <c r="R214" s="10">
        <f t="shared" si="19"/>
        <v>340.45229999999998</v>
      </c>
      <c r="S214" s="10">
        <f t="shared" si="20"/>
        <v>851.13075000000003</v>
      </c>
      <c r="T214" s="10">
        <f t="shared" si="21"/>
        <v>851.13075000000003</v>
      </c>
      <c r="U214" s="8" t="str">
        <f t="shared" si="22"/>
        <v>Thu</v>
      </c>
      <c r="V214" s="8" t="str">
        <f t="shared" si="23"/>
        <v>Thu</v>
      </c>
    </row>
    <row r="215" spans="1:22" hidden="1" x14ac:dyDescent="0.25">
      <c r="A215" t="s">
        <v>212</v>
      </c>
      <c r="B215" t="s">
        <v>35</v>
      </c>
      <c r="C215" t="s">
        <v>9</v>
      </c>
      <c r="D215" t="s">
        <v>12</v>
      </c>
      <c r="F215" s="5">
        <v>44154</v>
      </c>
      <c r="G215" s="5">
        <v>44168</v>
      </c>
      <c r="H215" s="2">
        <v>2</v>
      </c>
      <c r="I215" s="6"/>
      <c r="J215" s="6"/>
      <c r="K215" s="7">
        <v>0.25</v>
      </c>
      <c r="L215" s="7">
        <v>21.33</v>
      </c>
      <c r="M215" t="s">
        <v>17</v>
      </c>
      <c r="N215" s="9"/>
      <c r="O215" s="8">
        <f t="array" ref="O215">INDEX(TechRate,MATCH(H215,TechNum,0))</f>
        <v>140</v>
      </c>
      <c r="P215" s="10">
        <f>WorkOrders2[[#This Row],[Techs]]*(WorkOrders2[[#This Row],[PartsCost]]*WorkOrders2[[#This Row],[LbrHrs]])</f>
        <v>10.664999999999999</v>
      </c>
      <c r="Q215" s="10">
        <f t="shared" si="18"/>
        <v>10.664999999999999</v>
      </c>
      <c r="R215" s="10">
        <f t="shared" si="19"/>
        <v>21.33</v>
      </c>
      <c r="S215" s="10">
        <f t="shared" si="20"/>
        <v>31.994999999999997</v>
      </c>
      <c r="T215" s="10">
        <f t="shared" si="21"/>
        <v>31.994999999999997</v>
      </c>
      <c r="U215" s="8" t="str">
        <f t="shared" si="22"/>
        <v>Thu</v>
      </c>
      <c r="V215" s="8" t="str">
        <f t="shared" si="23"/>
        <v>Thu</v>
      </c>
    </row>
    <row r="216" spans="1:22" hidden="1" x14ac:dyDescent="0.25">
      <c r="A216" t="s">
        <v>214</v>
      </c>
      <c r="B216" t="s">
        <v>35</v>
      </c>
      <c r="C216" t="s">
        <v>6</v>
      </c>
      <c r="D216" t="s">
        <v>13</v>
      </c>
      <c r="F216" s="5">
        <v>44154</v>
      </c>
      <c r="G216" s="5">
        <v>44182</v>
      </c>
      <c r="H216" s="2">
        <v>2</v>
      </c>
      <c r="I216" s="6"/>
      <c r="J216" s="6"/>
      <c r="K216" s="7">
        <v>0.5</v>
      </c>
      <c r="L216" s="7">
        <v>1579.4</v>
      </c>
      <c r="M216" t="s">
        <v>17</v>
      </c>
      <c r="N216" s="9"/>
      <c r="O216" s="8">
        <f t="array" ref="O216">INDEX(TechRate,MATCH(H216,TechNum,0))</f>
        <v>140</v>
      </c>
      <c r="P216" s="10">
        <f>WorkOrders2[[#This Row],[Techs]]*(WorkOrders2[[#This Row],[PartsCost]]*WorkOrders2[[#This Row],[LbrHrs]])</f>
        <v>1579.4</v>
      </c>
      <c r="Q216" s="10">
        <f t="shared" si="18"/>
        <v>1579.4</v>
      </c>
      <c r="R216" s="10">
        <f t="shared" si="19"/>
        <v>1579.4</v>
      </c>
      <c r="S216" s="10">
        <f t="shared" si="20"/>
        <v>3158.8</v>
      </c>
      <c r="T216" s="10">
        <f t="shared" si="21"/>
        <v>3158.8</v>
      </c>
      <c r="U216" s="8" t="str">
        <f t="shared" si="22"/>
        <v>Thu</v>
      </c>
      <c r="V216" s="8" t="str">
        <f t="shared" si="23"/>
        <v>Thu</v>
      </c>
    </row>
    <row r="217" spans="1:22" hidden="1" x14ac:dyDescent="0.25">
      <c r="A217" t="s">
        <v>217</v>
      </c>
      <c r="B217" t="s">
        <v>35</v>
      </c>
      <c r="C217" t="s">
        <v>8</v>
      </c>
      <c r="D217" t="s">
        <v>1</v>
      </c>
      <c r="F217" s="5">
        <v>44158</v>
      </c>
      <c r="G217" s="5">
        <v>44201</v>
      </c>
      <c r="H217" s="2">
        <v>1</v>
      </c>
      <c r="I217" s="6"/>
      <c r="J217" s="6"/>
      <c r="K217" s="7">
        <v>2.5</v>
      </c>
      <c r="L217" s="7">
        <v>689.15409999999997</v>
      </c>
      <c r="M217" t="s">
        <v>19</v>
      </c>
      <c r="N217" s="9"/>
      <c r="O217" s="8">
        <f t="array" ref="O217">INDEX(TechRate,MATCH(H217,TechNum,0))</f>
        <v>80</v>
      </c>
      <c r="P217" s="10">
        <f>WorkOrders2[[#This Row],[Techs]]*(WorkOrders2[[#This Row],[PartsCost]]*WorkOrders2[[#This Row],[LbrHrs]])</f>
        <v>1722.8852499999998</v>
      </c>
      <c r="Q217" s="10">
        <f t="shared" si="18"/>
        <v>1722.8852499999998</v>
      </c>
      <c r="R217" s="10">
        <f t="shared" si="19"/>
        <v>689.15409999999997</v>
      </c>
      <c r="S217" s="10">
        <f t="shared" si="20"/>
        <v>2412.03935</v>
      </c>
      <c r="T217" s="10">
        <f t="shared" si="21"/>
        <v>2412.03935</v>
      </c>
      <c r="U217" s="8" t="str">
        <f t="shared" si="22"/>
        <v>Mon</v>
      </c>
      <c r="V217" s="8" t="str">
        <f t="shared" si="23"/>
        <v>Tue</v>
      </c>
    </row>
    <row r="218" spans="1:22" hidden="1" x14ac:dyDescent="0.25">
      <c r="A218" t="s">
        <v>221</v>
      </c>
      <c r="B218" t="s">
        <v>35</v>
      </c>
      <c r="C218" t="s">
        <v>8</v>
      </c>
      <c r="D218" t="s">
        <v>11</v>
      </c>
      <c r="E218" t="s">
        <v>3</v>
      </c>
      <c r="F218" s="5">
        <v>44159</v>
      </c>
      <c r="G218" s="5">
        <v>44161</v>
      </c>
      <c r="H218" s="2">
        <v>1</v>
      </c>
      <c r="I218" s="6"/>
      <c r="J218" s="6"/>
      <c r="K218" s="7">
        <v>0.25</v>
      </c>
      <c r="L218" s="7">
        <v>21.33</v>
      </c>
      <c r="M218" t="s">
        <v>17</v>
      </c>
      <c r="N218" s="9"/>
      <c r="O218" s="8">
        <f t="array" ref="O218">INDEX(TechRate,MATCH(H218,TechNum,0))</f>
        <v>80</v>
      </c>
      <c r="P218" s="10">
        <f>WorkOrders2[[#This Row],[Techs]]*(WorkOrders2[[#This Row],[PartsCost]]*WorkOrders2[[#This Row],[LbrHrs]])</f>
        <v>5.3324999999999996</v>
      </c>
      <c r="Q218" s="10">
        <f t="shared" si="18"/>
        <v>5.3324999999999996</v>
      </c>
      <c r="R218" s="10">
        <f t="shared" si="19"/>
        <v>21.33</v>
      </c>
      <c r="S218" s="10">
        <f t="shared" si="20"/>
        <v>26.662499999999998</v>
      </c>
      <c r="T218" s="10">
        <f t="shared" si="21"/>
        <v>26.662499999999998</v>
      </c>
      <c r="U218" s="8" t="str">
        <f t="shared" si="22"/>
        <v>Tue</v>
      </c>
      <c r="V218" s="8" t="str">
        <f t="shared" si="23"/>
        <v>Thu</v>
      </c>
    </row>
    <row r="219" spans="1:22" hidden="1" x14ac:dyDescent="0.25">
      <c r="A219" t="s">
        <v>223</v>
      </c>
      <c r="B219" t="s">
        <v>35</v>
      </c>
      <c r="C219" t="s">
        <v>6</v>
      </c>
      <c r="D219" t="s">
        <v>13</v>
      </c>
      <c r="F219" s="5">
        <v>44159</v>
      </c>
      <c r="G219" s="5">
        <v>44168</v>
      </c>
      <c r="H219" s="2">
        <v>2</v>
      </c>
      <c r="I219" s="6"/>
      <c r="J219" s="6"/>
      <c r="K219" s="7">
        <v>0.75</v>
      </c>
      <c r="L219" s="7">
        <v>212.0085</v>
      </c>
      <c r="M219" t="s">
        <v>17</v>
      </c>
      <c r="N219" s="9"/>
      <c r="O219" s="8">
        <f t="array" ref="O219">INDEX(TechRate,MATCH(H219,TechNum,0))</f>
        <v>140</v>
      </c>
      <c r="P219" s="10">
        <f>WorkOrders2[[#This Row],[Techs]]*(WorkOrders2[[#This Row],[PartsCost]]*WorkOrders2[[#This Row],[LbrHrs]])</f>
        <v>318.01274999999998</v>
      </c>
      <c r="Q219" s="10">
        <f t="shared" si="18"/>
        <v>318.01274999999998</v>
      </c>
      <c r="R219" s="10">
        <f t="shared" si="19"/>
        <v>212.0085</v>
      </c>
      <c r="S219" s="10">
        <f t="shared" si="20"/>
        <v>530.02125000000001</v>
      </c>
      <c r="T219" s="10">
        <f t="shared" si="21"/>
        <v>530.02125000000001</v>
      </c>
      <c r="U219" s="8" t="str">
        <f t="shared" si="22"/>
        <v>Tue</v>
      </c>
      <c r="V219" s="8" t="str">
        <f t="shared" si="23"/>
        <v>Thu</v>
      </c>
    </row>
    <row r="220" spans="1:22" x14ac:dyDescent="0.25">
      <c r="A220" t="s">
        <v>224</v>
      </c>
      <c r="B220" t="s">
        <v>35</v>
      </c>
      <c r="C220" t="s">
        <v>8</v>
      </c>
      <c r="D220" t="s">
        <v>2</v>
      </c>
      <c r="F220" s="5">
        <v>44159</v>
      </c>
      <c r="G220" s="5">
        <v>44172</v>
      </c>
      <c r="H220" s="2">
        <v>1</v>
      </c>
      <c r="I220" s="6"/>
      <c r="J220" s="6"/>
      <c r="K220" s="7">
        <v>1</v>
      </c>
      <c r="L220" s="7">
        <v>341.2672</v>
      </c>
      <c r="M220" t="s">
        <v>18</v>
      </c>
      <c r="N220" s="9"/>
      <c r="O220" s="8">
        <f t="array" ref="O220">INDEX(TechRate,MATCH(H220,TechNum,0))</f>
        <v>80</v>
      </c>
      <c r="P220" s="10">
        <f>WorkOrders2[[#This Row],[Techs]]*(WorkOrders2[[#This Row],[PartsCost]]*WorkOrders2[[#This Row],[LbrHrs]])</f>
        <v>341.2672</v>
      </c>
      <c r="Q220" s="10">
        <f t="shared" si="18"/>
        <v>341.2672</v>
      </c>
      <c r="R220" s="10">
        <f t="shared" si="19"/>
        <v>341.2672</v>
      </c>
      <c r="S220" s="10">
        <f t="shared" si="20"/>
        <v>682.53440000000001</v>
      </c>
      <c r="T220" s="10">
        <f t="shared" si="21"/>
        <v>682.53440000000001</v>
      </c>
      <c r="U220" s="8" t="str">
        <f t="shared" si="22"/>
        <v>Tue</v>
      </c>
      <c r="V220" s="8" t="str">
        <f t="shared" si="23"/>
        <v>Mon</v>
      </c>
    </row>
    <row r="221" spans="1:22" hidden="1" x14ac:dyDescent="0.25">
      <c r="A221" t="s">
        <v>231</v>
      </c>
      <c r="B221" t="s">
        <v>35</v>
      </c>
      <c r="C221" t="s">
        <v>9</v>
      </c>
      <c r="D221" t="s">
        <v>11</v>
      </c>
      <c r="E221" t="s">
        <v>3</v>
      </c>
      <c r="F221" s="5">
        <v>44161</v>
      </c>
      <c r="G221" s="5">
        <v>44168</v>
      </c>
      <c r="H221" s="2">
        <v>1</v>
      </c>
      <c r="I221" s="6"/>
      <c r="J221" s="6"/>
      <c r="K221" s="7">
        <v>0.25</v>
      </c>
      <c r="L221" s="7">
        <v>45.99</v>
      </c>
      <c r="M221" t="s">
        <v>19</v>
      </c>
      <c r="N221" s="9"/>
      <c r="O221" s="8">
        <f t="array" ref="O221">INDEX(TechRate,MATCH(H221,TechNum,0))</f>
        <v>80</v>
      </c>
      <c r="P221" s="10">
        <f>WorkOrders2[[#This Row],[Techs]]*(WorkOrders2[[#This Row],[PartsCost]]*WorkOrders2[[#This Row],[LbrHrs]])</f>
        <v>11.4975</v>
      </c>
      <c r="Q221" s="10">
        <f t="shared" si="18"/>
        <v>11.4975</v>
      </c>
      <c r="R221" s="10">
        <f t="shared" si="19"/>
        <v>45.99</v>
      </c>
      <c r="S221" s="10">
        <f t="shared" si="20"/>
        <v>57.487500000000004</v>
      </c>
      <c r="T221" s="10">
        <f t="shared" si="21"/>
        <v>57.487500000000004</v>
      </c>
      <c r="U221" s="8" t="str">
        <f t="shared" si="22"/>
        <v>Thu</v>
      </c>
      <c r="V221" s="8" t="str">
        <f t="shared" si="23"/>
        <v>Thu</v>
      </c>
    </row>
    <row r="222" spans="1:22" hidden="1" x14ac:dyDescent="0.25">
      <c r="A222" t="s">
        <v>233</v>
      </c>
      <c r="B222" t="s">
        <v>35</v>
      </c>
      <c r="C222" t="s">
        <v>6</v>
      </c>
      <c r="D222" t="s">
        <v>12</v>
      </c>
      <c r="F222" s="5">
        <v>44161</v>
      </c>
      <c r="G222" s="5">
        <v>44207</v>
      </c>
      <c r="H222" s="2">
        <v>1</v>
      </c>
      <c r="I222" s="6"/>
      <c r="J222" s="6"/>
      <c r="K222" s="7">
        <v>0.25</v>
      </c>
      <c r="L222" s="7">
        <v>21.33</v>
      </c>
      <c r="M222" t="s">
        <v>18</v>
      </c>
      <c r="N222" s="9"/>
      <c r="O222" s="8">
        <f t="array" ref="O222">INDEX(TechRate,MATCH(H222,TechNum,0))</f>
        <v>80</v>
      </c>
      <c r="P222" s="10">
        <f>WorkOrders2[[#This Row],[Techs]]*(WorkOrders2[[#This Row],[PartsCost]]*WorkOrders2[[#This Row],[LbrHrs]])</f>
        <v>5.3324999999999996</v>
      </c>
      <c r="Q222" s="10">
        <f t="shared" si="18"/>
        <v>5.3324999999999996</v>
      </c>
      <c r="R222" s="10">
        <f t="shared" si="19"/>
        <v>21.33</v>
      </c>
      <c r="S222" s="10">
        <f t="shared" si="20"/>
        <v>26.662499999999998</v>
      </c>
      <c r="T222" s="10">
        <f t="shared" si="21"/>
        <v>26.662499999999998</v>
      </c>
      <c r="U222" s="8" t="str">
        <f t="shared" si="22"/>
        <v>Thu</v>
      </c>
      <c r="V222" s="8" t="str">
        <f t="shared" si="23"/>
        <v>Mon</v>
      </c>
    </row>
    <row r="223" spans="1:22" hidden="1" x14ac:dyDescent="0.25">
      <c r="A223" t="s">
        <v>234</v>
      </c>
      <c r="B223" t="s">
        <v>35</v>
      </c>
      <c r="C223" t="s">
        <v>44</v>
      </c>
      <c r="D223" t="s">
        <v>11</v>
      </c>
      <c r="E223" t="s">
        <v>3</v>
      </c>
      <c r="F223" s="5">
        <v>44161</v>
      </c>
      <c r="G223" s="5">
        <v>44244</v>
      </c>
      <c r="H223" s="2">
        <v>1</v>
      </c>
      <c r="I223" s="6"/>
      <c r="J223" s="6"/>
      <c r="K223" s="7">
        <v>0.25</v>
      </c>
      <c r="L223" s="7">
        <v>37.26</v>
      </c>
      <c r="M223" t="s">
        <v>17</v>
      </c>
      <c r="N223" s="9"/>
      <c r="O223" s="8">
        <f t="array" ref="O223">INDEX(TechRate,MATCH(H223,TechNum,0))</f>
        <v>80</v>
      </c>
      <c r="P223" s="10">
        <f>WorkOrders2[[#This Row],[Techs]]*(WorkOrders2[[#This Row],[PartsCost]]*WorkOrders2[[#This Row],[LbrHrs]])</f>
        <v>9.3149999999999995</v>
      </c>
      <c r="Q223" s="10">
        <f t="shared" si="18"/>
        <v>9.3149999999999995</v>
      </c>
      <c r="R223" s="10">
        <f t="shared" si="19"/>
        <v>37.26</v>
      </c>
      <c r="S223" s="10">
        <f t="shared" si="20"/>
        <v>46.574999999999996</v>
      </c>
      <c r="T223" s="10">
        <f t="shared" si="21"/>
        <v>46.574999999999996</v>
      </c>
      <c r="U223" s="8" t="str">
        <f t="shared" si="22"/>
        <v>Thu</v>
      </c>
      <c r="V223" s="8" t="str">
        <f t="shared" si="23"/>
        <v>Wed</v>
      </c>
    </row>
    <row r="224" spans="1:22" hidden="1" x14ac:dyDescent="0.25">
      <c r="A224" t="s">
        <v>244</v>
      </c>
      <c r="B224" t="s">
        <v>35</v>
      </c>
      <c r="C224" t="s">
        <v>8</v>
      </c>
      <c r="D224" t="s">
        <v>12</v>
      </c>
      <c r="F224" s="5">
        <v>44167</v>
      </c>
      <c r="G224" s="5">
        <v>44182</v>
      </c>
      <c r="H224" s="2">
        <v>1</v>
      </c>
      <c r="I224" s="6"/>
      <c r="J224" s="6"/>
      <c r="K224" s="7">
        <v>0.5</v>
      </c>
      <c r="L224" s="7">
        <v>30</v>
      </c>
      <c r="M224" t="s">
        <v>18</v>
      </c>
      <c r="N224" s="9"/>
      <c r="O224" s="8">
        <f t="array" ref="O224">INDEX(TechRate,MATCH(H224,TechNum,0))</f>
        <v>80</v>
      </c>
      <c r="P224" s="10">
        <f>WorkOrders2[[#This Row],[Techs]]*(WorkOrders2[[#This Row],[PartsCost]]*WorkOrders2[[#This Row],[LbrHrs]])</f>
        <v>15</v>
      </c>
      <c r="Q224" s="10">
        <f t="shared" si="18"/>
        <v>15</v>
      </c>
      <c r="R224" s="10">
        <f t="shared" si="19"/>
        <v>30</v>
      </c>
      <c r="S224" s="10">
        <f t="shared" si="20"/>
        <v>45</v>
      </c>
      <c r="T224" s="10">
        <f t="shared" si="21"/>
        <v>45</v>
      </c>
      <c r="U224" s="8" t="str">
        <f t="shared" si="22"/>
        <v>Wed</v>
      </c>
      <c r="V224" s="8" t="str">
        <f t="shared" si="23"/>
        <v>Thu</v>
      </c>
    </row>
    <row r="225" spans="1:22" hidden="1" x14ac:dyDescent="0.25">
      <c r="A225" t="s">
        <v>245</v>
      </c>
      <c r="B225" t="s">
        <v>35</v>
      </c>
      <c r="C225" t="s">
        <v>8</v>
      </c>
      <c r="D225" t="s">
        <v>12</v>
      </c>
      <c r="E225" t="s">
        <v>3</v>
      </c>
      <c r="F225" s="5">
        <v>44167</v>
      </c>
      <c r="G225" s="5">
        <v>44180</v>
      </c>
      <c r="H225" s="2">
        <v>1</v>
      </c>
      <c r="I225" s="6"/>
      <c r="J225" s="6"/>
      <c r="K225" s="7">
        <v>0.5</v>
      </c>
      <c r="L225" s="7">
        <v>52.8994</v>
      </c>
      <c r="M225" t="s">
        <v>18</v>
      </c>
      <c r="N225" s="9"/>
      <c r="O225" s="8">
        <f t="array" ref="O225">INDEX(TechRate,MATCH(H225,TechNum,0))</f>
        <v>80</v>
      </c>
      <c r="P225" s="10">
        <f>WorkOrders2[[#This Row],[Techs]]*(WorkOrders2[[#This Row],[PartsCost]]*WorkOrders2[[#This Row],[LbrHrs]])</f>
        <v>26.4497</v>
      </c>
      <c r="Q225" s="10">
        <f t="shared" si="18"/>
        <v>26.4497</v>
      </c>
      <c r="R225" s="10">
        <f t="shared" si="19"/>
        <v>52.8994</v>
      </c>
      <c r="S225" s="10">
        <f t="shared" si="20"/>
        <v>79.349099999999993</v>
      </c>
      <c r="T225" s="10">
        <f t="shared" si="21"/>
        <v>79.349099999999993</v>
      </c>
      <c r="U225" s="8" t="str">
        <f t="shared" si="22"/>
        <v>Wed</v>
      </c>
      <c r="V225" s="8" t="str">
        <f t="shared" si="23"/>
        <v>Tue</v>
      </c>
    </row>
    <row r="226" spans="1:22" hidden="1" x14ac:dyDescent="0.25">
      <c r="A226" t="s">
        <v>246</v>
      </c>
      <c r="B226" t="s">
        <v>35</v>
      </c>
      <c r="C226" t="s">
        <v>44</v>
      </c>
      <c r="D226" t="s">
        <v>11</v>
      </c>
      <c r="E226" t="s">
        <v>3</v>
      </c>
      <c r="F226" s="5">
        <v>44167</v>
      </c>
      <c r="G226" s="5">
        <v>44182</v>
      </c>
      <c r="H226" s="2">
        <v>1</v>
      </c>
      <c r="I226" s="6"/>
      <c r="J226" s="6"/>
      <c r="K226" s="7">
        <v>0.25</v>
      </c>
      <c r="L226" s="7">
        <v>36.754399999999997</v>
      </c>
      <c r="M226" t="s">
        <v>17</v>
      </c>
      <c r="N226" s="9"/>
      <c r="O226" s="8">
        <f t="array" ref="O226">INDEX(TechRate,MATCH(H226,TechNum,0))</f>
        <v>80</v>
      </c>
      <c r="P226" s="10">
        <f>WorkOrders2[[#This Row],[Techs]]*(WorkOrders2[[#This Row],[PartsCost]]*WorkOrders2[[#This Row],[LbrHrs]])</f>
        <v>9.1885999999999992</v>
      </c>
      <c r="Q226" s="10">
        <f t="shared" si="18"/>
        <v>9.1885999999999992</v>
      </c>
      <c r="R226" s="10">
        <f t="shared" si="19"/>
        <v>36.754399999999997</v>
      </c>
      <c r="S226" s="10">
        <f t="shared" si="20"/>
        <v>45.942999999999998</v>
      </c>
      <c r="T226" s="10">
        <f t="shared" si="21"/>
        <v>45.942999999999998</v>
      </c>
      <c r="U226" s="8" t="str">
        <f t="shared" si="22"/>
        <v>Wed</v>
      </c>
      <c r="V226" s="8" t="str">
        <f t="shared" si="23"/>
        <v>Thu</v>
      </c>
    </row>
    <row r="227" spans="1:22" hidden="1" x14ac:dyDescent="0.25">
      <c r="A227" t="s">
        <v>248</v>
      </c>
      <c r="B227" t="s">
        <v>35</v>
      </c>
      <c r="C227" t="s">
        <v>44</v>
      </c>
      <c r="D227" t="s">
        <v>13</v>
      </c>
      <c r="E227" t="s">
        <v>3</v>
      </c>
      <c r="F227" s="5">
        <v>44167</v>
      </c>
      <c r="G227" s="5">
        <v>44223</v>
      </c>
      <c r="H227" s="2">
        <v>1</v>
      </c>
      <c r="I227" s="6"/>
      <c r="J227" s="6"/>
      <c r="K227" s="7">
        <v>0.75</v>
      </c>
      <c r="L227" s="7">
        <v>42.66</v>
      </c>
      <c r="M227" t="s">
        <v>17</v>
      </c>
      <c r="N227" s="9"/>
      <c r="O227" s="8">
        <f t="array" ref="O227">INDEX(TechRate,MATCH(H227,TechNum,0))</f>
        <v>80</v>
      </c>
      <c r="P227" s="10">
        <f>WorkOrders2[[#This Row],[Techs]]*(WorkOrders2[[#This Row],[PartsCost]]*WorkOrders2[[#This Row],[LbrHrs]])</f>
        <v>31.994999999999997</v>
      </c>
      <c r="Q227" s="10">
        <f t="shared" si="18"/>
        <v>31.994999999999997</v>
      </c>
      <c r="R227" s="10">
        <f t="shared" si="19"/>
        <v>42.66</v>
      </c>
      <c r="S227" s="10">
        <f t="shared" si="20"/>
        <v>74.655000000000001</v>
      </c>
      <c r="T227" s="10">
        <f t="shared" si="21"/>
        <v>74.655000000000001</v>
      </c>
      <c r="U227" s="8" t="str">
        <f t="shared" si="22"/>
        <v>Wed</v>
      </c>
      <c r="V227" s="8" t="str">
        <f t="shared" si="23"/>
        <v>Wed</v>
      </c>
    </row>
    <row r="228" spans="1:22" hidden="1" x14ac:dyDescent="0.25">
      <c r="A228" t="s">
        <v>251</v>
      </c>
      <c r="B228" t="s">
        <v>35</v>
      </c>
      <c r="C228" t="s">
        <v>9</v>
      </c>
      <c r="D228" t="s">
        <v>11</v>
      </c>
      <c r="E228" t="s">
        <v>3</v>
      </c>
      <c r="F228" s="5">
        <v>44168</v>
      </c>
      <c r="G228" s="5">
        <v>44221</v>
      </c>
      <c r="H228" s="2">
        <v>1</v>
      </c>
      <c r="I228" s="6"/>
      <c r="J228" s="6"/>
      <c r="K228" s="7">
        <v>0.25</v>
      </c>
      <c r="L228" s="7">
        <v>36.972099999999998</v>
      </c>
      <c r="M228" t="s">
        <v>18</v>
      </c>
      <c r="N228" s="9"/>
      <c r="O228" s="8">
        <f t="array" ref="O228">INDEX(TechRate,MATCH(H228,TechNum,0))</f>
        <v>80</v>
      </c>
      <c r="P228" s="10">
        <f>WorkOrders2[[#This Row],[Techs]]*(WorkOrders2[[#This Row],[PartsCost]]*WorkOrders2[[#This Row],[LbrHrs]])</f>
        <v>9.2430249999999994</v>
      </c>
      <c r="Q228" s="10">
        <f t="shared" si="18"/>
        <v>9.2430249999999994</v>
      </c>
      <c r="R228" s="10">
        <f t="shared" si="19"/>
        <v>36.972099999999998</v>
      </c>
      <c r="S228" s="10">
        <f t="shared" si="20"/>
        <v>46.215125</v>
      </c>
      <c r="T228" s="10">
        <f t="shared" si="21"/>
        <v>46.215125</v>
      </c>
      <c r="U228" s="8" t="str">
        <f t="shared" si="22"/>
        <v>Thu</v>
      </c>
      <c r="V228" s="8" t="str">
        <f t="shared" si="23"/>
        <v>Mon</v>
      </c>
    </row>
    <row r="229" spans="1:22" hidden="1" x14ac:dyDescent="0.25">
      <c r="A229" t="s">
        <v>256</v>
      </c>
      <c r="B229" t="s">
        <v>35</v>
      </c>
      <c r="C229" t="s">
        <v>6</v>
      </c>
      <c r="D229" t="s">
        <v>13</v>
      </c>
      <c r="F229" s="5">
        <v>44172</v>
      </c>
      <c r="G229" s="5">
        <v>44207</v>
      </c>
      <c r="H229" s="2">
        <v>1</v>
      </c>
      <c r="I229" s="6"/>
      <c r="J229" s="6"/>
      <c r="K229" s="7">
        <v>0.5</v>
      </c>
      <c r="L229" s="7">
        <v>367.71109999999999</v>
      </c>
      <c r="M229" t="s">
        <v>19</v>
      </c>
      <c r="N229" s="9"/>
      <c r="O229" s="8">
        <f t="array" ref="O229">INDEX(TechRate,MATCH(H229,TechNum,0))</f>
        <v>80</v>
      </c>
      <c r="P229" s="10">
        <f>WorkOrders2[[#This Row],[Techs]]*(WorkOrders2[[#This Row],[PartsCost]]*WorkOrders2[[#This Row],[LbrHrs]])</f>
        <v>183.85554999999999</v>
      </c>
      <c r="Q229" s="10">
        <f t="shared" si="18"/>
        <v>183.85554999999999</v>
      </c>
      <c r="R229" s="10">
        <f t="shared" si="19"/>
        <v>367.71109999999999</v>
      </c>
      <c r="S229" s="10">
        <f t="shared" si="20"/>
        <v>551.56664999999998</v>
      </c>
      <c r="T229" s="10">
        <f t="shared" si="21"/>
        <v>551.56664999999998</v>
      </c>
      <c r="U229" s="8" t="str">
        <f t="shared" si="22"/>
        <v>Mon</v>
      </c>
      <c r="V229" s="8" t="str">
        <f t="shared" si="23"/>
        <v>Mon</v>
      </c>
    </row>
    <row r="230" spans="1:22" hidden="1" x14ac:dyDescent="0.25">
      <c r="A230" t="s">
        <v>260</v>
      </c>
      <c r="B230" t="s">
        <v>35</v>
      </c>
      <c r="C230" t="s">
        <v>44</v>
      </c>
      <c r="D230" t="s">
        <v>13</v>
      </c>
      <c r="E230" t="s">
        <v>3</v>
      </c>
      <c r="F230" s="5">
        <v>44173</v>
      </c>
      <c r="G230" s="5">
        <v>44239</v>
      </c>
      <c r="H230" s="2">
        <v>2</v>
      </c>
      <c r="I230" s="6"/>
      <c r="J230" s="6"/>
      <c r="K230" s="7">
        <v>0.75</v>
      </c>
      <c r="L230" s="7">
        <v>35.450000000000003</v>
      </c>
      <c r="M230" t="s">
        <v>17</v>
      </c>
      <c r="N230" s="9"/>
      <c r="O230" s="8">
        <f t="array" ref="O230">INDEX(TechRate,MATCH(H230,TechNum,0))</f>
        <v>140</v>
      </c>
      <c r="P230" s="10">
        <f>WorkOrders2[[#This Row],[Techs]]*(WorkOrders2[[#This Row],[PartsCost]]*WorkOrders2[[#This Row],[LbrHrs]])</f>
        <v>53.175000000000004</v>
      </c>
      <c r="Q230" s="10">
        <f t="shared" si="18"/>
        <v>53.175000000000004</v>
      </c>
      <c r="R230" s="10">
        <f t="shared" si="19"/>
        <v>35.450000000000003</v>
      </c>
      <c r="S230" s="10">
        <f t="shared" si="20"/>
        <v>88.625</v>
      </c>
      <c r="T230" s="10">
        <f t="shared" si="21"/>
        <v>88.625</v>
      </c>
      <c r="U230" s="8" t="str">
        <f t="shared" si="22"/>
        <v>Tue</v>
      </c>
      <c r="V230" s="8" t="str">
        <f t="shared" si="23"/>
        <v>Fri</v>
      </c>
    </row>
    <row r="231" spans="1:22" hidden="1" x14ac:dyDescent="0.25">
      <c r="A231" t="s">
        <v>262</v>
      </c>
      <c r="B231" t="s">
        <v>35</v>
      </c>
      <c r="C231" t="s">
        <v>44</v>
      </c>
      <c r="D231" t="s">
        <v>11</v>
      </c>
      <c r="F231" s="5">
        <v>44174</v>
      </c>
      <c r="G231" s="5">
        <v>44207</v>
      </c>
      <c r="H231" s="2">
        <v>1</v>
      </c>
      <c r="I231" s="6"/>
      <c r="J231" s="6"/>
      <c r="K231" s="7">
        <v>0.25</v>
      </c>
      <c r="L231" s="7">
        <v>37.262799999999999</v>
      </c>
      <c r="M231" t="s">
        <v>18</v>
      </c>
      <c r="N231" s="9"/>
      <c r="O231" s="8">
        <f t="array" ref="O231">INDEX(TechRate,MATCH(H231,TechNum,0))</f>
        <v>80</v>
      </c>
      <c r="P231" s="10">
        <f>WorkOrders2[[#This Row],[Techs]]*(WorkOrders2[[#This Row],[PartsCost]]*WorkOrders2[[#This Row],[LbrHrs]])</f>
        <v>9.3156999999999996</v>
      </c>
      <c r="Q231" s="10">
        <f t="shared" si="18"/>
        <v>9.3156999999999996</v>
      </c>
      <c r="R231" s="10">
        <f t="shared" si="19"/>
        <v>37.262799999999999</v>
      </c>
      <c r="S231" s="10">
        <f t="shared" si="20"/>
        <v>46.578499999999998</v>
      </c>
      <c r="T231" s="10">
        <f t="shared" si="21"/>
        <v>46.578499999999998</v>
      </c>
      <c r="U231" s="8" t="str">
        <f t="shared" si="22"/>
        <v>Wed</v>
      </c>
      <c r="V231" s="8" t="str">
        <f t="shared" si="23"/>
        <v>Mon</v>
      </c>
    </row>
    <row r="232" spans="1:22" hidden="1" x14ac:dyDescent="0.25">
      <c r="A232" t="s">
        <v>270</v>
      </c>
      <c r="B232" t="s">
        <v>35</v>
      </c>
      <c r="C232" t="s">
        <v>6</v>
      </c>
      <c r="D232" t="s">
        <v>12</v>
      </c>
      <c r="E232" t="s">
        <v>3</v>
      </c>
      <c r="F232" s="5">
        <v>44179</v>
      </c>
      <c r="G232" s="5">
        <v>44180</v>
      </c>
      <c r="H232" s="2">
        <v>1</v>
      </c>
      <c r="I232" s="6"/>
      <c r="J232" s="6"/>
      <c r="K232" s="7">
        <v>0.75</v>
      </c>
      <c r="L232" s="7">
        <v>63.99</v>
      </c>
      <c r="M232" t="s">
        <v>17</v>
      </c>
      <c r="N232" s="9"/>
      <c r="O232" s="8">
        <f t="array" ref="O232">INDEX(TechRate,MATCH(H232,TechNum,0))</f>
        <v>80</v>
      </c>
      <c r="P232" s="10">
        <f>WorkOrders2[[#This Row],[Techs]]*(WorkOrders2[[#This Row],[PartsCost]]*WorkOrders2[[#This Row],[LbrHrs]])</f>
        <v>47.9925</v>
      </c>
      <c r="Q232" s="10">
        <f t="shared" si="18"/>
        <v>47.9925</v>
      </c>
      <c r="R232" s="10">
        <f t="shared" si="19"/>
        <v>63.99</v>
      </c>
      <c r="S232" s="10">
        <f t="shared" si="20"/>
        <v>111.9825</v>
      </c>
      <c r="T232" s="10">
        <f t="shared" si="21"/>
        <v>111.9825</v>
      </c>
      <c r="U232" s="8" t="str">
        <f t="shared" si="22"/>
        <v>Mon</v>
      </c>
      <c r="V232" s="8" t="str">
        <f t="shared" si="23"/>
        <v>Tue</v>
      </c>
    </row>
    <row r="233" spans="1:22" x14ac:dyDescent="0.25">
      <c r="A233" t="s">
        <v>282</v>
      </c>
      <c r="B233" t="s">
        <v>35</v>
      </c>
      <c r="C233" t="s">
        <v>9</v>
      </c>
      <c r="D233" t="s">
        <v>2</v>
      </c>
      <c r="F233" s="5">
        <v>44186</v>
      </c>
      <c r="G233" s="5">
        <v>44222</v>
      </c>
      <c r="H233" s="2">
        <v>2</v>
      </c>
      <c r="I233" s="6"/>
      <c r="J233" s="6"/>
      <c r="K233" s="7">
        <v>1</v>
      </c>
      <c r="L233" s="7">
        <v>305.63040000000001</v>
      </c>
      <c r="M233" t="s">
        <v>17</v>
      </c>
      <c r="N233" s="9"/>
      <c r="O233" s="8">
        <f t="array" ref="O233">INDEX(TechRate,MATCH(H233,TechNum,0))</f>
        <v>140</v>
      </c>
      <c r="P233" s="10">
        <f>WorkOrders2[[#This Row],[Techs]]*(WorkOrders2[[#This Row],[PartsCost]]*WorkOrders2[[#This Row],[LbrHrs]])</f>
        <v>611.26080000000002</v>
      </c>
      <c r="Q233" s="10">
        <f t="shared" si="18"/>
        <v>611.26080000000002</v>
      </c>
      <c r="R233" s="10">
        <f t="shared" si="19"/>
        <v>305.63040000000001</v>
      </c>
      <c r="S233" s="10">
        <f t="shared" si="20"/>
        <v>916.89120000000003</v>
      </c>
      <c r="T233" s="10">
        <f t="shared" si="21"/>
        <v>916.89120000000003</v>
      </c>
      <c r="U233" s="8" t="str">
        <f t="shared" si="22"/>
        <v>Mon</v>
      </c>
      <c r="V233" s="8" t="str">
        <f t="shared" si="23"/>
        <v>Tue</v>
      </c>
    </row>
    <row r="234" spans="1:22" hidden="1" x14ac:dyDescent="0.25">
      <c r="A234" t="s">
        <v>283</v>
      </c>
      <c r="B234" t="s">
        <v>35</v>
      </c>
      <c r="C234" t="s">
        <v>6</v>
      </c>
      <c r="D234" t="s">
        <v>12</v>
      </c>
      <c r="E234" t="s">
        <v>3</v>
      </c>
      <c r="F234" s="5">
        <v>44200</v>
      </c>
      <c r="G234" s="5">
        <v>44207</v>
      </c>
      <c r="H234" s="2">
        <v>1</v>
      </c>
      <c r="I234" s="6"/>
      <c r="J234" s="6"/>
      <c r="K234" s="7">
        <v>0.25</v>
      </c>
      <c r="L234" s="7">
        <v>19.196999999999999</v>
      </c>
      <c r="M234" t="s">
        <v>17</v>
      </c>
      <c r="N234" s="9"/>
      <c r="O234" s="8">
        <f t="array" ref="O234">INDEX(TechRate,MATCH(H234,TechNum,0))</f>
        <v>80</v>
      </c>
      <c r="P234" s="10">
        <f>WorkOrders2[[#This Row],[Techs]]*(WorkOrders2[[#This Row],[PartsCost]]*WorkOrders2[[#This Row],[LbrHrs]])</f>
        <v>4.7992499999999998</v>
      </c>
      <c r="Q234" s="10">
        <f t="shared" si="18"/>
        <v>4.7992499999999998</v>
      </c>
      <c r="R234" s="10">
        <f t="shared" si="19"/>
        <v>19.196999999999999</v>
      </c>
      <c r="S234" s="10">
        <f t="shared" si="20"/>
        <v>23.99625</v>
      </c>
      <c r="T234" s="10">
        <f t="shared" si="21"/>
        <v>23.99625</v>
      </c>
      <c r="U234" s="8" t="str">
        <f t="shared" si="22"/>
        <v>Mon</v>
      </c>
      <c r="V234" s="8" t="str">
        <f t="shared" si="23"/>
        <v>Mon</v>
      </c>
    </row>
    <row r="235" spans="1:22" hidden="1" x14ac:dyDescent="0.25">
      <c r="A235" t="s">
        <v>289</v>
      </c>
      <c r="B235" t="s">
        <v>35</v>
      </c>
      <c r="C235" t="s">
        <v>9</v>
      </c>
      <c r="D235" t="s">
        <v>11</v>
      </c>
      <c r="F235" s="5">
        <v>44200</v>
      </c>
      <c r="G235" s="5">
        <v>44217</v>
      </c>
      <c r="H235" s="2">
        <v>1</v>
      </c>
      <c r="I235" s="6"/>
      <c r="J235" s="6"/>
      <c r="K235" s="7">
        <v>0.25</v>
      </c>
      <c r="L235" s="7">
        <v>66.864900000000006</v>
      </c>
      <c r="M235" t="s">
        <v>17</v>
      </c>
      <c r="N235" s="9"/>
      <c r="O235" s="8">
        <f t="array" ref="O235">INDEX(TechRate,MATCH(H235,TechNum,0))</f>
        <v>80</v>
      </c>
      <c r="P235" s="10">
        <f>WorkOrders2[[#This Row],[Techs]]*(WorkOrders2[[#This Row],[PartsCost]]*WorkOrders2[[#This Row],[LbrHrs]])</f>
        <v>16.716225000000001</v>
      </c>
      <c r="Q235" s="10">
        <f t="shared" si="18"/>
        <v>16.716225000000001</v>
      </c>
      <c r="R235" s="10">
        <f t="shared" si="19"/>
        <v>66.864900000000006</v>
      </c>
      <c r="S235" s="10">
        <f t="shared" si="20"/>
        <v>83.581125000000014</v>
      </c>
      <c r="T235" s="10">
        <f t="shared" si="21"/>
        <v>83.581125000000014</v>
      </c>
      <c r="U235" s="8" t="str">
        <f t="shared" si="22"/>
        <v>Mon</v>
      </c>
      <c r="V235" s="8" t="str">
        <f t="shared" si="23"/>
        <v>Thu</v>
      </c>
    </row>
    <row r="236" spans="1:22" hidden="1" x14ac:dyDescent="0.25">
      <c r="A236" t="s">
        <v>290</v>
      </c>
      <c r="B236" t="s">
        <v>35</v>
      </c>
      <c r="C236" t="s">
        <v>9</v>
      </c>
      <c r="D236" t="s">
        <v>13</v>
      </c>
      <c r="F236" s="5">
        <v>44200</v>
      </c>
      <c r="G236" s="5">
        <v>44238</v>
      </c>
      <c r="H236" s="2">
        <v>1</v>
      </c>
      <c r="I236" s="6"/>
      <c r="J236" s="6"/>
      <c r="K236" s="7">
        <v>0.75</v>
      </c>
      <c r="L236" s="7">
        <v>408.56790000000001</v>
      </c>
      <c r="M236" t="s">
        <v>17</v>
      </c>
      <c r="N236" s="9"/>
      <c r="O236" s="8">
        <f t="array" ref="O236">INDEX(TechRate,MATCH(H236,TechNum,0))</f>
        <v>80</v>
      </c>
      <c r="P236" s="10">
        <f>WorkOrders2[[#This Row],[Techs]]*(WorkOrders2[[#This Row],[PartsCost]]*WorkOrders2[[#This Row],[LbrHrs]])</f>
        <v>306.42592500000001</v>
      </c>
      <c r="Q236" s="10">
        <f t="shared" si="18"/>
        <v>306.42592500000001</v>
      </c>
      <c r="R236" s="10">
        <f t="shared" si="19"/>
        <v>408.56790000000001</v>
      </c>
      <c r="S236" s="10">
        <f t="shared" si="20"/>
        <v>714.99382500000002</v>
      </c>
      <c r="T236" s="10">
        <f t="shared" si="21"/>
        <v>714.99382500000002</v>
      </c>
      <c r="U236" s="8" t="str">
        <f t="shared" si="22"/>
        <v>Mon</v>
      </c>
      <c r="V236" s="8" t="str">
        <f t="shared" si="23"/>
        <v>Thu</v>
      </c>
    </row>
    <row r="237" spans="1:22" hidden="1" x14ac:dyDescent="0.25">
      <c r="A237" t="s">
        <v>294</v>
      </c>
      <c r="B237" t="s">
        <v>35</v>
      </c>
      <c r="C237" t="s">
        <v>8</v>
      </c>
      <c r="D237" t="s">
        <v>12</v>
      </c>
      <c r="F237" s="5">
        <v>44201</v>
      </c>
      <c r="G237" s="5">
        <v>44229</v>
      </c>
      <c r="H237" s="2">
        <v>2</v>
      </c>
      <c r="I237" s="6"/>
      <c r="J237" s="6"/>
      <c r="K237" s="7">
        <v>0.75</v>
      </c>
      <c r="L237" s="7">
        <v>286.73230000000001</v>
      </c>
      <c r="M237" t="s">
        <v>17</v>
      </c>
      <c r="N237" s="9"/>
      <c r="O237" s="8">
        <f t="array" ref="O237">INDEX(TechRate,MATCH(H237,TechNum,0))</f>
        <v>140</v>
      </c>
      <c r="P237" s="10">
        <f>WorkOrders2[[#This Row],[Techs]]*(WorkOrders2[[#This Row],[PartsCost]]*WorkOrders2[[#This Row],[LbrHrs]])</f>
        <v>430.09845000000001</v>
      </c>
      <c r="Q237" s="10">
        <f t="shared" si="18"/>
        <v>430.09845000000001</v>
      </c>
      <c r="R237" s="10">
        <f t="shared" si="19"/>
        <v>286.73230000000001</v>
      </c>
      <c r="S237" s="10">
        <f t="shared" si="20"/>
        <v>716.83075000000008</v>
      </c>
      <c r="T237" s="10">
        <f t="shared" si="21"/>
        <v>716.83075000000008</v>
      </c>
      <c r="U237" s="8" t="str">
        <f t="shared" si="22"/>
        <v>Tue</v>
      </c>
      <c r="V237" s="8" t="str">
        <f t="shared" si="23"/>
        <v>Tue</v>
      </c>
    </row>
    <row r="238" spans="1:22" hidden="1" x14ac:dyDescent="0.25">
      <c r="A238" t="s">
        <v>298</v>
      </c>
      <c r="B238" t="s">
        <v>35</v>
      </c>
      <c r="C238" t="s">
        <v>6</v>
      </c>
      <c r="D238" t="s">
        <v>12</v>
      </c>
      <c r="F238" s="5">
        <v>44202</v>
      </c>
      <c r="G238" s="5">
        <v>44217</v>
      </c>
      <c r="H238" s="2">
        <v>2</v>
      </c>
      <c r="I238" s="6"/>
      <c r="J238" s="6"/>
      <c r="K238" s="7">
        <v>0.5</v>
      </c>
      <c r="L238" s="7">
        <v>74.607699999999994</v>
      </c>
      <c r="M238" t="s">
        <v>18</v>
      </c>
      <c r="N238" s="9"/>
      <c r="O238" s="8">
        <f t="array" ref="O238">INDEX(TechRate,MATCH(H238,TechNum,0))</f>
        <v>140</v>
      </c>
      <c r="P238" s="10">
        <f>WorkOrders2[[#This Row],[Techs]]*(WorkOrders2[[#This Row],[PartsCost]]*WorkOrders2[[#This Row],[LbrHrs]])</f>
        <v>74.607699999999994</v>
      </c>
      <c r="Q238" s="10">
        <f t="shared" si="18"/>
        <v>74.607699999999994</v>
      </c>
      <c r="R238" s="10">
        <f t="shared" si="19"/>
        <v>74.607699999999994</v>
      </c>
      <c r="S238" s="10">
        <f t="shared" si="20"/>
        <v>149.21539999999999</v>
      </c>
      <c r="T238" s="10">
        <f t="shared" si="21"/>
        <v>149.21539999999999</v>
      </c>
      <c r="U238" s="8" t="str">
        <f t="shared" si="22"/>
        <v>Wed</v>
      </c>
      <c r="V238" s="8" t="str">
        <f t="shared" si="23"/>
        <v>Thu</v>
      </c>
    </row>
    <row r="239" spans="1:22" hidden="1" x14ac:dyDescent="0.25">
      <c r="A239" t="s">
        <v>302</v>
      </c>
      <c r="B239" t="s">
        <v>35</v>
      </c>
      <c r="C239" t="s">
        <v>44</v>
      </c>
      <c r="D239" t="s">
        <v>12</v>
      </c>
      <c r="E239" t="s">
        <v>3</v>
      </c>
      <c r="F239" s="5">
        <v>44203</v>
      </c>
      <c r="G239" s="5">
        <v>44228</v>
      </c>
      <c r="H239" s="2">
        <v>2</v>
      </c>
      <c r="I239" s="6"/>
      <c r="J239" s="6"/>
      <c r="K239" s="7">
        <v>0.5</v>
      </c>
      <c r="L239" s="7">
        <v>72.350099999999998</v>
      </c>
      <c r="M239" t="s">
        <v>17</v>
      </c>
      <c r="N239" s="9"/>
      <c r="O239" s="8">
        <f t="array" ref="O239">INDEX(TechRate,MATCH(H239,TechNum,0))</f>
        <v>140</v>
      </c>
      <c r="P239" s="10">
        <f>WorkOrders2[[#This Row],[Techs]]*(WorkOrders2[[#This Row],[PartsCost]]*WorkOrders2[[#This Row],[LbrHrs]])</f>
        <v>72.350099999999998</v>
      </c>
      <c r="Q239" s="10">
        <f t="shared" si="18"/>
        <v>72.350099999999998</v>
      </c>
      <c r="R239" s="10">
        <f t="shared" si="19"/>
        <v>72.350099999999998</v>
      </c>
      <c r="S239" s="10">
        <f t="shared" si="20"/>
        <v>144.7002</v>
      </c>
      <c r="T239" s="10">
        <f t="shared" si="21"/>
        <v>144.7002</v>
      </c>
      <c r="U239" s="8" t="str">
        <f t="shared" si="22"/>
        <v>Thu</v>
      </c>
      <c r="V239" s="8" t="str">
        <f t="shared" si="23"/>
        <v>Mon</v>
      </c>
    </row>
    <row r="240" spans="1:22" hidden="1" x14ac:dyDescent="0.25">
      <c r="A240" t="s">
        <v>304</v>
      </c>
      <c r="B240" t="s">
        <v>35</v>
      </c>
      <c r="C240" t="s">
        <v>9</v>
      </c>
      <c r="D240" t="s">
        <v>13</v>
      </c>
      <c r="F240" s="5">
        <v>44203</v>
      </c>
      <c r="G240" s="5">
        <v>44249</v>
      </c>
      <c r="H240" s="2">
        <v>1</v>
      </c>
      <c r="I240" s="6"/>
      <c r="J240" s="6"/>
      <c r="K240" s="7">
        <v>0.5</v>
      </c>
      <c r="L240" s="7">
        <v>18.254899999999999</v>
      </c>
      <c r="M240" t="s">
        <v>18</v>
      </c>
      <c r="N240" s="9"/>
      <c r="O240" s="8">
        <f t="array" ref="O240">INDEX(TechRate,MATCH(H240,TechNum,0))</f>
        <v>80</v>
      </c>
      <c r="P240" s="10">
        <f>WorkOrders2[[#This Row],[Techs]]*(WorkOrders2[[#This Row],[PartsCost]]*WorkOrders2[[#This Row],[LbrHrs]])</f>
        <v>9.1274499999999996</v>
      </c>
      <c r="Q240" s="10">
        <f t="shared" si="18"/>
        <v>9.1274499999999996</v>
      </c>
      <c r="R240" s="10">
        <f t="shared" si="19"/>
        <v>18.254899999999999</v>
      </c>
      <c r="S240" s="10">
        <f t="shared" si="20"/>
        <v>27.382349999999999</v>
      </c>
      <c r="T240" s="10">
        <f t="shared" si="21"/>
        <v>27.382349999999999</v>
      </c>
      <c r="U240" s="8" t="str">
        <f t="shared" si="22"/>
        <v>Thu</v>
      </c>
      <c r="V240" s="8" t="str">
        <f t="shared" si="23"/>
        <v>Mon</v>
      </c>
    </row>
    <row r="241" spans="1:22" hidden="1" x14ac:dyDescent="0.25">
      <c r="A241" t="s">
        <v>315</v>
      </c>
      <c r="B241" t="s">
        <v>35</v>
      </c>
      <c r="C241" t="s">
        <v>8</v>
      </c>
      <c r="D241" t="s">
        <v>13</v>
      </c>
      <c r="F241" s="5">
        <v>44209</v>
      </c>
      <c r="G241" s="5">
        <v>44226</v>
      </c>
      <c r="H241" s="2">
        <v>1</v>
      </c>
      <c r="I241" s="6"/>
      <c r="J241" s="6"/>
      <c r="K241" s="7">
        <v>1</v>
      </c>
      <c r="L241" s="7">
        <v>86.293499999999995</v>
      </c>
      <c r="M241" t="s">
        <v>18</v>
      </c>
      <c r="N241" s="9"/>
      <c r="O241" s="8">
        <f t="array" ref="O241">INDEX(TechRate,MATCH(H241,TechNum,0))</f>
        <v>80</v>
      </c>
      <c r="P241" s="10">
        <f>WorkOrders2[[#This Row],[Techs]]*(WorkOrders2[[#This Row],[PartsCost]]*WorkOrders2[[#This Row],[LbrHrs]])</f>
        <v>86.293499999999995</v>
      </c>
      <c r="Q241" s="10">
        <f t="shared" si="18"/>
        <v>86.293499999999995</v>
      </c>
      <c r="R241" s="10">
        <f t="shared" si="19"/>
        <v>86.293499999999995</v>
      </c>
      <c r="S241" s="10">
        <f t="shared" si="20"/>
        <v>172.58699999999999</v>
      </c>
      <c r="T241" s="10">
        <f t="shared" si="21"/>
        <v>172.58699999999999</v>
      </c>
      <c r="U241" s="8" t="str">
        <f t="shared" si="22"/>
        <v>Wed</v>
      </c>
      <c r="V241" s="8" t="str">
        <f t="shared" si="23"/>
        <v>Sat</v>
      </c>
    </row>
    <row r="242" spans="1:22" hidden="1" x14ac:dyDescent="0.25">
      <c r="A242" t="s">
        <v>319</v>
      </c>
      <c r="B242" t="s">
        <v>35</v>
      </c>
      <c r="C242" t="s">
        <v>9</v>
      </c>
      <c r="D242" t="s">
        <v>12</v>
      </c>
      <c r="F242" s="5">
        <v>44210</v>
      </c>
      <c r="G242" s="5">
        <v>44232</v>
      </c>
      <c r="H242" s="2">
        <v>2</v>
      </c>
      <c r="I242" s="6"/>
      <c r="J242" s="6"/>
      <c r="K242" s="7">
        <v>0.5</v>
      </c>
      <c r="L242" s="7">
        <v>74.532399999999996</v>
      </c>
      <c r="M242" t="s">
        <v>18</v>
      </c>
      <c r="N242" s="9"/>
      <c r="O242" s="8">
        <f t="array" ref="O242">INDEX(TechRate,MATCH(H242,TechNum,0))</f>
        <v>140</v>
      </c>
      <c r="P242" s="10">
        <f>WorkOrders2[[#This Row],[Techs]]*(WorkOrders2[[#This Row],[PartsCost]]*WorkOrders2[[#This Row],[LbrHrs]])</f>
        <v>74.532399999999996</v>
      </c>
      <c r="Q242" s="10">
        <f t="shared" si="18"/>
        <v>74.532399999999996</v>
      </c>
      <c r="R242" s="10">
        <f t="shared" si="19"/>
        <v>74.532399999999996</v>
      </c>
      <c r="S242" s="10">
        <f t="shared" si="20"/>
        <v>149.06479999999999</v>
      </c>
      <c r="T242" s="10">
        <f t="shared" si="21"/>
        <v>149.06479999999999</v>
      </c>
      <c r="U242" s="8" t="str">
        <f t="shared" si="22"/>
        <v>Thu</v>
      </c>
      <c r="V242" s="8" t="str">
        <f t="shared" si="23"/>
        <v>Fri</v>
      </c>
    </row>
    <row r="243" spans="1:22" hidden="1" x14ac:dyDescent="0.25">
      <c r="A243" t="s">
        <v>321</v>
      </c>
      <c r="B243" t="s">
        <v>35</v>
      </c>
      <c r="C243" t="s">
        <v>44</v>
      </c>
      <c r="D243" t="s">
        <v>12</v>
      </c>
      <c r="E243" t="s">
        <v>3</v>
      </c>
      <c r="F243" s="5">
        <v>44211</v>
      </c>
      <c r="G243" s="5">
        <v>44228</v>
      </c>
      <c r="H243" s="2">
        <v>2</v>
      </c>
      <c r="I243" s="6"/>
      <c r="J243" s="6"/>
      <c r="K243" s="7">
        <v>0.5</v>
      </c>
      <c r="L243" s="7">
        <v>83.462900000000005</v>
      </c>
      <c r="M243" t="s">
        <v>17</v>
      </c>
      <c r="N243" s="9"/>
      <c r="O243" s="8">
        <f t="array" ref="O243">INDEX(TechRate,MATCH(H243,TechNum,0))</f>
        <v>140</v>
      </c>
      <c r="P243" s="10">
        <f>WorkOrders2[[#This Row],[Techs]]*(WorkOrders2[[#This Row],[PartsCost]]*WorkOrders2[[#This Row],[LbrHrs]])</f>
        <v>83.462900000000005</v>
      </c>
      <c r="Q243" s="10">
        <f t="shared" si="18"/>
        <v>83.462900000000005</v>
      </c>
      <c r="R243" s="10">
        <f t="shared" si="19"/>
        <v>83.462900000000005</v>
      </c>
      <c r="S243" s="10">
        <f t="shared" si="20"/>
        <v>166.92580000000001</v>
      </c>
      <c r="T243" s="10">
        <f t="shared" si="21"/>
        <v>166.92580000000001</v>
      </c>
      <c r="U243" s="8" t="str">
        <f t="shared" si="22"/>
        <v>Fri</v>
      </c>
      <c r="V243" s="8" t="str">
        <f t="shared" si="23"/>
        <v>Mon</v>
      </c>
    </row>
    <row r="244" spans="1:22" hidden="1" x14ac:dyDescent="0.25">
      <c r="A244" t="s">
        <v>324</v>
      </c>
      <c r="B244" t="s">
        <v>35</v>
      </c>
      <c r="C244" t="s">
        <v>44</v>
      </c>
      <c r="D244" t="s">
        <v>11</v>
      </c>
      <c r="E244" t="s">
        <v>3</v>
      </c>
      <c r="F244" s="5">
        <v>44214</v>
      </c>
      <c r="G244" s="5">
        <v>44223</v>
      </c>
      <c r="H244" s="2">
        <v>1</v>
      </c>
      <c r="I244" s="6"/>
      <c r="J244" s="6"/>
      <c r="K244" s="7">
        <v>0.25</v>
      </c>
      <c r="L244" s="7">
        <v>19.9801</v>
      </c>
      <c r="M244" t="s">
        <v>17</v>
      </c>
      <c r="N244" s="9"/>
      <c r="O244" s="8">
        <f t="array" ref="O244">INDEX(TechRate,MATCH(H244,TechNum,0))</f>
        <v>80</v>
      </c>
      <c r="P244" s="10">
        <f>WorkOrders2[[#This Row],[Techs]]*(WorkOrders2[[#This Row],[PartsCost]]*WorkOrders2[[#This Row],[LbrHrs]])</f>
        <v>4.995025</v>
      </c>
      <c r="Q244" s="10">
        <f t="shared" si="18"/>
        <v>4.995025</v>
      </c>
      <c r="R244" s="10">
        <f t="shared" si="19"/>
        <v>19.9801</v>
      </c>
      <c r="S244" s="10">
        <f t="shared" si="20"/>
        <v>24.975124999999998</v>
      </c>
      <c r="T244" s="10">
        <f t="shared" si="21"/>
        <v>24.975124999999998</v>
      </c>
      <c r="U244" s="8" t="str">
        <f t="shared" si="22"/>
        <v>Mon</v>
      </c>
      <c r="V244" s="8" t="str">
        <f t="shared" si="23"/>
        <v>Wed</v>
      </c>
    </row>
    <row r="245" spans="1:22" hidden="1" x14ac:dyDescent="0.25">
      <c r="A245" t="s">
        <v>335</v>
      </c>
      <c r="B245" t="s">
        <v>35</v>
      </c>
      <c r="C245" t="s">
        <v>9</v>
      </c>
      <c r="D245" t="s">
        <v>11</v>
      </c>
      <c r="F245" s="5">
        <v>44218</v>
      </c>
      <c r="G245" s="5">
        <v>44226</v>
      </c>
      <c r="H245" s="2">
        <v>1</v>
      </c>
      <c r="I245" s="6"/>
      <c r="J245" s="6"/>
      <c r="K245" s="7">
        <v>0.25</v>
      </c>
      <c r="L245" s="7">
        <v>120</v>
      </c>
      <c r="M245" t="s">
        <v>18</v>
      </c>
      <c r="N245" s="9"/>
      <c r="O245" s="8">
        <f t="array" ref="O245">INDEX(TechRate,MATCH(H245,TechNum,0))</f>
        <v>80</v>
      </c>
      <c r="P245" s="10">
        <f>WorkOrders2[[#This Row],[Techs]]*(WorkOrders2[[#This Row],[PartsCost]]*WorkOrders2[[#This Row],[LbrHrs]])</f>
        <v>30</v>
      </c>
      <c r="Q245" s="10">
        <f t="shared" si="18"/>
        <v>30</v>
      </c>
      <c r="R245" s="10">
        <f t="shared" si="19"/>
        <v>120</v>
      </c>
      <c r="S245" s="10">
        <f t="shared" si="20"/>
        <v>150</v>
      </c>
      <c r="T245" s="10">
        <f t="shared" si="21"/>
        <v>150</v>
      </c>
      <c r="U245" s="8" t="str">
        <f t="shared" si="22"/>
        <v>Fri</v>
      </c>
      <c r="V245" s="8" t="str">
        <f t="shared" si="23"/>
        <v>Sat</v>
      </c>
    </row>
    <row r="246" spans="1:22" hidden="1" x14ac:dyDescent="0.25">
      <c r="A246" t="s">
        <v>337</v>
      </c>
      <c r="B246" t="s">
        <v>35</v>
      </c>
      <c r="C246" t="s">
        <v>44</v>
      </c>
      <c r="D246" t="s">
        <v>13</v>
      </c>
      <c r="F246" s="5">
        <v>44221</v>
      </c>
      <c r="G246" s="5">
        <v>44242</v>
      </c>
      <c r="H246" s="2">
        <v>1</v>
      </c>
      <c r="I246" s="6"/>
      <c r="J246" s="6"/>
      <c r="K246" s="7">
        <v>3.25</v>
      </c>
      <c r="L246" s="7">
        <v>511.875</v>
      </c>
      <c r="M246" t="s">
        <v>17</v>
      </c>
      <c r="N246" s="9"/>
      <c r="O246" s="8">
        <f t="array" ref="O246">INDEX(TechRate,MATCH(H246,TechNum,0))</f>
        <v>80</v>
      </c>
      <c r="P246" s="10">
        <f>WorkOrders2[[#This Row],[Techs]]*(WorkOrders2[[#This Row],[PartsCost]]*WorkOrders2[[#This Row],[LbrHrs]])</f>
        <v>1663.59375</v>
      </c>
      <c r="Q246" s="10">
        <f t="shared" si="18"/>
        <v>1663.59375</v>
      </c>
      <c r="R246" s="10">
        <f t="shared" si="19"/>
        <v>511.875</v>
      </c>
      <c r="S246" s="10">
        <f t="shared" si="20"/>
        <v>2175.46875</v>
      </c>
      <c r="T246" s="10">
        <f t="shared" si="21"/>
        <v>2175.46875</v>
      </c>
      <c r="U246" s="8" t="str">
        <f t="shared" si="22"/>
        <v>Mon</v>
      </c>
      <c r="V246" s="8" t="str">
        <f t="shared" si="23"/>
        <v>Mon</v>
      </c>
    </row>
    <row r="247" spans="1:22" hidden="1" x14ac:dyDescent="0.25">
      <c r="A247" t="s">
        <v>342</v>
      </c>
      <c r="B247" t="s">
        <v>35</v>
      </c>
      <c r="C247" t="s">
        <v>9</v>
      </c>
      <c r="D247" t="s">
        <v>13</v>
      </c>
      <c r="F247" s="5">
        <v>44224</v>
      </c>
      <c r="G247" s="5">
        <v>44237</v>
      </c>
      <c r="H247" s="2">
        <v>1</v>
      </c>
      <c r="I247" s="6"/>
      <c r="J247" s="6"/>
      <c r="K247" s="7">
        <v>0.75</v>
      </c>
      <c r="L247" s="7">
        <v>114.89449999999999</v>
      </c>
      <c r="M247" t="s">
        <v>19</v>
      </c>
      <c r="N247" s="9"/>
      <c r="O247" s="8">
        <f t="array" ref="O247">INDEX(TechRate,MATCH(H247,TechNum,0))</f>
        <v>80</v>
      </c>
      <c r="P247" s="10">
        <f>WorkOrders2[[#This Row],[Techs]]*(WorkOrders2[[#This Row],[PartsCost]]*WorkOrders2[[#This Row],[LbrHrs]])</f>
        <v>86.170874999999995</v>
      </c>
      <c r="Q247" s="10">
        <f t="shared" si="18"/>
        <v>86.170874999999995</v>
      </c>
      <c r="R247" s="10">
        <f t="shared" si="19"/>
        <v>114.89449999999999</v>
      </c>
      <c r="S247" s="10">
        <f t="shared" si="20"/>
        <v>201.06537499999999</v>
      </c>
      <c r="T247" s="10">
        <f t="shared" si="21"/>
        <v>201.06537499999999</v>
      </c>
      <c r="U247" s="8" t="str">
        <f t="shared" si="22"/>
        <v>Thu</v>
      </c>
      <c r="V247" s="8" t="str">
        <f t="shared" si="23"/>
        <v>Wed</v>
      </c>
    </row>
    <row r="248" spans="1:22" hidden="1" x14ac:dyDescent="0.25">
      <c r="A248" t="s">
        <v>345</v>
      </c>
      <c r="B248" t="s">
        <v>35</v>
      </c>
      <c r="C248" t="s">
        <v>9</v>
      </c>
      <c r="D248" t="s">
        <v>13</v>
      </c>
      <c r="F248" s="5">
        <v>44224</v>
      </c>
      <c r="G248" s="5">
        <v>44258</v>
      </c>
      <c r="H248" s="2">
        <v>2</v>
      </c>
      <c r="I248" s="6"/>
      <c r="J248" s="6"/>
      <c r="K248" s="7">
        <v>8.5</v>
      </c>
      <c r="L248" s="7">
        <v>653.98500000000001</v>
      </c>
      <c r="M248" t="s">
        <v>17</v>
      </c>
      <c r="N248" s="9"/>
      <c r="O248" s="8">
        <f t="array" ref="O248">INDEX(TechRate,MATCH(H248,TechNum,0))</f>
        <v>140</v>
      </c>
      <c r="P248" s="10">
        <f>WorkOrders2[[#This Row],[Techs]]*(WorkOrders2[[#This Row],[PartsCost]]*WorkOrders2[[#This Row],[LbrHrs]])</f>
        <v>11117.745000000001</v>
      </c>
      <c r="Q248" s="10">
        <f t="shared" si="18"/>
        <v>11117.745000000001</v>
      </c>
      <c r="R248" s="10">
        <f t="shared" si="19"/>
        <v>653.98500000000001</v>
      </c>
      <c r="S248" s="10">
        <f t="shared" si="20"/>
        <v>11771.730000000001</v>
      </c>
      <c r="T248" s="10">
        <f t="shared" si="21"/>
        <v>11771.730000000001</v>
      </c>
      <c r="U248" s="8" t="str">
        <f t="shared" si="22"/>
        <v>Thu</v>
      </c>
      <c r="V248" s="8" t="str">
        <f t="shared" si="23"/>
        <v>Wed</v>
      </c>
    </row>
    <row r="249" spans="1:22" hidden="1" x14ac:dyDescent="0.25">
      <c r="A249" t="s">
        <v>349</v>
      </c>
      <c r="B249" t="s">
        <v>35</v>
      </c>
      <c r="C249" t="s">
        <v>9</v>
      </c>
      <c r="D249" t="s">
        <v>12</v>
      </c>
      <c r="F249" s="5">
        <v>44228</v>
      </c>
      <c r="G249" s="5">
        <v>44237</v>
      </c>
      <c r="H249" s="2">
        <v>1</v>
      </c>
      <c r="I249" s="6"/>
      <c r="J249" s="6"/>
      <c r="K249" s="7">
        <v>0.5</v>
      </c>
      <c r="L249" s="7">
        <v>205.1859</v>
      </c>
      <c r="M249" t="s">
        <v>18</v>
      </c>
      <c r="N249" s="9"/>
      <c r="O249" s="8">
        <f t="array" ref="O249">INDEX(TechRate,MATCH(H249,TechNum,0))</f>
        <v>80</v>
      </c>
      <c r="P249" s="10">
        <f>WorkOrders2[[#This Row],[Techs]]*(WorkOrders2[[#This Row],[PartsCost]]*WorkOrders2[[#This Row],[LbrHrs]])</f>
        <v>102.59295</v>
      </c>
      <c r="Q249" s="10">
        <f t="shared" si="18"/>
        <v>102.59295</v>
      </c>
      <c r="R249" s="10">
        <f t="shared" si="19"/>
        <v>205.1859</v>
      </c>
      <c r="S249" s="10">
        <f t="shared" si="20"/>
        <v>307.77885000000003</v>
      </c>
      <c r="T249" s="10">
        <f t="shared" si="21"/>
        <v>307.77885000000003</v>
      </c>
      <c r="U249" s="8" t="str">
        <f t="shared" si="22"/>
        <v>Mon</v>
      </c>
      <c r="V249" s="8" t="str">
        <f t="shared" si="23"/>
        <v>Wed</v>
      </c>
    </row>
    <row r="250" spans="1:22" hidden="1" x14ac:dyDescent="0.25">
      <c r="A250" t="s">
        <v>367</v>
      </c>
      <c r="B250" t="s">
        <v>35</v>
      </c>
      <c r="C250" t="s">
        <v>8</v>
      </c>
      <c r="D250" t="s">
        <v>13</v>
      </c>
      <c r="E250" t="s">
        <v>3</v>
      </c>
      <c r="F250" s="5">
        <v>44232</v>
      </c>
      <c r="G250" s="5">
        <v>44377</v>
      </c>
      <c r="H250" s="2">
        <v>1</v>
      </c>
      <c r="I250" s="6"/>
      <c r="J250" s="6"/>
      <c r="K250" s="7">
        <v>0.5</v>
      </c>
      <c r="L250" s="7">
        <v>61.17</v>
      </c>
      <c r="M250" t="s">
        <v>19</v>
      </c>
      <c r="N250" s="9"/>
      <c r="O250" s="8">
        <f t="array" ref="O250">INDEX(TechRate,MATCH(H250,TechNum,0))</f>
        <v>80</v>
      </c>
      <c r="P250" s="10">
        <f>WorkOrders2[[#This Row],[Techs]]*(WorkOrders2[[#This Row],[PartsCost]]*WorkOrders2[[#This Row],[LbrHrs]])</f>
        <v>30.585000000000001</v>
      </c>
      <c r="Q250" s="10">
        <f t="shared" si="18"/>
        <v>30.585000000000001</v>
      </c>
      <c r="R250" s="10">
        <f t="shared" si="19"/>
        <v>61.17</v>
      </c>
      <c r="S250" s="10">
        <f t="shared" si="20"/>
        <v>91.754999999999995</v>
      </c>
      <c r="T250" s="10">
        <f t="shared" si="21"/>
        <v>91.754999999999995</v>
      </c>
      <c r="U250" s="8" t="str">
        <f t="shared" si="22"/>
        <v>Fri</v>
      </c>
      <c r="V250" s="8" t="str">
        <f t="shared" si="23"/>
        <v>Wed</v>
      </c>
    </row>
    <row r="251" spans="1:22" hidden="1" x14ac:dyDescent="0.25">
      <c r="A251" t="s">
        <v>371</v>
      </c>
      <c r="B251" t="s">
        <v>35</v>
      </c>
      <c r="C251" t="s">
        <v>44</v>
      </c>
      <c r="D251" t="s">
        <v>13</v>
      </c>
      <c r="F251" s="5">
        <v>44235</v>
      </c>
      <c r="G251" s="5">
        <v>44243</v>
      </c>
      <c r="H251" s="2">
        <v>1</v>
      </c>
      <c r="I251" s="6"/>
      <c r="J251" s="6"/>
      <c r="K251" s="7">
        <v>0.5</v>
      </c>
      <c r="L251" s="7">
        <v>207.89859999999999</v>
      </c>
      <c r="M251" t="s">
        <v>18</v>
      </c>
      <c r="N251" s="9"/>
      <c r="O251" s="8">
        <f t="array" ref="O251">INDEX(TechRate,MATCH(H251,TechNum,0))</f>
        <v>80</v>
      </c>
      <c r="P251" s="10">
        <f>WorkOrders2[[#This Row],[Techs]]*(WorkOrders2[[#This Row],[PartsCost]]*WorkOrders2[[#This Row],[LbrHrs]])</f>
        <v>103.94929999999999</v>
      </c>
      <c r="Q251" s="10">
        <f t="shared" si="18"/>
        <v>103.94929999999999</v>
      </c>
      <c r="R251" s="10">
        <f t="shared" si="19"/>
        <v>207.89859999999999</v>
      </c>
      <c r="S251" s="10">
        <f t="shared" si="20"/>
        <v>311.84789999999998</v>
      </c>
      <c r="T251" s="10">
        <f t="shared" si="21"/>
        <v>311.84789999999998</v>
      </c>
      <c r="U251" s="8" t="str">
        <f t="shared" si="22"/>
        <v>Mon</v>
      </c>
      <c r="V251" s="8" t="str">
        <f t="shared" si="23"/>
        <v>Tue</v>
      </c>
    </row>
    <row r="252" spans="1:22" hidden="1" x14ac:dyDescent="0.25">
      <c r="A252" t="s">
        <v>374</v>
      </c>
      <c r="B252" t="s">
        <v>35</v>
      </c>
      <c r="C252" t="s">
        <v>44</v>
      </c>
      <c r="D252" t="s">
        <v>12</v>
      </c>
      <c r="E252" t="s">
        <v>3</v>
      </c>
      <c r="F252" s="5">
        <v>44236</v>
      </c>
      <c r="G252" s="5">
        <v>44237</v>
      </c>
      <c r="H252" s="2">
        <v>1</v>
      </c>
      <c r="I252" s="6"/>
      <c r="J252" s="6"/>
      <c r="K252" s="7">
        <v>0.25</v>
      </c>
      <c r="L252" s="7">
        <v>54.463700000000003</v>
      </c>
      <c r="M252" t="s">
        <v>19</v>
      </c>
      <c r="N252" s="9"/>
      <c r="O252" s="8">
        <f t="array" ref="O252">INDEX(TechRate,MATCH(H252,TechNum,0))</f>
        <v>80</v>
      </c>
      <c r="P252" s="10">
        <f>WorkOrders2[[#This Row],[Techs]]*(WorkOrders2[[#This Row],[PartsCost]]*WorkOrders2[[#This Row],[LbrHrs]])</f>
        <v>13.615925000000001</v>
      </c>
      <c r="Q252" s="10">
        <f t="shared" si="18"/>
        <v>13.615925000000001</v>
      </c>
      <c r="R252" s="10">
        <f t="shared" si="19"/>
        <v>54.463700000000003</v>
      </c>
      <c r="S252" s="10">
        <f t="shared" si="20"/>
        <v>68.079625000000007</v>
      </c>
      <c r="T252" s="10">
        <f t="shared" si="21"/>
        <v>68.079625000000007</v>
      </c>
      <c r="U252" s="8" t="str">
        <f t="shared" si="22"/>
        <v>Tue</v>
      </c>
      <c r="V252" s="8" t="str">
        <f t="shared" si="23"/>
        <v>Wed</v>
      </c>
    </row>
    <row r="253" spans="1:22" hidden="1" x14ac:dyDescent="0.25">
      <c r="A253" t="s">
        <v>380</v>
      </c>
      <c r="B253" t="s">
        <v>35</v>
      </c>
      <c r="C253" t="s">
        <v>9</v>
      </c>
      <c r="D253" t="s">
        <v>13</v>
      </c>
      <c r="F253" s="5">
        <v>44237</v>
      </c>
      <c r="G253" s="5">
        <v>44252</v>
      </c>
      <c r="H253" s="2">
        <v>2</v>
      </c>
      <c r="I253" s="6"/>
      <c r="J253" s="6"/>
      <c r="K253" s="7">
        <v>2.75</v>
      </c>
      <c r="L253" s="7">
        <v>666.4434</v>
      </c>
      <c r="M253" t="s">
        <v>18</v>
      </c>
      <c r="N253" s="9"/>
      <c r="O253" s="8">
        <f t="array" ref="O253">INDEX(TechRate,MATCH(H253,TechNum,0))</f>
        <v>140</v>
      </c>
      <c r="P253" s="10">
        <f>WorkOrders2[[#This Row],[Techs]]*(WorkOrders2[[#This Row],[PartsCost]]*WorkOrders2[[#This Row],[LbrHrs]])</f>
        <v>3665.4387000000002</v>
      </c>
      <c r="Q253" s="10">
        <f t="shared" si="18"/>
        <v>3665.4387000000002</v>
      </c>
      <c r="R253" s="10">
        <f t="shared" si="19"/>
        <v>666.4434</v>
      </c>
      <c r="S253" s="10">
        <f t="shared" si="20"/>
        <v>4331.8820999999998</v>
      </c>
      <c r="T253" s="10">
        <f t="shared" si="21"/>
        <v>4331.8820999999998</v>
      </c>
      <c r="U253" s="8" t="str">
        <f t="shared" si="22"/>
        <v>Wed</v>
      </c>
      <c r="V253" s="8" t="str">
        <f t="shared" si="23"/>
        <v>Thu</v>
      </c>
    </row>
    <row r="254" spans="1:22" hidden="1" x14ac:dyDescent="0.25">
      <c r="A254" t="s">
        <v>381</v>
      </c>
      <c r="B254" t="s">
        <v>35</v>
      </c>
      <c r="C254" t="s">
        <v>9</v>
      </c>
      <c r="D254" t="s">
        <v>11</v>
      </c>
      <c r="E254" t="s">
        <v>3</v>
      </c>
      <c r="F254" s="5">
        <v>44238</v>
      </c>
      <c r="G254" s="5">
        <v>44254</v>
      </c>
      <c r="H254" s="2">
        <v>1</v>
      </c>
      <c r="I254" s="6"/>
      <c r="J254" s="6"/>
      <c r="K254" s="7">
        <v>0.25</v>
      </c>
      <c r="L254" s="7">
        <v>19.196999999999999</v>
      </c>
      <c r="M254" t="s">
        <v>18</v>
      </c>
      <c r="N254" s="9"/>
      <c r="O254" s="8">
        <f t="array" ref="O254">INDEX(TechRate,MATCH(H254,TechNum,0))</f>
        <v>80</v>
      </c>
      <c r="P254" s="10">
        <f>WorkOrders2[[#This Row],[Techs]]*(WorkOrders2[[#This Row],[PartsCost]]*WorkOrders2[[#This Row],[LbrHrs]])</f>
        <v>4.7992499999999998</v>
      </c>
      <c r="Q254" s="10">
        <f t="shared" si="18"/>
        <v>4.7992499999999998</v>
      </c>
      <c r="R254" s="10">
        <f t="shared" si="19"/>
        <v>19.196999999999999</v>
      </c>
      <c r="S254" s="10">
        <f t="shared" si="20"/>
        <v>23.99625</v>
      </c>
      <c r="T254" s="10">
        <f t="shared" si="21"/>
        <v>23.99625</v>
      </c>
      <c r="U254" s="8" t="str">
        <f t="shared" si="22"/>
        <v>Thu</v>
      </c>
      <c r="V254" s="8" t="str">
        <f t="shared" si="23"/>
        <v>Sat</v>
      </c>
    </row>
    <row r="255" spans="1:22" hidden="1" x14ac:dyDescent="0.25">
      <c r="A255" t="s">
        <v>389</v>
      </c>
      <c r="B255" t="s">
        <v>35</v>
      </c>
      <c r="C255" t="s">
        <v>44</v>
      </c>
      <c r="D255" t="s">
        <v>13</v>
      </c>
      <c r="F255" s="5">
        <v>44243</v>
      </c>
      <c r="G255" s="5">
        <v>44263</v>
      </c>
      <c r="H255" s="2">
        <v>2</v>
      </c>
      <c r="I255" s="6"/>
      <c r="J255" s="6"/>
      <c r="K255" s="7">
        <v>0.5</v>
      </c>
      <c r="L255" s="7">
        <v>202</v>
      </c>
      <c r="M255" t="s">
        <v>18</v>
      </c>
      <c r="N255" s="9"/>
      <c r="O255" s="8">
        <f t="array" ref="O255">INDEX(TechRate,MATCH(H255,TechNum,0))</f>
        <v>140</v>
      </c>
      <c r="P255" s="10">
        <f>WorkOrders2[[#This Row],[Techs]]*(WorkOrders2[[#This Row],[PartsCost]]*WorkOrders2[[#This Row],[LbrHrs]])</f>
        <v>202</v>
      </c>
      <c r="Q255" s="10">
        <f t="shared" si="18"/>
        <v>202</v>
      </c>
      <c r="R255" s="10">
        <f t="shared" si="19"/>
        <v>202</v>
      </c>
      <c r="S255" s="10">
        <f t="shared" si="20"/>
        <v>404</v>
      </c>
      <c r="T255" s="10">
        <f t="shared" si="21"/>
        <v>404</v>
      </c>
      <c r="U255" s="8" t="str">
        <f t="shared" si="22"/>
        <v>Tue</v>
      </c>
      <c r="V255" s="8" t="str">
        <f t="shared" si="23"/>
        <v>Mon</v>
      </c>
    </row>
    <row r="256" spans="1:22" hidden="1" x14ac:dyDescent="0.25">
      <c r="A256" t="s">
        <v>393</v>
      </c>
      <c r="B256" t="s">
        <v>35</v>
      </c>
      <c r="C256" t="s">
        <v>8</v>
      </c>
      <c r="D256" t="s">
        <v>11</v>
      </c>
      <c r="F256" s="5">
        <v>44244</v>
      </c>
      <c r="G256" s="5">
        <v>44257</v>
      </c>
      <c r="H256" s="2">
        <v>1</v>
      </c>
      <c r="I256" s="6"/>
      <c r="J256" s="6"/>
      <c r="K256" s="7">
        <v>0.25</v>
      </c>
      <c r="L256" s="7">
        <v>48.372999999999998</v>
      </c>
      <c r="M256" t="s">
        <v>19</v>
      </c>
      <c r="N256" s="9"/>
      <c r="O256" s="8">
        <f t="array" ref="O256">INDEX(TechRate,MATCH(H256,TechNum,0))</f>
        <v>80</v>
      </c>
      <c r="P256" s="10">
        <f>WorkOrders2[[#This Row],[Techs]]*(WorkOrders2[[#This Row],[PartsCost]]*WorkOrders2[[#This Row],[LbrHrs]])</f>
        <v>12.093249999999999</v>
      </c>
      <c r="Q256" s="10">
        <f t="shared" si="18"/>
        <v>12.093249999999999</v>
      </c>
      <c r="R256" s="10">
        <f t="shared" si="19"/>
        <v>48.372999999999998</v>
      </c>
      <c r="S256" s="10">
        <f t="shared" si="20"/>
        <v>60.466249999999995</v>
      </c>
      <c r="T256" s="10">
        <f t="shared" si="21"/>
        <v>60.466249999999995</v>
      </c>
      <c r="U256" s="8" t="str">
        <f t="shared" si="22"/>
        <v>Wed</v>
      </c>
      <c r="V256" s="8" t="str">
        <f t="shared" si="23"/>
        <v>Tue</v>
      </c>
    </row>
    <row r="257" spans="1:22" hidden="1" x14ac:dyDescent="0.25">
      <c r="A257" t="s">
        <v>396</v>
      </c>
      <c r="B257" t="s">
        <v>35</v>
      </c>
      <c r="C257" t="s">
        <v>8</v>
      </c>
      <c r="D257" t="s">
        <v>13</v>
      </c>
      <c r="F257" s="5">
        <v>44245</v>
      </c>
      <c r="G257" s="5">
        <v>44257</v>
      </c>
      <c r="H257" s="2">
        <v>1</v>
      </c>
      <c r="I257" s="6"/>
      <c r="J257" s="6"/>
      <c r="K257" s="7">
        <v>0.5</v>
      </c>
      <c r="L257" s="7">
        <v>42.66</v>
      </c>
      <c r="M257" t="s">
        <v>17</v>
      </c>
      <c r="N257" s="9"/>
      <c r="O257" s="8">
        <f t="array" ref="O257">INDEX(TechRate,MATCH(H257,TechNum,0))</f>
        <v>80</v>
      </c>
      <c r="P257" s="10">
        <f>WorkOrders2[[#This Row],[Techs]]*(WorkOrders2[[#This Row],[PartsCost]]*WorkOrders2[[#This Row],[LbrHrs]])</f>
        <v>21.33</v>
      </c>
      <c r="Q257" s="10">
        <f t="shared" si="18"/>
        <v>21.33</v>
      </c>
      <c r="R257" s="10">
        <f t="shared" si="19"/>
        <v>42.66</v>
      </c>
      <c r="S257" s="10">
        <f t="shared" si="20"/>
        <v>63.989999999999995</v>
      </c>
      <c r="T257" s="10">
        <f t="shared" si="21"/>
        <v>63.989999999999995</v>
      </c>
      <c r="U257" s="8" t="str">
        <f t="shared" si="22"/>
        <v>Thu</v>
      </c>
      <c r="V257" s="8" t="str">
        <f t="shared" si="23"/>
        <v>Tue</v>
      </c>
    </row>
    <row r="258" spans="1:22" hidden="1" x14ac:dyDescent="0.25">
      <c r="A258" t="s">
        <v>415</v>
      </c>
      <c r="B258" t="s">
        <v>35</v>
      </c>
      <c r="C258" t="s">
        <v>8</v>
      </c>
      <c r="D258" t="s">
        <v>12</v>
      </c>
      <c r="F258" s="5">
        <v>44257</v>
      </c>
      <c r="G258" s="5">
        <v>44264</v>
      </c>
      <c r="H258" s="2">
        <v>1</v>
      </c>
      <c r="I258" s="6"/>
      <c r="J258" s="6"/>
      <c r="K258" s="7">
        <v>1.25</v>
      </c>
      <c r="L258" s="7">
        <v>340.70060000000001</v>
      </c>
      <c r="M258" t="s">
        <v>17</v>
      </c>
      <c r="N258" s="9"/>
      <c r="O258" s="8">
        <f t="array" ref="O258">INDEX(TechRate,MATCH(H258,TechNum,0))</f>
        <v>80</v>
      </c>
      <c r="P258" s="10">
        <f>WorkOrders2[[#This Row],[Techs]]*(WorkOrders2[[#This Row],[PartsCost]]*WorkOrders2[[#This Row],[LbrHrs]])</f>
        <v>425.87575000000004</v>
      </c>
      <c r="Q258" s="10">
        <f t="shared" ref="Q258:Q321" si="24">IF(I258="Yes",0,P258)</f>
        <v>425.87575000000004</v>
      </c>
      <c r="R258" s="10">
        <f t="shared" ref="R258:R321" si="25">IF(J258="Yes",0,L258)</f>
        <v>340.70060000000001</v>
      </c>
      <c r="S258" s="10">
        <f t="shared" ref="S258:S321" si="26">SUM(L258,P258)</f>
        <v>766.57635000000005</v>
      </c>
      <c r="T258" s="10">
        <f t="shared" ref="T258:T321" si="27">SUM(Q258,R258)</f>
        <v>766.57635000000005</v>
      </c>
      <c r="U258" s="8" t="str">
        <f t="shared" ref="U258:U321" si="28">TEXT(F258,"ddd")</f>
        <v>Tue</v>
      </c>
      <c r="V258" s="8" t="str">
        <f t="shared" ref="V258:V321" si="29">TEXT(G258,"ddd")</f>
        <v>Tue</v>
      </c>
    </row>
    <row r="259" spans="1:22" hidden="1" x14ac:dyDescent="0.25">
      <c r="A259" t="s">
        <v>416</v>
      </c>
      <c r="B259" t="s">
        <v>35</v>
      </c>
      <c r="C259" t="s">
        <v>8</v>
      </c>
      <c r="D259" t="s">
        <v>13</v>
      </c>
      <c r="E259" t="s">
        <v>3</v>
      </c>
      <c r="F259" s="5">
        <v>44257</v>
      </c>
      <c r="G259" s="5">
        <v>44265</v>
      </c>
      <c r="H259" s="2">
        <v>1</v>
      </c>
      <c r="I259" s="6"/>
      <c r="J259" s="6"/>
      <c r="K259" s="7">
        <v>0.75</v>
      </c>
      <c r="L259" s="7">
        <v>22.84</v>
      </c>
      <c r="M259" t="s">
        <v>19</v>
      </c>
      <c r="N259" s="9"/>
      <c r="O259" s="8">
        <f t="array" ref="O259">INDEX(TechRate,MATCH(H259,TechNum,0))</f>
        <v>80</v>
      </c>
      <c r="P259" s="10">
        <f>WorkOrders2[[#This Row],[Techs]]*(WorkOrders2[[#This Row],[PartsCost]]*WorkOrders2[[#This Row],[LbrHrs]])</f>
        <v>17.13</v>
      </c>
      <c r="Q259" s="10">
        <f t="shared" si="24"/>
        <v>17.13</v>
      </c>
      <c r="R259" s="10">
        <f t="shared" si="25"/>
        <v>22.84</v>
      </c>
      <c r="S259" s="10">
        <f t="shared" si="26"/>
        <v>39.97</v>
      </c>
      <c r="T259" s="10">
        <f t="shared" si="27"/>
        <v>39.97</v>
      </c>
      <c r="U259" s="8" t="str">
        <f t="shared" si="28"/>
        <v>Tue</v>
      </c>
      <c r="V259" s="8" t="str">
        <f t="shared" si="29"/>
        <v>Wed</v>
      </c>
    </row>
    <row r="260" spans="1:22" hidden="1" x14ac:dyDescent="0.25">
      <c r="A260" t="s">
        <v>426</v>
      </c>
      <c r="B260" t="s">
        <v>35</v>
      </c>
      <c r="C260" t="s">
        <v>9</v>
      </c>
      <c r="D260" t="s">
        <v>12</v>
      </c>
      <c r="E260" t="s">
        <v>3</v>
      </c>
      <c r="F260" s="5">
        <v>44258</v>
      </c>
      <c r="G260" s="5">
        <v>44329</v>
      </c>
      <c r="H260" s="2">
        <v>2</v>
      </c>
      <c r="I260" s="6"/>
      <c r="J260" s="6"/>
      <c r="K260" s="7">
        <v>0.75</v>
      </c>
      <c r="L260" s="7">
        <v>572.62689999999998</v>
      </c>
      <c r="M260" t="s">
        <v>18</v>
      </c>
      <c r="N260" s="9"/>
      <c r="O260" s="8">
        <f t="array" ref="O260">INDEX(TechRate,MATCH(H260,TechNum,0))</f>
        <v>140</v>
      </c>
      <c r="P260" s="10">
        <f>WorkOrders2[[#This Row],[Techs]]*(WorkOrders2[[#This Row],[PartsCost]]*WorkOrders2[[#This Row],[LbrHrs]])</f>
        <v>858.94034999999997</v>
      </c>
      <c r="Q260" s="10">
        <f t="shared" si="24"/>
        <v>858.94034999999997</v>
      </c>
      <c r="R260" s="10">
        <f t="shared" si="25"/>
        <v>572.62689999999998</v>
      </c>
      <c r="S260" s="10">
        <f t="shared" si="26"/>
        <v>1431.5672500000001</v>
      </c>
      <c r="T260" s="10">
        <f t="shared" si="27"/>
        <v>1431.5672500000001</v>
      </c>
      <c r="U260" s="8" t="str">
        <f t="shared" si="28"/>
        <v>Wed</v>
      </c>
      <c r="V260" s="8" t="str">
        <f t="shared" si="29"/>
        <v>Thu</v>
      </c>
    </row>
    <row r="261" spans="1:22" hidden="1" x14ac:dyDescent="0.25">
      <c r="A261" t="s">
        <v>428</v>
      </c>
      <c r="B261" t="s">
        <v>35</v>
      </c>
      <c r="C261" t="s">
        <v>44</v>
      </c>
      <c r="D261" t="s">
        <v>12</v>
      </c>
      <c r="F261" s="5">
        <v>44259</v>
      </c>
      <c r="G261" s="5">
        <v>44263</v>
      </c>
      <c r="H261" s="2">
        <v>1</v>
      </c>
      <c r="I261" s="6"/>
      <c r="J261" s="6"/>
      <c r="K261" s="7">
        <v>0.25</v>
      </c>
      <c r="L261" s="7">
        <v>110.2272</v>
      </c>
      <c r="M261" t="s">
        <v>17</v>
      </c>
      <c r="N261" s="9"/>
      <c r="O261" s="8">
        <f t="array" ref="O261">INDEX(TechRate,MATCH(H261,TechNum,0))</f>
        <v>80</v>
      </c>
      <c r="P261" s="10">
        <f>WorkOrders2[[#This Row],[Techs]]*(WorkOrders2[[#This Row],[PartsCost]]*WorkOrders2[[#This Row],[LbrHrs]])</f>
        <v>27.556799999999999</v>
      </c>
      <c r="Q261" s="10">
        <f t="shared" si="24"/>
        <v>27.556799999999999</v>
      </c>
      <c r="R261" s="10">
        <f t="shared" si="25"/>
        <v>110.2272</v>
      </c>
      <c r="S261" s="10">
        <f t="shared" si="26"/>
        <v>137.78399999999999</v>
      </c>
      <c r="T261" s="10">
        <f t="shared" si="27"/>
        <v>137.78399999999999</v>
      </c>
      <c r="U261" s="8" t="str">
        <f t="shared" si="28"/>
        <v>Thu</v>
      </c>
      <c r="V261" s="8" t="str">
        <f t="shared" si="29"/>
        <v>Mon</v>
      </c>
    </row>
    <row r="262" spans="1:22" hidden="1" x14ac:dyDescent="0.25">
      <c r="A262" t="s">
        <v>452</v>
      </c>
      <c r="B262" t="s">
        <v>35</v>
      </c>
      <c r="C262" t="s">
        <v>8</v>
      </c>
      <c r="D262" t="s">
        <v>12</v>
      </c>
      <c r="E262" t="s">
        <v>3</v>
      </c>
      <c r="F262" s="5">
        <v>44266</v>
      </c>
      <c r="G262" s="5">
        <v>44348</v>
      </c>
      <c r="H262" s="2">
        <v>1</v>
      </c>
      <c r="I262" s="6"/>
      <c r="J262" s="6"/>
      <c r="K262" s="7">
        <v>0.25</v>
      </c>
      <c r="L262" s="7">
        <v>204.28399999999999</v>
      </c>
      <c r="M262" t="s">
        <v>18</v>
      </c>
      <c r="N262" s="9"/>
      <c r="O262" s="8">
        <f t="array" ref="O262">INDEX(TechRate,MATCH(H262,TechNum,0))</f>
        <v>80</v>
      </c>
      <c r="P262" s="10">
        <f>WorkOrders2[[#This Row],[Techs]]*(WorkOrders2[[#This Row],[PartsCost]]*WorkOrders2[[#This Row],[LbrHrs]])</f>
        <v>51.070999999999998</v>
      </c>
      <c r="Q262" s="10">
        <f t="shared" si="24"/>
        <v>51.070999999999998</v>
      </c>
      <c r="R262" s="10">
        <f t="shared" si="25"/>
        <v>204.28399999999999</v>
      </c>
      <c r="S262" s="10">
        <f t="shared" si="26"/>
        <v>255.35499999999999</v>
      </c>
      <c r="T262" s="10">
        <f t="shared" si="27"/>
        <v>255.35499999999999</v>
      </c>
      <c r="U262" s="8" t="str">
        <f t="shared" si="28"/>
        <v>Thu</v>
      </c>
      <c r="V262" s="8" t="str">
        <f t="shared" si="29"/>
        <v>Tue</v>
      </c>
    </row>
    <row r="263" spans="1:22" hidden="1" x14ac:dyDescent="0.25">
      <c r="A263" t="s">
        <v>456</v>
      </c>
      <c r="B263" t="s">
        <v>35</v>
      </c>
      <c r="C263" t="s">
        <v>44</v>
      </c>
      <c r="D263" t="s">
        <v>1</v>
      </c>
      <c r="F263" s="5">
        <v>44270</v>
      </c>
      <c r="G263" s="5">
        <v>44279</v>
      </c>
      <c r="H263" s="2">
        <v>2</v>
      </c>
      <c r="I263" s="6"/>
      <c r="J263" s="6"/>
      <c r="K263" s="7">
        <v>4.75</v>
      </c>
      <c r="L263" s="7">
        <v>56.4</v>
      </c>
      <c r="M263" t="s">
        <v>17</v>
      </c>
      <c r="N263" s="9"/>
      <c r="O263" s="8">
        <f t="array" ref="O263">INDEX(TechRate,MATCH(H263,TechNum,0))</f>
        <v>140</v>
      </c>
      <c r="P263" s="10">
        <f>WorkOrders2[[#This Row],[Techs]]*(WorkOrders2[[#This Row],[PartsCost]]*WorkOrders2[[#This Row],[LbrHrs]])</f>
        <v>535.79999999999995</v>
      </c>
      <c r="Q263" s="10">
        <f t="shared" si="24"/>
        <v>535.79999999999995</v>
      </c>
      <c r="R263" s="10">
        <f t="shared" si="25"/>
        <v>56.4</v>
      </c>
      <c r="S263" s="10">
        <f t="shared" si="26"/>
        <v>592.19999999999993</v>
      </c>
      <c r="T263" s="10">
        <f t="shared" si="27"/>
        <v>592.19999999999993</v>
      </c>
      <c r="U263" s="8" t="str">
        <f t="shared" si="28"/>
        <v>Mon</v>
      </c>
      <c r="V263" s="8" t="str">
        <f t="shared" si="29"/>
        <v>Wed</v>
      </c>
    </row>
    <row r="264" spans="1:22" hidden="1" x14ac:dyDescent="0.25">
      <c r="A264" t="s">
        <v>461</v>
      </c>
      <c r="B264" t="s">
        <v>35</v>
      </c>
      <c r="C264" t="s">
        <v>44</v>
      </c>
      <c r="D264" t="s">
        <v>11</v>
      </c>
      <c r="E264" t="s">
        <v>3</v>
      </c>
      <c r="F264" s="5">
        <v>44270</v>
      </c>
      <c r="G264" s="5">
        <v>44305</v>
      </c>
      <c r="H264" s="2">
        <v>1</v>
      </c>
      <c r="I264" s="6"/>
      <c r="J264" s="6"/>
      <c r="K264" s="7">
        <v>0.25</v>
      </c>
      <c r="L264" s="7">
        <v>23.401</v>
      </c>
      <c r="M264" t="s">
        <v>17</v>
      </c>
      <c r="N264" s="9"/>
      <c r="O264" s="8">
        <f t="array" ref="O264">INDEX(TechRate,MATCH(H264,TechNum,0))</f>
        <v>80</v>
      </c>
      <c r="P264" s="10">
        <f>WorkOrders2[[#This Row],[Techs]]*(WorkOrders2[[#This Row],[PartsCost]]*WorkOrders2[[#This Row],[LbrHrs]])</f>
        <v>5.85025</v>
      </c>
      <c r="Q264" s="10">
        <f t="shared" si="24"/>
        <v>5.85025</v>
      </c>
      <c r="R264" s="10">
        <f t="shared" si="25"/>
        <v>23.401</v>
      </c>
      <c r="S264" s="10">
        <f t="shared" si="26"/>
        <v>29.251249999999999</v>
      </c>
      <c r="T264" s="10">
        <f t="shared" si="27"/>
        <v>29.251249999999999</v>
      </c>
      <c r="U264" s="8" t="str">
        <f t="shared" si="28"/>
        <v>Mon</v>
      </c>
      <c r="V264" s="8" t="str">
        <f t="shared" si="29"/>
        <v>Mon</v>
      </c>
    </row>
    <row r="265" spans="1:22" hidden="1" x14ac:dyDescent="0.25">
      <c r="A265" t="s">
        <v>465</v>
      </c>
      <c r="B265" t="s">
        <v>35</v>
      </c>
      <c r="C265" t="s">
        <v>44</v>
      </c>
      <c r="D265" t="s">
        <v>12</v>
      </c>
      <c r="E265" t="s">
        <v>3</v>
      </c>
      <c r="F265" s="5">
        <v>44271</v>
      </c>
      <c r="G265" s="5">
        <v>44278</v>
      </c>
      <c r="H265" s="2">
        <v>1</v>
      </c>
      <c r="I265" s="6"/>
      <c r="J265" s="6"/>
      <c r="K265" s="7">
        <v>0.5</v>
      </c>
      <c r="L265" s="7">
        <v>61.259</v>
      </c>
      <c r="M265" t="s">
        <v>17</v>
      </c>
      <c r="N265" s="9"/>
      <c r="O265" s="8">
        <f t="array" ref="O265">INDEX(TechRate,MATCH(H265,TechNum,0))</f>
        <v>80</v>
      </c>
      <c r="P265" s="10">
        <f>WorkOrders2[[#This Row],[Techs]]*(WorkOrders2[[#This Row],[PartsCost]]*WorkOrders2[[#This Row],[LbrHrs]])</f>
        <v>30.6295</v>
      </c>
      <c r="Q265" s="10">
        <f t="shared" si="24"/>
        <v>30.6295</v>
      </c>
      <c r="R265" s="10">
        <f t="shared" si="25"/>
        <v>61.259</v>
      </c>
      <c r="S265" s="10">
        <f t="shared" si="26"/>
        <v>91.888499999999993</v>
      </c>
      <c r="T265" s="10">
        <f t="shared" si="27"/>
        <v>91.888499999999993</v>
      </c>
      <c r="U265" s="8" t="str">
        <f t="shared" si="28"/>
        <v>Tue</v>
      </c>
      <c r="V265" s="8" t="str">
        <f t="shared" si="29"/>
        <v>Tue</v>
      </c>
    </row>
    <row r="266" spans="1:22" hidden="1" x14ac:dyDescent="0.25">
      <c r="A266" t="s">
        <v>478</v>
      </c>
      <c r="B266" t="s">
        <v>35</v>
      </c>
      <c r="C266" t="s">
        <v>44</v>
      </c>
      <c r="D266" t="s">
        <v>13</v>
      </c>
      <c r="F266" s="5">
        <v>44277</v>
      </c>
      <c r="G266" s="5">
        <v>44306</v>
      </c>
      <c r="H266" s="2">
        <v>2</v>
      </c>
      <c r="I266" s="6"/>
      <c r="J266" s="6"/>
      <c r="K266" s="7">
        <v>6.25</v>
      </c>
      <c r="L266" s="7">
        <v>27</v>
      </c>
      <c r="M266" t="s">
        <v>18</v>
      </c>
      <c r="N266" s="9"/>
      <c r="O266" s="8">
        <f t="array" ref="O266">INDEX(TechRate,MATCH(H266,TechNum,0))</f>
        <v>140</v>
      </c>
      <c r="P266" s="10">
        <f>WorkOrders2[[#This Row],[Techs]]*(WorkOrders2[[#This Row],[PartsCost]]*WorkOrders2[[#This Row],[LbrHrs]])</f>
        <v>337.5</v>
      </c>
      <c r="Q266" s="10">
        <f t="shared" si="24"/>
        <v>337.5</v>
      </c>
      <c r="R266" s="10">
        <f t="shared" si="25"/>
        <v>27</v>
      </c>
      <c r="S266" s="10">
        <f t="shared" si="26"/>
        <v>364.5</v>
      </c>
      <c r="T266" s="10">
        <f t="shared" si="27"/>
        <v>364.5</v>
      </c>
      <c r="U266" s="8" t="str">
        <f t="shared" si="28"/>
        <v>Mon</v>
      </c>
      <c r="V266" s="8" t="str">
        <f t="shared" si="29"/>
        <v>Tue</v>
      </c>
    </row>
    <row r="267" spans="1:22" x14ac:dyDescent="0.25">
      <c r="A267" t="s">
        <v>490</v>
      </c>
      <c r="B267" t="s">
        <v>35</v>
      </c>
      <c r="C267" t="s">
        <v>9</v>
      </c>
      <c r="D267" t="s">
        <v>2</v>
      </c>
      <c r="F267" s="5">
        <v>44278</v>
      </c>
      <c r="G267" s="5">
        <v>44329</v>
      </c>
      <c r="H267" s="2">
        <v>2</v>
      </c>
      <c r="I267" s="6"/>
      <c r="J267" s="6"/>
      <c r="K267" s="7">
        <v>3.5</v>
      </c>
      <c r="L267" s="7">
        <v>653.00080000000003</v>
      </c>
      <c r="M267" t="s">
        <v>18</v>
      </c>
      <c r="N267" s="9"/>
      <c r="O267" s="8">
        <f t="array" ref="O267">INDEX(TechRate,MATCH(H267,TechNum,0))</f>
        <v>140</v>
      </c>
      <c r="P267" s="10">
        <f>WorkOrders2[[#This Row],[Techs]]*(WorkOrders2[[#This Row],[PartsCost]]*WorkOrders2[[#This Row],[LbrHrs]])</f>
        <v>4571.0056000000004</v>
      </c>
      <c r="Q267" s="10">
        <f t="shared" si="24"/>
        <v>4571.0056000000004</v>
      </c>
      <c r="R267" s="10">
        <f t="shared" si="25"/>
        <v>653.00080000000003</v>
      </c>
      <c r="S267" s="10">
        <f t="shared" si="26"/>
        <v>5224.0064000000002</v>
      </c>
      <c r="T267" s="10">
        <f t="shared" si="27"/>
        <v>5224.0064000000002</v>
      </c>
      <c r="U267" s="8" t="str">
        <f t="shared" si="28"/>
        <v>Tue</v>
      </c>
      <c r="V267" s="8" t="str">
        <f t="shared" si="29"/>
        <v>Thu</v>
      </c>
    </row>
    <row r="268" spans="1:22" hidden="1" x14ac:dyDescent="0.25">
      <c r="A268" t="s">
        <v>501</v>
      </c>
      <c r="B268" t="s">
        <v>35</v>
      </c>
      <c r="C268" t="s">
        <v>9</v>
      </c>
      <c r="D268" t="s">
        <v>12</v>
      </c>
      <c r="F268" s="5">
        <v>44287</v>
      </c>
      <c r="G268" s="5">
        <v>44298</v>
      </c>
      <c r="H268" s="2">
        <v>1</v>
      </c>
      <c r="I268" s="6"/>
      <c r="J268" s="6"/>
      <c r="K268" s="7">
        <v>0.25</v>
      </c>
      <c r="L268" s="7">
        <v>74.532399999999996</v>
      </c>
      <c r="M268" t="s">
        <v>19</v>
      </c>
      <c r="N268" s="9"/>
      <c r="O268" s="8">
        <f t="array" ref="O268">INDEX(TechRate,MATCH(H268,TechNum,0))</f>
        <v>80</v>
      </c>
      <c r="P268" s="10">
        <f>WorkOrders2[[#This Row],[Techs]]*(WorkOrders2[[#This Row],[PartsCost]]*WorkOrders2[[#This Row],[LbrHrs]])</f>
        <v>18.633099999999999</v>
      </c>
      <c r="Q268" s="10">
        <f t="shared" si="24"/>
        <v>18.633099999999999</v>
      </c>
      <c r="R268" s="10">
        <f t="shared" si="25"/>
        <v>74.532399999999996</v>
      </c>
      <c r="S268" s="10">
        <f t="shared" si="26"/>
        <v>93.165499999999994</v>
      </c>
      <c r="T268" s="10">
        <f t="shared" si="27"/>
        <v>93.165499999999994</v>
      </c>
      <c r="U268" s="8" t="str">
        <f t="shared" si="28"/>
        <v>Thu</v>
      </c>
      <c r="V268" s="8" t="str">
        <f t="shared" si="29"/>
        <v>Mon</v>
      </c>
    </row>
    <row r="269" spans="1:22" hidden="1" x14ac:dyDescent="0.25">
      <c r="A269" t="s">
        <v>503</v>
      </c>
      <c r="B269" t="s">
        <v>35</v>
      </c>
      <c r="C269" t="s">
        <v>8</v>
      </c>
      <c r="D269" t="s">
        <v>12</v>
      </c>
      <c r="E269" t="s">
        <v>3</v>
      </c>
      <c r="F269" s="5">
        <v>44287</v>
      </c>
      <c r="G269" s="5">
        <v>44300</v>
      </c>
      <c r="H269" s="2">
        <v>1</v>
      </c>
      <c r="I269" s="6"/>
      <c r="J269" s="6"/>
      <c r="K269" s="7">
        <v>0.25</v>
      </c>
      <c r="L269" s="7">
        <v>23.401</v>
      </c>
      <c r="M269" t="s">
        <v>17</v>
      </c>
      <c r="N269" s="9"/>
      <c r="O269" s="8">
        <f t="array" ref="O269">INDEX(TechRate,MATCH(H269,TechNum,0))</f>
        <v>80</v>
      </c>
      <c r="P269" s="10">
        <f>WorkOrders2[[#This Row],[Techs]]*(WorkOrders2[[#This Row],[PartsCost]]*WorkOrders2[[#This Row],[LbrHrs]])</f>
        <v>5.85025</v>
      </c>
      <c r="Q269" s="10">
        <f t="shared" si="24"/>
        <v>5.85025</v>
      </c>
      <c r="R269" s="10">
        <f t="shared" si="25"/>
        <v>23.401</v>
      </c>
      <c r="S269" s="10">
        <f t="shared" si="26"/>
        <v>29.251249999999999</v>
      </c>
      <c r="T269" s="10">
        <f t="shared" si="27"/>
        <v>29.251249999999999</v>
      </c>
      <c r="U269" s="8" t="str">
        <f t="shared" si="28"/>
        <v>Thu</v>
      </c>
      <c r="V269" s="8" t="str">
        <f t="shared" si="29"/>
        <v>Wed</v>
      </c>
    </row>
    <row r="270" spans="1:22" hidden="1" x14ac:dyDescent="0.25">
      <c r="A270" t="s">
        <v>506</v>
      </c>
      <c r="B270" t="s">
        <v>35</v>
      </c>
      <c r="C270" t="s">
        <v>9</v>
      </c>
      <c r="D270" t="s">
        <v>12</v>
      </c>
      <c r="F270" s="5">
        <v>44288</v>
      </c>
      <c r="G270" s="5">
        <v>44312</v>
      </c>
      <c r="H270" s="2">
        <v>1</v>
      </c>
      <c r="I270" s="6"/>
      <c r="J270" s="6"/>
      <c r="K270" s="7">
        <v>0.5</v>
      </c>
      <c r="L270" s="7">
        <v>163.197</v>
      </c>
      <c r="M270" t="s">
        <v>19</v>
      </c>
      <c r="N270" s="9"/>
      <c r="O270" s="8">
        <f t="array" ref="O270">INDEX(TechRate,MATCH(H270,TechNum,0))</f>
        <v>80</v>
      </c>
      <c r="P270" s="10">
        <f>WorkOrders2[[#This Row],[Techs]]*(WorkOrders2[[#This Row],[PartsCost]]*WorkOrders2[[#This Row],[LbrHrs]])</f>
        <v>81.598500000000001</v>
      </c>
      <c r="Q270" s="10">
        <f t="shared" si="24"/>
        <v>81.598500000000001</v>
      </c>
      <c r="R270" s="10">
        <f t="shared" si="25"/>
        <v>163.197</v>
      </c>
      <c r="S270" s="10">
        <f t="shared" si="26"/>
        <v>244.7955</v>
      </c>
      <c r="T270" s="10">
        <f t="shared" si="27"/>
        <v>244.7955</v>
      </c>
      <c r="U270" s="8" t="str">
        <f t="shared" si="28"/>
        <v>Fri</v>
      </c>
      <c r="V270" s="8" t="str">
        <f t="shared" si="29"/>
        <v>Mon</v>
      </c>
    </row>
    <row r="271" spans="1:22" hidden="1" x14ac:dyDescent="0.25">
      <c r="A271" t="s">
        <v>509</v>
      </c>
      <c r="B271" t="s">
        <v>35</v>
      </c>
      <c r="C271" t="s">
        <v>9</v>
      </c>
      <c r="D271" t="s">
        <v>12</v>
      </c>
      <c r="F271" s="5">
        <v>44289</v>
      </c>
      <c r="G271" s="5">
        <v>44327</v>
      </c>
      <c r="H271" s="2">
        <v>2</v>
      </c>
      <c r="I271" s="6"/>
      <c r="J271" s="6" t="s">
        <v>3</v>
      </c>
      <c r="K271" s="7">
        <v>1</v>
      </c>
      <c r="L271" s="7">
        <v>304.50729999999999</v>
      </c>
      <c r="M271" t="s">
        <v>18</v>
      </c>
      <c r="N271" s="9"/>
      <c r="O271" s="8">
        <f t="array" ref="O271">INDEX(TechRate,MATCH(H271,TechNum,0))</f>
        <v>140</v>
      </c>
      <c r="P271" s="10">
        <f>WorkOrders2[[#This Row],[Techs]]*(WorkOrders2[[#This Row],[PartsCost]]*WorkOrders2[[#This Row],[LbrHrs]])</f>
        <v>609.01459999999997</v>
      </c>
      <c r="Q271" s="10">
        <f t="shared" si="24"/>
        <v>609.01459999999997</v>
      </c>
      <c r="R271" s="10">
        <f t="shared" si="25"/>
        <v>0</v>
      </c>
      <c r="S271" s="10">
        <f t="shared" si="26"/>
        <v>913.52189999999996</v>
      </c>
      <c r="T271" s="10">
        <f t="shared" si="27"/>
        <v>609.01459999999997</v>
      </c>
      <c r="U271" s="8" t="str">
        <f t="shared" si="28"/>
        <v>Sat</v>
      </c>
      <c r="V271" s="8" t="str">
        <f t="shared" si="29"/>
        <v>Tue</v>
      </c>
    </row>
    <row r="272" spans="1:22" hidden="1" x14ac:dyDescent="0.25">
      <c r="A272" t="s">
        <v>514</v>
      </c>
      <c r="B272" t="s">
        <v>35</v>
      </c>
      <c r="C272" t="s">
        <v>44</v>
      </c>
      <c r="D272" t="s">
        <v>12</v>
      </c>
      <c r="F272" s="5">
        <v>44291</v>
      </c>
      <c r="G272" s="5">
        <v>44328</v>
      </c>
      <c r="H272" s="2">
        <v>1</v>
      </c>
      <c r="I272" s="6"/>
      <c r="J272" s="6"/>
      <c r="K272" s="7">
        <v>0.25</v>
      </c>
      <c r="L272" s="7">
        <v>30.1082</v>
      </c>
      <c r="M272" t="s">
        <v>17</v>
      </c>
      <c r="N272" s="9"/>
      <c r="O272" s="8">
        <f t="array" ref="O272">INDEX(TechRate,MATCH(H272,TechNum,0))</f>
        <v>80</v>
      </c>
      <c r="P272" s="10">
        <f>WorkOrders2[[#This Row],[Techs]]*(WorkOrders2[[#This Row],[PartsCost]]*WorkOrders2[[#This Row],[LbrHrs]])</f>
        <v>7.52705</v>
      </c>
      <c r="Q272" s="10">
        <f t="shared" si="24"/>
        <v>7.52705</v>
      </c>
      <c r="R272" s="10">
        <f t="shared" si="25"/>
        <v>30.1082</v>
      </c>
      <c r="S272" s="10">
        <f t="shared" si="26"/>
        <v>37.635249999999999</v>
      </c>
      <c r="T272" s="10">
        <f t="shared" si="27"/>
        <v>37.635249999999999</v>
      </c>
      <c r="U272" s="8" t="str">
        <f t="shared" si="28"/>
        <v>Mon</v>
      </c>
      <c r="V272" s="8" t="str">
        <f t="shared" si="29"/>
        <v>Wed</v>
      </c>
    </row>
    <row r="273" spans="1:22" hidden="1" x14ac:dyDescent="0.25">
      <c r="A273" t="s">
        <v>534</v>
      </c>
      <c r="B273" t="s">
        <v>35</v>
      </c>
      <c r="C273" t="s">
        <v>44</v>
      </c>
      <c r="D273" t="s">
        <v>12</v>
      </c>
      <c r="E273" t="s">
        <v>3</v>
      </c>
      <c r="F273" s="5">
        <v>44294</v>
      </c>
      <c r="G273" s="5">
        <v>44337</v>
      </c>
      <c r="H273" s="2">
        <v>2</v>
      </c>
      <c r="I273" s="6"/>
      <c r="J273" s="6"/>
      <c r="K273" s="7">
        <v>0.25</v>
      </c>
      <c r="L273" s="7">
        <v>2.54</v>
      </c>
      <c r="M273" t="s">
        <v>17</v>
      </c>
      <c r="N273" s="9"/>
      <c r="O273" s="8">
        <f t="array" ref="O273">INDEX(TechRate,MATCH(H273,TechNum,0))</f>
        <v>140</v>
      </c>
      <c r="P273" s="10">
        <f>WorkOrders2[[#This Row],[Techs]]*(WorkOrders2[[#This Row],[PartsCost]]*WorkOrders2[[#This Row],[LbrHrs]])</f>
        <v>1.27</v>
      </c>
      <c r="Q273" s="10">
        <f t="shared" si="24"/>
        <v>1.27</v>
      </c>
      <c r="R273" s="10">
        <f t="shared" si="25"/>
        <v>2.54</v>
      </c>
      <c r="S273" s="10">
        <f t="shared" si="26"/>
        <v>3.81</v>
      </c>
      <c r="T273" s="10">
        <f t="shared" si="27"/>
        <v>3.81</v>
      </c>
      <c r="U273" s="8" t="str">
        <f t="shared" si="28"/>
        <v>Thu</v>
      </c>
      <c r="V273" s="8" t="str">
        <f t="shared" si="29"/>
        <v>Fri</v>
      </c>
    </row>
    <row r="274" spans="1:22" hidden="1" x14ac:dyDescent="0.25">
      <c r="A274" t="s">
        <v>541</v>
      </c>
      <c r="B274" t="s">
        <v>35</v>
      </c>
      <c r="C274" t="s">
        <v>9</v>
      </c>
      <c r="D274" t="s">
        <v>11</v>
      </c>
      <c r="F274" s="5">
        <v>44298</v>
      </c>
      <c r="G274" s="5">
        <v>44319</v>
      </c>
      <c r="H274" s="2">
        <v>1</v>
      </c>
      <c r="I274" s="6"/>
      <c r="J274" s="6"/>
      <c r="K274" s="7">
        <v>0.25</v>
      </c>
      <c r="L274" s="7">
        <v>83.462900000000005</v>
      </c>
      <c r="M274" t="s">
        <v>17</v>
      </c>
      <c r="N274" s="9"/>
      <c r="O274" s="8">
        <f t="array" ref="O274">INDEX(TechRate,MATCH(H274,TechNum,0))</f>
        <v>80</v>
      </c>
      <c r="P274" s="10">
        <f>WorkOrders2[[#This Row],[Techs]]*(WorkOrders2[[#This Row],[PartsCost]]*WorkOrders2[[#This Row],[LbrHrs]])</f>
        <v>20.865725000000001</v>
      </c>
      <c r="Q274" s="10">
        <f t="shared" si="24"/>
        <v>20.865725000000001</v>
      </c>
      <c r="R274" s="10">
        <f t="shared" si="25"/>
        <v>83.462900000000005</v>
      </c>
      <c r="S274" s="10">
        <f t="shared" si="26"/>
        <v>104.328625</v>
      </c>
      <c r="T274" s="10">
        <f t="shared" si="27"/>
        <v>104.328625</v>
      </c>
      <c r="U274" s="8" t="str">
        <f t="shared" si="28"/>
        <v>Mon</v>
      </c>
      <c r="V274" s="8" t="str">
        <f t="shared" si="29"/>
        <v>Mon</v>
      </c>
    </row>
    <row r="275" spans="1:22" hidden="1" x14ac:dyDescent="0.25">
      <c r="A275" t="s">
        <v>48</v>
      </c>
      <c r="B275" t="s">
        <v>37</v>
      </c>
      <c r="C275" t="s">
        <v>43</v>
      </c>
      <c r="D275" t="s">
        <v>13</v>
      </c>
      <c r="F275" s="5">
        <v>44075</v>
      </c>
      <c r="G275" s="5">
        <v>44078</v>
      </c>
      <c r="H275" s="2">
        <v>1</v>
      </c>
      <c r="I275" s="6"/>
      <c r="J275" s="6"/>
      <c r="K275" s="7">
        <v>0.5</v>
      </c>
      <c r="L275" s="7">
        <v>90.041600000000003</v>
      </c>
      <c r="M275" t="s">
        <v>17</v>
      </c>
      <c r="N275" s="9"/>
      <c r="O275" s="8">
        <f t="array" ref="O275">INDEX(TechRate,MATCH(H275,TechNum,0))</f>
        <v>80</v>
      </c>
      <c r="P275" s="10">
        <f>WorkOrders2[[#This Row],[Techs]]*(WorkOrders2[[#This Row],[PartsCost]]*WorkOrders2[[#This Row],[LbrHrs]])</f>
        <v>45.020800000000001</v>
      </c>
      <c r="Q275" s="10">
        <f t="shared" si="24"/>
        <v>45.020800000000001</v>
      </c>
      <c r="R275" s="10">
        <f t="shared" si="25"/>
        <v>90.041600000000003</v>
      </c>
      <c r="S275" s="10">
        <f t="shared" si="26"/>
        <v>135.0624</v>
      </c>
      <c r="T275" s="10">
        <f t="shared" si="27"/>
        <v>135.0624</v>
      </c>
      <c r="U275" s="8" t="str">
        <f t="shared" si="28"/>
        <v>Tue</v>
      </c>
      <c r="V275" s="8" t="str">
        <f t="shared" si="29"/>
        <v>Fri</v>
      </c>
    </row>
    <row r="276" spans="1:22" hidden="1" x14ac:dyDescent="0.25">
      <c r="A276" t="s">
        <v>50</v>
      </c>
      <c r="B276" t="s">
        <v>37</v>
      </c>
      <c r="C276" t="s">
        <v>43</v>
      </c>
      <c r="D276" t="s">
        <v>11</v>
      </c>
      <c r="F276" s="5">
        <v>44075</v>
      </c>
      <c r="G276" s="5">
        <v>44091</v>
      </c>
      <c r="H276" s="2">
        <v>1</v>
      </c>
      <c r="I276" s="6"/>
      <c r="J276" s="6"/>
      <c r="K276" s="7">
        <v>0.25</v>
      </c>
      <c r="L276" s="7">
        <v>16.25</v>
      </c>
      <c r="M276" t="s">
        <v>17</v>
      </c>
      <c r="N276" s="9"/>
      <c r="O276" s="8">
        <f t="array" ref="O276">INDEX(TechRate,MATCH(H276,TechNum,0))</f>
        <v>80</v>
      </c>
      <c r="P276" s="10">
        <f>WorkOrders2[[#This Row],[Techs]]*(WorkOrders2[[#This Row],[PartsCost]]*WorkOrders2[[#This Row],[LbrHrs]])</f>
        <v>4.0625</v>
      </c>
      <c r="Q276" s="10">
        <f t="shared" si="24"/>
        <v>4.0625</v>
      </c>
      <c r="R276" s="10">
        <f t="shared" si="25"/>
        <v>16.25</v>
      </c>
      <c r="S276" s="10">
        <f t="shared" si="26"/>
        <v>20.3125</v>
      </c>
      <c r="T276" s="10">
        <f t="shared" si="27"/>
        <v>20.3125</v>
      </c>
      <c r="U276" s="8" t="str">
        <f t="shared" si="28"/>
        <v>Tue</v>
      </c>
      <c r="V276" s="8" t="str">
        <f t="shared" si="29"/>
        <v>Thu</v>
      </c>
    </row>
    <row r="277" spans="1:22" hidden="1" x14ac:dyDescent="0.25">
      <c r="A277" t="s">
        <v>52</v>
      </c>
      <c r="B277" t="s">
        <v>37</v>
      </c>
      <c r="C277" t="s">
        <v>43</v>
      </c>
      <c r="D277" t="s">
        <v>12</v>
      </c>
      <c r="F277" s="5">
        <v>44075</v>
      </c>
      <c r="G277" s="5">
        <v>44089</v>
      </c>
      <c r="H277" s="2">
        <v>1</v>
      </c>
      <c r="I277" s="6"/>
      <c r="J277" s="6"/>
      <c r="K277" s="7">
        <v>0.25</v>
      </c>
      <c r="L277" s="7">
        <v>97.626300000000001</v>
      </c>
      <c r="M277" t="s">
        <v>17</v>
      </c>
      <c r="N277" s="9"/>
      <c r="O277" s="8">
        <f t="array" ref="O277">INDEX(TechRate,MATCH(H277,TechNum,0))</f>
        <v>80</v>
      </c>
      <c r="P277" s="10">
        <f>WorkOrders2[[#This Row],[Techs]]*(WorkOrders2[[#This Row],[PartsCost]]*WorkOrders2[[#This Row],[LbrHrs]])</f>
        <v>24.406575</v>
      </c>
      <c r="Q277" s="10">
        <f t="shared" si="24"/>
        <v>24.406575</v>
      </c>
      <c r="R277" s="10">
        <f t="shared" si="25"/>
        <v>97.626300000000001</v>
      </c>
      <c r="S277" s="10">
        <f t="shared" si="26"/>
        <v>122.032875</v>
      </c>
      <c r="T277" s="10">
        <f t="shared" si="27"/>
        <v>122.032875</v>
      </c>
      <c r="U277" s="8" t="str">
        <f t="shared" si="28"/>
        <v>Tue</v>
      </c>
      <c r="V277" s="8" t="str">
        <f t="shared" si="29"/>
        <v>Tue</v>
      </c>
    </row>
    <row r="278" spans="1:22" hidden="1" x14ac:dyDescent="0.25">
      <c r="A278" t="s">
        <v>54</v>
      </c>
      <c r="B278" t="s">
        <v>37</v>
      </c>
      <c r="C278" t="s">
        <v>43</v>
      </c>
      <c r="D278" t="s">
        <v>13</v>
      </c>
      <c r="F278" s="5">
        <v>44076</v>
      </c>
      <c r="G278" s="5">
        <v>44106</v>
      </c>
      <c r="H278" s="2">
        <v>1</v>
      </c>
      <c r="I278" s="6"/>
      <c r="J278" s="6"/>
      <c r="K278" s="7">
        <v>0.75</v>
      </c>
      <c r="L278" s="7">
        <v>35.1</v>
      </c>
      <c r="M278" t="s">
        <v>17</v>
      </c>
      <c r="N278" s="9"/>
      <c r="O278" s="8">
        <f t="array" ref="O278">INDEX(TechRate,MATCH(H278,TechNum,0))</f>
        <v>80</v>
      </c>
      <c r="P278" s="10">
        <f>WorkOrders2[[#This Row],[Techs]]*(WorkOrders2[[#This Row],[PartsCost]]*WorkOrders2[[#This Row],[LbrHrs]])</f>
        <v>26.325000000000003</v>
      </c>
      <c r="Q278" s="10">
        <f t="shared" si="24"/>
        <v>26.325000000000003</v>
      </c>
      <c r="R278" s="10">
        <f t="shared" si="25"/>
        <v>35.1</v>
      </c>
      <c r="S278" s="10">
        <f t="shared" si="26"/>
        <v>61.425000000000004</v>
      </c>
      <c r="T278" s="10">
        <f t="shared" si="27"/>
        <v>61.425000000000004</v>
      </c>
      <c r="U278" s="8" t="str">
        <f t="shared" si="28"/>
        <v>Wed</v>
      </c>
      <c r="V278" s="8" t="str">
        <f t="shared" si="29"/>
        <v>Fri</v>
      </c>
    </row>
    <row r="279" spans="1:22" hidden="1" x14ac:dyDescent="0.25">
      <c r="A279" t="s">
        <v>58</v>
      </c>
      <c r="B279" t="s">
        <v>37</v>
      </c>
      <c r="C279" t="s">
        <v>43</v>
      </c>
      <c r="D279" t="s">
        <v>11</v>
      </c>
      <c r="E279" t="s">
        <v>3</v>
      </c>
      <c r="F279" s="5">
        <v>44077</v>
      </c>
      <c r="G279" s="5">
        <v>44097</v>
      </c>
      <c r="H279" s="2">
        <v>1</v>
      </c>
      <c r="I279" s="6"/>
      <c r="J279" s="6"/>
      <c r="K279" s="7">
        <v>0.25</v>
      </c>
      <c r="L279" s="7">
        <v>70.212999999999994</v>
      </c>
      <c r="M279" t="s">
        <v>17</v>
      </c>
      <c r="N279" s="9"/>
      <c r="O279" s="8">
        <f t="array" ref="O279">INDEX(TechRate,MATCH(H279,TechNum,0))</f>
        <v>80</v>
      </c>
      <c r="P279" s="10">
        <f>WorkOrders2[[#This Row],[Techs]]*(WorkOrders2[[#This Row],[PartsCost]]*WorkOrders2[[#This Row],[LbrHrs]])</f>
        <v>17.553249999999998</v>
      </c>
      <c r="Q279" s="10">
        <f t="shared" si="24"/>
        <v>17.553249999999998</v>
      </c>
      <c r="R279" s="10">
        <f t="shared" si="25"/>
        <v>70.212999999999994</v>
      </c>
      <c r="S279" s="10">
        <f t="shared" si="26"/>
        <v>87.766249999999985</v>
      </c>
      <c r="T279" s="10">
        <f t="shared" si="27"/>
        <v>87.766249999999985</v>
      </c>
      <c r="U279" s="8" t="str">
        <f t="shared" si="28"/>
        <v>Thu</v>
      </c>
      <c r="V279" s="8" t="str">
        <f t="shared" si="29"/>
        <v>Wed</v>
      </c>
    </row>
    <row r="280" spans="1:22" hidden="1" x14ac:dyDescent="0.25">
      <c r="A280" t="s">
        <v>62</v>
      </c>
      <c r="B280" t="s">
        <v>37</v>
      </c>
      <c r="C280" t="s">
        <v>43</v>
      </c>
      <c r="D280" t="s">
        <v>12</v>
      </c>
      <c r="F280" s="5">
        <v>44079</v>
      </c>
      <c r="G280" s="5">
        <v>44095</v>
      </c>
      <c r="H280" s="2">
        <v>1</v>
      </c>
      <c r="I280" s="6"/>
      <c r="J280" s="6"/>
      <c r="K280" s="7">
        <v>0.25</v>
      </c>
      <c r="L280" s="7">
        <v>61.249699999999997</v>
      </c>
      <c r="M280" t="s">
        <v>17</v>
      </c>
      <c r="N280" s="9"/>
      <c r="O280" s="8">
        <f t="array" ref="O280">INDEX(TechRate,MATCH(H280,TechNum,0))</f>
        <v>80</v>
      </c>
      <c r="P280" s="10">
        <f>WorkOrders2[[#This Row],[Techs]]*(WorkOrders2[[#This Row],[PartsCost]]*WorkOrders2[[#This Row],[LbrHrs]])</f>
        <v>15.312424999999999</v>
      </c>
      <c r="Q280" s="10">
        <f t="shared" si="24"/>
        <v>15.312424999999999</v>
      </c>
      <c r="R280" s="10">
        <f t="shared" si="25"/>
        <v>61.249699999999997</v>
      </c>
      <c r="S280" s="10">
        <f t="shared" si="26"/>
        <v>76.562124999999995</v>
      </c>
      <c r="T280" s="10">
        <f t="shared" si="27"/>
        <v>76.562124999999995</v>
      </c>
      <c r="U280" s="8" t="str">
        <f t="shared" si="28"/>
        <v>Sat</v>
      </c>
      <c r="V280" s="8" t="str">
        <f t="shared" si="29"/>
        <v>Mon</v>
      </c>
    </row>
    <row r="281" spans="1:22" hidden="1" x14ac:dyDescent="0.25">
      <c r="A281" t="s">
        <v>70</v>
      </c>
      <c r="B281" t="s">
        <v>37</v>
      </c>
      <c r="C281" t="s">
        <v>43</v>
      </c>
      <c r="D281" t="s">
        <v>13</v>
      </c>
      <c r="F281" s="5">
        <v>44082</v>
      </c>
      <c r="G281" s="5">
        <v>44152</v>
      </c>
      <c r="H281" s="2">
        <v>1</v>
      </c>
      <c r="I281" s="6"/>
      <c r="J281" s="6"/>
      <c r="K281" s="7">
        <v>0.5</v>
      </c>
      <c r="L281" s="7">
        <v>155.3931</v>
      </c>
      <c r="M281" t="s">
        <v>17</v>
      </c>
      <c r="N281" s="9"/>
      <c r="O281" s="8">
        <f t="array" ref="O281">INDEX(TechRate,MATCH(H281,TechNum,0))</f>
        <v>80</v>
      </c>
      <c r="P281" s="10">
        <f>WorkOrders2[[#This Row],[Techs]]*(WorkOrders2[[#This Row],[PartsCost]]*WorkOrders2[[#This Row],[LbrHrs]])</f>
        <v>77.696550000000002</v>
      </c>
      <c r="Q281" s="10">
        <f t="shared" si="24"/>
        <v>77.696550000000002</v>
      </c>
      <c r="R281" s="10">
        <f t="shared" si="25"/>
        <v>155.3931</v>
      </c>
      <c r="S281" s="10">
        <f t="shared" si="26"/>
        <v>233.08965000000001</v>
      </c>
      <c r="T281" s="10">
        <f t="shared" si="27"/>
        <v>233.08965000000001</v>
      </c>
      <c r="U281" s="8" t="str">
        <f t="shared" si="28"/>
        <v>Tue</v>
      </c>
      <c r="V281" s="8" t="str">
        <f t="shared" si="29"/>
        <v>Tue</v>
      </c>
    </row>
    <row r="282" spans="1:22" hidden="1" x14ac:dyDescent="0.25">
      <c r="A282" t="s">
        <v>72</v>
      </c>
      <c r="B282" t="s">
        <v>37</v>
      </c>
      <c r="C282" t="s">
        <v>43</v>
      </c>
      <c r="D282" t="s">
        <v>12</v>
      </c>
      <c r="F282" s="5">
        <v>44083</v>
      </c>
      <c r="G282" s="5">
        <v>44103</v>
      </c>
      <c r="H282" s="2">
        <v>1</v>
      </c>
      <c r="I282" s="6"/>
      <c r="J282" s="6"/>
      <c r="K282" s="7">
        <v>0.5</v>
      </c>
      <c r="L282" s="7">
        <v>37.917400000000001</v>
      </c>
      <c r="M282" t="s">
        <v>17</v>
      </c>
      <c r="N282" s="9"/>
      <c r="O282" s="8">
        <f t="array" ref="O282">INDEX(TechRate,MATCH(H282,TechNum,0))</f>
        <v>80</v>
      </c>
      <c r="P282" s="10">
        <f>WorkOrders2[[#This Row],[Techs]]*(WorkOrders2[[#This Row],[PartsCost]]*WorkOrders2[[#This Row],[LbrHrs]])</f>
        <v>18.9587</v>
      </c>
      <c r="Q282" s="10">
        <f t="shared" si="24"/>
        <v>18.9587</v>
      </c>
      <c r="R282" s="10">
        <f t="shared" si="25"/>
        <v>37.917400000000001</v>
      </c>
      <c r="S282" s="10">
        <f t="shared" si="26"/>
        <v>56.876100000000001</v>
      </c>
      <c r="T282" s="10">
        <f t="shared" si="27"/>
        <v>56.876100000000001</v>
      </c>
      <c r="U282" s="8" t="str">
        <f t="shared" si="28"/>
        <v>Wed</v>
      </c>
      <c r="V282" s="8" t="str">
        <f t="shared" si="29"/>
        <v>Tue</v>
      </c>
    </row>
    <row r="283" spans="1:22" hidden="1" x14ac:dyDescent="0.25">
      <c r="A283" t="s">
        <v>74</v>
      </c>
      <c r="B283" t="s">
        <v>37</v>
      </c>
      <c r="C283" t="s">
        <v>43</v>
      </c>
      <c r="D283" t="s">
        <v>11</v>
      </c>
      <c r="F283" s="5">
        <v>44083</v>
      </c>
      <c r="G283" s="5">
        <v>44103</v>
      </c>
      <c r="H283" s="2">
        <v>1</v>
      </c>
      <c r="I283" s="6"/>
      <c r="J283" s="6"/>
      <c r="K283" s="7">
        <v>0.25</v>
      </c>
      <c r="L283" s="7">
        <v>202.28639999999999</v>
      </c>
      <c r="M283" t="s">
        <v>17</v>
      </c>
      <c r="N283" s="9"/>
      <c r="O283" s="8">
        <f t="array" ref="O283">INDEX(TechRate,MATCH(H283,TechNum,0))</f>
        <v>80</v>
      </c>
      <c r="P283" s="10">
        <f>WorkOrders2[[#This Row],[Techs]]*(WorkOrders2[[#This Row],[PartsCost]]*WorkOrders2[[#This Row],[LbrHrs]])</f>
        <v>50.571599999999997</v>
      </c>
      <c r="Q283" s="10">
        <f t="shared" si="24"/>
        <v>50.571599999999997</v>
      </c>
      <c r="R283" s="10">
        <f t="shared" si="25"/>
        <v>202.28639999999999</v>
      </c>
      <c r="S283" s="10">
        <f t="shared" si="26"/>
        <v>252.85799999999998</v>
      </c>
      <c r="T283" s="10">
        <f t="shared" si="27"/>
        <v>252.85799999999998</v>
      </c>
      <c r="U283" s="8" t="str">
        <f t="shared" si="28"/>
        <v>Wed</v>
      </c>
      <c r="V283" s="8" t="str">
        <f t="shared" si="29"/>
        <v>Tue</v>
      </c>
    </row>
    <row r="284" spans="1:22" hidden="1" x14ac:dyDescent="0.25">
      <c r="A284" t="s">
        <v>86</v>
      </c>
      <c r="B284" t="s">
        <v>37</v>
      </c>
      <c r="C284" t="s">
        <v>43</v>
      </c>
      <c r="D284" t="s">
        <v>12</v>
      </c>
      <c r="F284" s="5">
        <v>44088</v>
      </c>
      <c r="G284" s="5">
        <v>44158</v>
      </c>
      <c r="H284" s="2">
        <v>1</v>
      </c>
      <c r="I284" s="6"/>
      <c r="J284" s="6"/>
      <c r="K284" s="7">
        <v>1.75</v>
      </c>
      <c r="L284" s="7">
        <v>510.67529999999999</v>
      </c>
      <c r="M284" t="s">
        <v>19</v>
      </c>
      <c r="N284" s="9"/>
      <c r="O284" s="8">
        <f t="array" ref="O284">INDEX(TechRate,MATCH(H284,TechNum,0))</f>
        <v>80</v>
      </c>
      <c r="P284" s="10">
        <f>WorkOrders2[[#This Row],[Techs]]*(WorkOrders2[[#This Row],[PartsCost]]*WorkOrders2[[#This Row],[LbrHrs]])</f>
        <v>893.68177500000002</v>
      </c>
      <c r="Q284" s="10">
        <f t="shared" si="24"/>
        <v>893.68177500000002</v>
      </c>
      <c r="R284" s="10">
        <f t="shared" si="25"/>
        <v>510.67529999999999</v>
      </c>
      <c r="S284" s="10">
        <f t="shared" si="26"/>
        <v>1404.3570749999999</v>
      </c>
      <c r="T284" s="10">
        <f t="shared" si="27"/>
        <v>1404.3570749999999</v>
      </c>
      <c r="U284" s="8" t="str">
        <f t="shared" si="28"/>
        <v>Mon</v>
      </c>
      <c r="V284" s="8" t="str">
        <f t="shared" si="29"/>
        <v>Mon</v>
      </c>
    </row>
    <row r="285" spans="1:22" hidden="1" x14ac:dyDescent="0.25">
      <c r="A285" t="s">
        <v>95</v>
      </c>
      <c r="B285" t="s">
        <v>37</v>
      </c>
      <c r="C285" t="s">
        <v>43</v>
      </c>
      <c r="D285" t="s">
        <v>12</v>
      </c>
      <c r="F285" s="5">
        <v>44091</v>
      </c>
      <c r="G285" s="5">
        <v>44152</v>
      </c>
      <c r="H285" s="2">
        <v>1</v>
      </c>
      <c r="I285" s="6"/>
      <c r="J285" s="6"/>
      <c r="K285" s="7">
        <v>0.25</v>
      </c>
      <c r="L285" s="7">
        <v>87.581299999999999</v>
      </c>
      <c r="M285" t="s">
        <v>17</v>
      </c>
      <c r="N285" s="9"/>
      <c r="O285" s="8">
        <f t="array" ref="O285">INDEX(TechRate,MATCH(H285,TechNum,0))</f>
        <v>80</v>
      </c>
      <c r="P285" s="10">
        <f>WorkOrders2[[#This Row],[Techs]]*(WorkOrders2[[#This Row],[PartsCost]]*WorkOrders2[[#This Row],[LbrHrs]])</f>
        <v>21.895325</v>
      </c>
      <c r="Q285" s="10">
        <f t="shared" si="24"/>
        <v>21.895325</v>
      </c>
      <c r="R285" s="10">
        <f t="shared" si="25"/>
        <v>87.581299999999999</v>
      </c>
      <c r="S285" s="10">
        <f t="shared" si="26"/>
        <v>109.476625</v>
      </c>
      <c r="T285" s="10">
        <f t="shared" si="27"/>
        <v>109.476625</v>
      </c>
      <c r="U285" s="8" t="str">
        <f t="shared" si="28"/>
        <v>Thu</v>
      </c>
      <c r="V285" s="8" t="str">
        <f t="shared" si="29"/>
        <v>Tue</v>
      </c>
    </row>
    <row r="286" spans="1:22" hidden="1" x14ac:dyDescent="0.25">
      <c r="A286" t="s">
        <v>100</v>
      </c>
      <c r="B286" t="s">
        <v>37</v>
      </c>
      <c r="C286" t="s">
        <v>43</v>
      </c>
      <c r="D286" t="s">
        <v>11</v>
      </c>
      <c r="F286" s="5">
        <v>44096</v>
      </c>
      <c r="G286" s="5">
        <v>44105</v>
      </c>
      <c r="H286" s="2">
        <v>1</v>
      </c>
      <c r="I286" s="6"/>
      <c r="J286" s="6"/>
      <c r="K286" s="7">
        <v>0.25</v>
      </c>
      <c r="L286" s="7">
        <v>20.475000000000001</v>
      </c>
      <c r="M286" t="s">
        <v>17</v>
      </c>
      <c r="N286" s="9"/>
      <c r="O286" s="8">
        <f t="array" ref="O286">INDEX(TechRate,MATCH(H286,TechNum,0))</f>
        <v>80</v>
      </c>
      <c r="P286" s="10">
        <f>WorkOrders2[[#This Row],[Techs]]*(WorkOrders2[[#This Row],[PartsCost]]*WorkOrders2[[#This Row],[LbrHrs]])</f>
        <v>5.1187500000000004</v>
      </c>
      <c r="Q286" s="10">
        <f t="shared" si="24"/>
        <v>5.1187500000000004</v>
      </c>
      <c r="R286" s="10">
        <f t="shared" si="25"/>
        <v>20.475000000000001</v>
      </c>
      <c r="S286" s="10">
        <f t="shared" si="26"/>
        <v>25.59375</v>
      </c>
      <c r="T286" s="10">
        <f t="shared" si="27"/>
        <v>25.59375</v>
      </c>
      <c r="U286" s="8" t="str">
        <f t="shared" si="28"/>
        <v>Tue</v>
      </c>
      <c r="V286" s="8" t="str">
        <f t="shared" si="29"/>
        <v>Thu</v>
      </c>
    </row>
    <row r="287" spans="1:22" hidden="1" x14ac:dyDescent="0.25">
      <c r="A287" t="s">
        <v>110</v>
      </c>
      <c r="B287" t="s">
        <v>37</v>
      </c>
      <c r="C287" t="s">
        <v>43</v>
      </c>
      <c r="D287" t="s">
        <v>12</v>
      </c>
      <c r="F287" s="5">
        <v>44102</v>
      </c>
      <c r="G287" s="5">
        <v>44111</v>
      </c>
      <c r="H287" s="2">
        <v>1</v>
      </c>
      <c r="I287" s="6"/>
      <c r="J287" s="6"/>
      <c r="K287" s="7">
        <v>0.5</v>
      </c>
      <c r="L287" s="7">
        <v>10.53</v>
      </c>
      <c r="M287" t="s">
        <v>19</v>
      </c>
      <c r="N287" s="9"/>
      <c r="O287" s="8">
        <f t="array" ref="O287">INDEX(TechRate,MATCH(H287,TechNum,0))</f>
        <v>80</v>
      </c>
      <c r="P287" s="10">
        <f>WorkOrders2[[#This Row],[Techs]]*(WorkOrders2[[#This Row],[PartsCost]]*WorkOrders2[[#This Row],[LbrHrs]])</f>
        <v>5.2649999999999997</v>
      </c>
      <c r="Q287" s="10">
        <f t="shared" si="24"/>
        <v>5.2649999999999997</v>
      </c>
      <c r="R287" s="10">
        <f t="shared" si="25"/>
        <v>10.53</v>
      </c>
      <c r="S287" s="10">
        <f t="shared" si="26"/>
        <v>15.794999999999998</v>
      </c>
      <c r="T287" s="10">
        <f t="shared" si="27"/>
        <v>15.794999999999998</v>
      </c>
      <c r="U287" s="8" t="str">
        <f t="shared" si="28"/>
        <v>Mon</v>
      </c>
      <c r="V287" s="8" t="str">
        <f t="shared" si="29"/>
        <v>Wed</v>
      </c>
    </row>
    <row r="288" spans="1:22" hidden="1" x14ac:dyDescent="0.25">
      <c r="A288" t="s">
        <v>112</v>
      </c>
      <c r="B288" t="s">
        <v>37</v>
      </c>
      <c r="C288" t="s">
        <v>8</v>
      </c>
      <c r="D288" t="s">
        <v>12</v>
      </c>
      <c r="F288" s="5">
        <v>44103</v>
      </c>
      <c r="G288" s="5">
        <v>44112</v>
      </c>
      <c r="H288" s="2">
        <v>2</v>
      </c>
      <c r="I288" s="6"/>
      <c r="J288" s="6"/>
      <c r="K288" s="7">
        <v>0.5</v>
      </c>
      <c r="L288" s="7">
        <v>54.124600000000001</v>
      </c>
      <c r="M288" t="s">
        <v>17</v>
      </c>
      <c r="N288" s="9"/>
      <c r="O288" s="8">
        <f t="array" ref="O288">INDEX(TechRate,MATCH(H288,TechNum,0))</f>
        <v>140</v>
      </c>
      <c r="P288" s="10">
        <f>WorkOrders2[[#This Row],[Techs]]*(WorkOrders2[[#This Row],[PartsCost]]*WorkOrders2[[#This Row],[LbrHrs]])</f>
        <v>54.124600000000001</v>
      </c>
      <c r="Q288" s="10">
        <f t="shared" si="24"/>
        <v>54.124600000000001</v>
      </c>
      <c r="R288" s="10">
        <f t="shared" si="25"/>
        <v>54.124600000000001</v>
      </c>
      <c r="S288" s="10">
        <f t="shared" si="26"/>
        <v>108.2492</v>
      </c>
      <c r="T288" s="10">
        <f t="shared" si="27"/>
        <v>108.2492</v>
      </c>
      <c r="U288" s="8" t="str">
        <f t="shared" si="28"/>
        <v>Tue</v>
      </c>
      <c r="V288" s="8" t="str">
        <f t="shared" si="29"/>
        <v>Thu</v>
      </c>
    </row>
    <row r="289" spans="1:22" hidden="1" x14ac:dyDescent="0.25">
      <c r="A289" t="s">
        <v>122</v>
      </c>
      <c r="B289" t="s">
        <v>37</v>
      </c>
      <c r="C289" t="s">
        <v>43</v>
      </c>
      <c r="D289" t="s">
        <v>12</v>
      </c>
      <c r="F289" s="5">
        <v>44109</v>
      </c>
      <c r="G289" s="5">
        <v>44117</v>
      </c>
      <c r="H289" s="2">
        <v>1</v>
      </c>
      <c r="I289" s="6"/>
      <c r="J289" s="6"/>
      <c r="K289" s="7">
        <v>0.25</v>
      </c>
      <c r="L289" s="7">
        <v>19.5</v>
      </c>
      <c r="M289" t="s">
        <v>17</v>
      </c>
      <c r="N289" s="9"/>
      <c r="O289" s="8">
        <f t="array" ref="O289">INDEX(TechRate,MATCH(H289,TechNum,0))</f>
        <v>80</v>
      </c>
      <c r="P289" s="10">
        <f>WorkOrders2[[#This Row],[Techs]]*(WorkOrders2[[#This Row],[PartsCost]]*WorkOrders2[[#This Row],[LbrHrs]])</f>
        <v>4.875</v>
      </c>
      <c r="Q289" s="10">
        <f t="shared" si="24"/>
        <v>4.875</v>
      </c>
      <c r="R289" s="10">
        <f t="shared" si="25"/>
        <v>19.5</v>
      </c>
      <c r="S289" s="10">
        <f t="shared" si="26"/>
        <v>24.375</v>
      </c>
      <c r="T289" s="10">
        <f t="shared" si="27"/>
        <v>24.375</v>
      </c>
      <c r="U289" s="8" t="str">
        <f t="shared" si="28"/>
        <v>Mon</v>
      </c>
      <c r="V289" s="8" t="str">
        <f t="shared" si="29"/>
        <v>Tue</v>
      </c>
    </row>
    <row r="290" spans="1:22" hidden="1" x14ac:dyDescent="0.25">
      <c r="A290" t="s">
        <v>123</v>
      </c>
      <c r="B290" t="s">
        <v>37</v>
      </c>
      <c r="C290" t="s">
        <v>43</v>
      </c>
      <c r="D290" t="s">
        <v>11</v>
      </c>
      <c r="F290" s="5">
        <v>44109</v>
      </c>
      <c r="G290" s="5">
        <v>44117</v>
      </c>
      <c r="H290" s="2">
        <v>1</v>
      </c>
      <c r="I290" s="6"/>
      <c r="J290" s="6"/>
      <c r="K290" s="7">
        <v>0.25</v>
      </c>
      <c r="L290" s="7">
        <v>22.425000000000001</v>
      </c>
      <c r="M290" t="s">
        <v>17</v>
      </c>
      <c r="N290" s="9"/>
      <c r="O290" s="8">
        <f t="array" ref="O290">INDEX(TechRate,MATCH(H290,TechNum,0))</f>
        <v>80</v>
      </c>
      <c r="P290" s="10">
        <f>WorkOrders2[[#This Row],[Techs]]*(WorkOrders2[[#This Row],[PartsCost]]*WorkOrders2[[#This Row],[LbrHrs]])</f>
        <v>5.6062500000000002</v>
      </c>
      <c r="Q290" s="10">
        <f t="shared" si="24"/>
        <v>5.6062500000000002</v>
      </c>
      <c r="R290" s="10">
        <f t="shared" si="25"/>
        <v>22.425000000000001</v>
      </c>
      <c r="S290" s="10">
        <f t="shared" si="26"/>
        <v>28.03125</v>
      </c>
      <c r="T290" s="10">
        <f t="shared" si="27"/>
        <v>28.03125</v>
      </c>
      <c r="U290" s="8" t="str">
        <f t="shared" si="28"/>
        <v>Mon</v>
      </c>
      <c r="V290" s="8" t="str">
        <f t="shared" si="29"/>
        <v>Tue</v>
      </c>
    </row>
    <row r="291" spans="1:22" hidden="1" x14ac:dyDescent="0.25">
      <c r="A291" t="s">
        <v>126</v>
      </c>
      <c r="B291" t="s">
        <v>37</v>
      </c>
      <c r="C291" t="s">
        <v>43</v>
      </c>
      <c r="D291" t="s">
        <v>13</v>
      </c>
      <c r="F291" s="5">
        <v>44109</v>
      </c>
      <c r="G291" s="5">
        <v>44123</v>
      </c>
      <c r="H291" s="2">
        <v>1</v>
      </c>
      <c r="I291" s="6"/>
      <c r="J291" s="6"/>
      <c r="K291" s="7">
        <v>0.5</v>
      </c>
      <c r="L291" s="7">
        <v>54.236800000000002</v>
      </c>
      <c r="M291" t="s">
        <v>17</v>
      </c>
      <c r="N291" s="9"/>
      <c r="O291" s="8">
        <f t="array" ref="O291">INDEX(TechRate,MATCH(H291,TechNum,0))</f>
        <v>80</v>
      </c>
      <c r="P291" s="10">
        <f>WorkOrders2[[#This Row],[Techs]]*(WorkOrders2[[#This Row],[PartsCost]]*WorkOrders2[[#This Row],[LbrHrs]])</f>
        <v>27.118400000000001</v>
      </c>
      <c r="Q291" s="10">
        <f t="shared" si="24"/>
        <v>27.118400000000001</v>
      </c>
      <c r="R291" s="10">
        <f t="shared" si="25"/>
        <v>54.236800000000002</v>
      </c>
      <c r="S291" s="10">
        <f t="shared" si="26"/>
        <v>81.355199999999996</v>
      </c>
      <c r="T291" s="10">
        <f t="shared" si="27"/>
        <v>81.355199999999996</v>
      </c>
      <c r="U291" s="8" t="str">
        <f t="shared" si="28"/>
        <v>Mon</v>
      </c>
      <c r="V291" s="8" t="str">
        <f t="shared" si="29"/>
        <v>Mon</v>
      </c>
    </row>
    <row r="292" spans="1:22" x14ac:dyDescent="0.25">
      <c r="A292" t="s">
        <v>132</v>
      </c>
      <c r="B292" t="s">
        <v>37</v>
      </c>
      <c r="C292" t="s">
        <v>43</v>
      </c>
      <c r="D292" t="s">
        <v>2</v>
      </c>
      <c r="F292" s="5">
        <v>44111</v>
      </c>
      <c r="G292" s="5">
        <v>44124</v>
      </c>
      <c r="H292" s="2">
        <v>1</v>
      </c>
      <c r="I292" s="6"/>
      <c r="J292" s="6"/>
      <c r="K292" s="7">
        <v>1</v>
      </c>
      <c r="L292" s="7">
        <v>48.75</v>
      </c>
      <c r="M292" t="s">
        <v>17</v>
      </c>
      <c r="N292" s="9"/>
      <c r="O292" s="8">
        <f t="array" ref="O292">INDEX(TechRate,MATCH(H292,TechNum,0))</f>
        <v>80</v>
      </c>
      <c r="P292" s="10">
        <f>WorkOrders2[[#This Row],[Techs]]*(WorkOrders2[[#This Row],[PartsCost]]*WorkOrders2[[#This Row],[LbrHrs]])</f>
        <v>48.75</v>
      </c>
      <c r="Q292" s="10">
        <f t="shared" si="24"/>
        <v>48.75</v>
      </c>
      <c r="R292" s="10">
        <f t="shared" si="25"/>
        <v>48.75</v>
      </c>
      <c r="S292" s="10">
        <f t="shared" si="26"/>
        <v>97.5</v>
      </c>
      <c r="T292" s="10">
        <f t="shared" si="27"/>
        <v>97.5</v>
      </c>
      <c r="U292" s="8" t="str">
        <f t="shared" si="28"/>
        <v>Wed</v>
      </c>
      <c r="V292" s="8" t="str">
        <f t="shared" si="29"/>
        <v>Tue</v>
      </c>
    </row>
    <row r="293" spans="1:22" hidden="1" x14ac:dyDescent="0.25">
      <c r="A293" t="s">
        <v>133</v>
      </c>
      <c r="B293" t="s">
        <v>37</v>
      </c>
      <c r="C293" t="s">
        <v>43</v>
      </c>
      <c r="D293" t="s">
        <v>11</v>
      </c>
      <c r="F293" s="5">
        <v>44112</v>
      </c>
      <c r="G293" s="5">
        <v>44124</v>
      </c>
      <c r="H293" s="2">
        <v>1</v>
      </c>
      <c r="I293" s="6"/>
      <c r="J293" s="6"/>
      <c r="K293" s="7">
        <v>0.25</v>
      </c>
      <c r="L293" s="7">
        <v>76.1678</v>
      </c>
      <c r="M293" t="s">
        <v>17</v>
      </c>
      <c r="N293" s="9"/>
      <c r="O293" s="8">
        <f t="array" ref="O293">INDEX(TechRate,MATCH(H293,TechNum,0))</f>
        <v>80</v>
      </c>
      <c r="P293" s="10">
        <f>WorkOrders2[[#This Row],[Techs]]*(WorkOrders2[[#This Row],[PartsCost]]*WorkOrders2[[#This Row],[LbrHrs]])</f>
        <v>19.04195</v>
      </c>
      <c r="Q293" s="10">
        <f t="shared" si="24"/>
        <v>19.04195</v>
      </c>
      <c r="R293" s="10">
        <f t="shared" si="25"/>
        <v>76.1678</v>
      </c>
      <c r="S293" s="10">
        <f t="shared" si="26"/>
        <v>95.20975</v>
      </c>
      <c r="T293" s="10">
        <f t="shared" si="27"/>
        <v>95.20975</v>
      </c>
      <c r="U293" s="8" t="str">
        <f t="shared" si="28"/>
        <v>Thu</v>
      </c>
      <c r="V293" s="8" t="str">
        <f t="shared" si="29"/>
        <v>Tue</v>
      </c>
    </row>
    <row r="294" spans="1:22" hidden="1" x14ac:dyDescent="0.25">
      <c r="A294" t="s">
        <v>142</v>
      </c>
      <c r="B294" t="s">
        <v>37</v>
      </c>
      <c r="C294" t="s">
        <v>6</v>
      </c>
      <c r="D294" t="s">
        <v>13</v>
      </c>
      <c r="F294" s="5">
        <v>44116</v>
      </c>
      <c r="G294" s="5">
        <v>44153</v>
      </c>
      <c r="H294" s="2">
        <v>1</v>
      </c>
      <c r="I294" s="6"/>
      <c r="J294" s="6"/>
      <c r="K294" s="7">
        <v>0.5</v>
      </c>
      <c r="L294" s="7">
        <v>54.124600000000001</v>
      </c>
      <c r="M294" t="s">
        <v>17</v>
      </c>
      <c r="N294" s="9"/>
      <c r="O294" s="8">
        <f t="array" ref="O294">INDEX(TechRate,MATCH(H294,TechNum,0))</f>
        <v>80</v>
      </c>
      <c r="P294" s="10">
        <f>WorkOrders2[[#This Row],[Techs]]*(WorkOrders2[[#This Row],[PartsCost]]*WorkOrders2[[#This Row],[LbrHrs]])</f>
        <v>27.0623</v>
      </c>
      <c r="Q294" s="10">
        <f t="shared" si="24"/>
        <v>27.0623</v>
      </c>
      <c r="R294" s="10">
        <f t="shared" si="25"/>
        <v>54.124600000000001</v>
      </c>
      <c r="S294" s="10">
        <f t="shared" si="26"/>
        <v>81.186900000000009</v>
      </c>
      <c r="T294" s="10">
        <f t="shared" si="27"/>
        <v>81.186900000000009</v>
      </c>
      <c r="U294" s="8" t="str">
        <f t="shared" si="28"/>
        <v>Mon</v>
      </c>
      <c r="V294" s="8" t="str">
        <f t="shared" si="29"/>
        <v>Wed</v>
      </c>
    </row>
    <row r="295" spans="1:22" hidden="1" x14ac:dyDescent="0.25">
      <c r="A295" t="s">
        <v>152</v>
      </c>
      <c r="B295" t="s">
        <v>37</v>
      </c>
      <c r="C295" t="s">
        <v>43</v>
      </c>
      <c r="D295" t="s">
        <v>11</v>
      </c>
      <c r="F295" s="5">
        <v>44119</v>
      </c>
      <c r="G295" s="5">
        <v>44132</v>
      </c>
      <c r="H295" s="2">
        <v>1</v>
      </c>
      <c r="I295" s="6"/>
      <c r="J295" s="6"/>
      <c r="K295" s="7">
        <v>0.25</v>
      </c>
      <c r="L295" s="7">
        <v>65.251599999999996</v>
      </c>
      <c r="M295" t="s">
        <v>17</v>
      </c>
      <c r="N295" s="9"/>
      <c r="O295" s="8">
        <f t="array" ref="O295">INDEX(TechRate,MATCH(H295,TechNum,0))</f>
        <v>80</v>
      </c>
      <c r="P295" s="10">
        <f>WorkOrders2[[#This Row],[Techs]]*(WorkOrders2[[#This Row],[PartsCost]]*WorkOrders2[[#This Row],[LbrHrs]])</f>
        <v>16.312899999999999</v>
      </c>
      <c r="Q295" s="10">
        <f t="shared" si="24"/>
        <v>16.312899999999999</v>
      </c>
      <c r="R295" s="10">
        <f t="shared" si="25"/>
        <v>65.251599999999996</v>
      </c>
      <c r="S295" s="10">
        <f t="shared" si="26"/>
        <v>81.564499999999995</v>
      </c>
      <c r="T295" s="10">
        <f t="shared" si="27"/>
        <v>81.564499999999995</v>
      </c>
      <c r="U295" s="8" t="str">
        <f t="shared" si="28"/>
        <v>Thu</v>
      </c>
      <c r="V295" s="8" t="str">
        <f t="shared" si="29"/>
        <v>Wed</v>
      </c>
    </row>
    <row r="296" spans="1:22" hidden="1" x14ac:dyDescent="0.25">
      <c r="A296" t="s">
        <v>170</v>
      </c>
      <c r="B296" t="s">
        <v>37</v>
      </c>
      <c r="C296" t="s">
        <v>43</v>
      </c>
      <c r="D296" t="s">
        <v>12</v>
      </c>
      <c r="F296" s="5">
        <v>44131</v>
      </c>
      <c r="G296" s="5">
        <v>44152</v>
      </c>
      <c r="H296" s="2">
        <v>1</v>
      </c>
      <c r="I296" s="6"/>
      <c r="J296" s="6"/>
      <c r="K296" s="7">
        <v>0.25</v>
      </c>
      <c r="L296" s="7">
        <v>67.961500000000001</v>
      </c>
      <c r="M296" t="s">
        <v>17</v>
      </c>
      <c r="N296" s="9"/>
      <c r="O296" s="8">
        <f t="array" ref="O296">INDEX(TechRate,MATCH(H296,TechNum,0))</f>
        <v>80</v>
      </c>
      <c r="P296" s="10">
        <f>WorkOrders2[[#This Row],[Techs]]*(WorkOrders2[[#This Row],[PartsCost]]*WorkOrders2[[#This Row],[LbrHrs]])</f>
        <v>16.990375</v>
      </c>
      <c r="Q296" s="10">
        <f t="shared" si="24"/>
        <v>16.990375</v>
      </c>
      <c r="R296" s="10">
        <f t="shared" si="25"/>
        <v>67.961500000000001</v>
      </c>
      <c r="S296" s="10">
        <f t="shared" si="26"/>
        <v>84.951875000000001</v>
      </c>
      <c r="T296" s="10">
        <f t="shared" si="27"/>
        <v>84.951875000000001</v>
      </c>
      <c r="U296" s="8" t="str">
        <f t="shared" si="28"/>
        <v>Tue</v>
      </c>
      <c r="V296" s="8" t="str">
        <f t="shared" si="29"/>
        <v>Tue</v>
      </c>
    </row>
    <row r="297" spans="1:22" hidden="1" x14ac:dyDescent="0.25">
      <c r="A297" t="s">
        <v>172</v>
      </c>
      <c r="B297" t="s">
        <v>37</v>
      </c>
      <c r="C297" t="s">
        <v>43</v>
      </c>
      <c r="D297" t="s">
        <v>12</v>
      </c>
      <c r="F297" s="5">
        <v>44131</v>
      </c>
      <c r="G297" s="5">
        <v>44212</v>
      </c>
      <c r="H297" s="2">
        <v>1</v>
      </c>
      <c r="I297" s="6"/>
      <c r="J297" s="6"/>
      <c r="K297" s="7">
        <v>0.5</v>
      </c>
      <c r="L297" s="7">
        <v>102.22320000000001</v>
      </c>
      <c r="M297" t="s">
        <v>19</v>
      </c>
      <c r="N297" s="9"/>
      <c r="O297" s="8">
        <f t="array" ref="O297">INDEX(TechRate,MATCH(H297,TechNum,0))</f>
        <v>80</v>
      </c>
      <c r="P297" s="10">
        <f>WorkOrders2[[#This Row],[Techs]]*(WorkOrders2[[#This Row],[PartsCost]]*WorkOrders2[[#This Row],[LbrHrs]])</f>
        <v>51.111600000000003</v>
      </c>
      <c r="Q297" s="10">
        <f t="shared" si="24"/>
        <v>51.111600000000003</v>
      </c>
      <c r="R297" s="10">
        <f t="shared" si="25"/>
        <v>102.22320000000001</v>
      </c>
      <c r="S297" s="10">
        <f t="shared" si="26"/>
        <v>153.3348</v>
      </c>
      <c r="T297" s="10">
        <f t="shared" si="27"/>
        <v>153.3348</v>
      </c>
      <c r="U297" s="8" t="str">
        <f t="shared" si="28"/>
        <v>Tue</v>
      </c>
      <c r="V297" s="8" t="str">
        <f t="shared" si="29"/>
        <v>Sat</v>
      </c>
    </row>
    <row r="298" spans="1:22" hidden="1" x14ac:dyDescent="0.25">
      <c r="A298" t="s">
        <v>173</v>
      </c>
      <c r="B298" t="s">
        <v>37</v>
      </c>
      <c r="C298" t="s">
        <v>43</v>
      </c>
      <c r="D298" t="s">
        <v>13</v>
      </c>
      <c r="F298" s="5">
        <v>44132</v>
      </c>
      <c r="G298" s="5">
        <v>44165</v>
      </c>
      <c r="H298" s="2">
        <v>1</v>
      </c>
      <c r="I298" s="6"/>
      <c r="J298" s="6"/>
      <c r="K298" s="7">
        <v>0.5</v>
      </c>
      <c r="L298" s="7">
        <v>373.55279999999999</v>
      </c>
      <c r="M298" t="s">
        <v>17</v>
      </c>
      <c r="N298" s="9"/>
      <c r="O298" s="8">
        <f t="array" ref="O298">INDEX(TechRate,MATCH(H298,TechNum,0))</f>
        <v>80</v>
      </c>
      <c r="P298" s="10">
        <f>WorkOrders2[[#This Row],[Techs]]*(WorkOrders2[[#This Row],[PartsCost]]*WorkOrders2[[#This Row],[LbrHrs]])</f>
        <v>186.7764</v>
      </c>
      <c r="Q298" s="10">
        <f t="shared" si="24"/>
        <v>186.7764</v>
      </c>
      <c r="R298" s="10">
        <f t="shared" si="25"/>
        <v>373.55279999999999</v>
      </c>
      <c r="S298" s="10">
        <f t="shared" si="26"/>
        <v>560.32920000000001</v>
      </c>
      <c r="T298" s="10">
        <f t="shared" si="27"/>
        <v>560.32920000000001</v>
      </c>
      <c r="U298" s="8" t="str">
        <f t="shared" si="28"/>
        <v>Wed</v>
      </c>
      <c r="V298" s="8" t="str">
        <f t="shared" si="29"/>
        <v>Mon</v>
      </c>
    </row>
    <row r="299" spans="1:22" hidden="1" x14ac:dyDescent="0.25">
      <c r="A299" t="s">
        <v>174</v>
      </c>
      <c r="B299" t="s">
        <v>37</v>
      </c>
      <c r="C299" t="s">
        <v>43</v>
      </c>
      <c r="D299" t="s">
        <v>1</v>
      </c>
      <c r="F299" s="5">
        <v>44132</v>
      </c>
      <c r="G299" s="5">
        <v>44166</v>
      </c>
      <c r="H299" s="2">
        <v>3</v>
      </c>
      <c r="I299" s="6"/>
      <c r="J299" s="6"/>
      <c r="K299" s="7">
        <v>2.75</v>
      </c>
      <c r="L299" s="7">
        <v>1249.0878</v>
      </c>
      <c r="M299" t="s">
        <v>17</v>
      </c>
      <c r="N299" s="9"/>
      <c r="O299" s="8">
        <f t="array" ref="O299">INDEX(TechRate,MATCH(H299,TechNum,0))</f>
        <v>195</v>
      </c>
      <c r="P299" s="10">
        <f>WorkOrders2[[#This Row],[Techs]]*(WorkOrders2[[#This Row],[PartsCost]]*WorkOrders2[[#This Row],[LbrHrs]])</f>
        <v>10304.97435</v>
      </c>
      <c r="Q299" s="10">
        <f t="shared" si="24"/>
        <v>10304.97435</v>
      </c>
      <c r="R299" s="10">
        <f t="shared" si="25"/>
        <v>1249.0878</v>
      </c>
      <c r="S299" s="10">
        <f t="shared" si="26"/>
        <v>11554.06215</v>
      </c>
      <c r="T299" s="10">
        <f t="shared" si="27"/>
        <v>11554.06215</v>
      </c>
      <c r="U299" s="8" t="str">
        <f t="shared" si="28"/>
        <v>Wed</v>
      </c>
      <c r="V299" s="8" t="str">
        <f t="shared" si="29"/>
        <v>Tue</v>
      </c>
    </row>
    <row r="300" spans="1:22" hidden="1" x14ac:dyDescent="0.25">
      <c r="A300" t="s">
        <v>193</v>
      </c>
      <c r="B300" t="s">
        <v>37</v>
      </c>
      <c r="C300" t="s">
        <v>43</v>
      </c>
      <c r="D300" t="s">
        <v>1</v>
      </c>
      <c r="F300" s="5">
        <v>44144</v>
      </c>
      <c r="G300" s="5">
        <v>44161</v>
      </c>
      <c r="H300" s="2">
        <v>1</v>
      </c>
      <c r="I300" s="6"/>
      <c r="J300" s="6"/>
      <c r="K300" s="7">
        <v>7</v>
      </c>
      <c r="L300" s="7">
        <v>3396.25</v>
      </c>
      <c r="M300" t="s">
        <v>19</v>
      </c>
      <c r="N300" s="9"/>
      <c r="O300" s="8">
        <f t="array" ref="O300">INDEX(TechRate,MATCH(H300,TechNum,0))</f>
        <v>80</v>
      </c>
      <c r="P300" s="10">
        <f>WorkOrders2[[#This Row],[Techs]]*(WorkOrders2[[#This Row],[PartsCost]]*WorkOrders2[[#This Row],[LbrHrs]])</f>
        <v>23773.75</v>
      </c>
      <c r="Q300" s="10">
        <f t="shared" si="24"/>
        <v>23773.75</v>
      </c>
      <c r="R300" s="10">
        <f t="shared" si="25"/>
        <v>3396.25</v>
      </c>
      <c r="S300" s="10">
        <f t="shared" si="26"/>
        <v>27170</v>
      </c>
      <c r="T300" s="10">
        <f t="shared" si="27"/>
        <v>27170</v>
      </c>
      <c r="U300" s="8" t="str">
        <f t="shared" si="28"/>
        <v>Mon</v>
      </c>
      <c r="V300" s="8" t="str">
        <f t="shared" si="29"/>
        <v>Thu</v>
      </c>
    </row>
    <row r="301" spans="1:22" hidden="1" x14ac:dyDescent="0.25">
      <c r="A301" t="s">
        <v>196</v>
      </c>
      <c r="B301" t="s">
        <v>37</v>
      </c>
      <c r="C301" t="s">
        <v>43</v>
      </c>
      <c r="D301" t="s">
        <v>12</v>
      </c>
      <c r="F301" s="5">
        <v>44146</v>
      </c>
      <c r="G301" s="5">
        <v>44160</v>
      </c>
      <c r="H301" s="2">
        <v>1</v>
      </c>
      <c r="I301" s="6"/>
      <c r="J301" s="6"/>
      <c r="K301" s="7">
        <v>0.25</v>
      </c>
      <c r="L301" s="7">
        <v>25.407900000000001</v>
      </c>
      <c r="M301" t="s">
        <v>17</v>
      </c>
      <c r="N301" s="9"/>
      <c r="O301" s="8">
        <f t="array" ref="O301">INDEX(TechRate,MATCH(H301,TechNum,0))</f>
        <v>80</v>
      </c>
      <c r="P301" s="10">
        <f>WorkOrders2[[#This Row],[Techs]]*(WorkOrders2[[#This Row],[PartsCost]]*WorkOrders2[[#This Row],[LbrHrs]])</f>
        <v>6.3519750000000004</v>
      </c>
      <c r="Q301" s="10">
        <f t="shared" si="24"/>
        <v>6.3519750000000004</v>
      </c>
      <c r="R301" s="10">
        <f t="shared" si="25"/>
        <v>25.407900000000001</v>
      </c>
      <c r="S301" s="10">
        <f t="shared" si="26"/>
        <v>31.759875000000001</v>
      </c>
      <c r="T301" s="10">
        <f t="shared" si="27"/>
        <v>31.759875000000001</v>
      </c>
      <c r="U301" s="8" t="str">
        <f t="shared" si="28"/>
        <v>Wed</v>
      </c>
      <c r="V301" s="8" t="str">
        <f t="shared" si="29"/>
        <v>Wed</v>
      </c>
    </row>
    <row r="302" spans="1:22" hidden="1" x14ac:dyDescent="0.25">
      <c r="A302" t="s">
        <v>203</v>
      </c>
      <c r="B302" t="s">
        <v>37</v>
      </c>
      <c r="C302" t="s">
        <v>43</v>
      </c>
      <c r="D302" t="s">
        <v>1</v>
      </c>
      <c r="F302" s="5">
        <v>44149</v>
      </c>
      <c r="G302" s="5">
        <v>44170</v>
      </c>
      <c r="H302" s="2">
        <v>1</v>
      </c>
      <c r="I302" s="6"/>
      <c r="J302" s="6"/>
      <c r="K302" s="7">
        <v>1.75</v>
      </c>
      <c r="L302" s="7">
        <v>183.95</v>
      </c>
      <c r="M302" t="s">
        <v>19</v>
      </c>
      <c r="N302" s="9"/>
      <c r="O302" s="8">
        <f t="array" ref="O302">INDEX(TechRate,MATCH(H302,TechNum,0))</f>
        <v>80</v>
      </c>
      <c r="P302" s="10">
        <f>WorkOrders2[[#This Row],[Techs]]*(WorkOrders2[[#This Row],[PartsCost]]*WorkOrders2[[#This Row],[LbrHrs]])</f>
        <v>321.91249999999997</v>
      </c>
      <c r="Q302" s="10">
        <f t="shared" si="24"/>
        <v>321.91249999999997</v>
      </c>
      <c r="R302" s="10">
        <f t="shared" si="25"/>
        <v>183.95</v>
      </c>
      <c r="S302" s="10">
        <f t="shared" si="26"/>
        <v>505.86249999999995</v>
      </c>
      <c r="T302" s="10">
        <f t="shared" si="27"/>
        <v>505.86249999999995</v>
      </c>
      <c r="U302" s="8" t="str">
        <f t="shared" si="28"/>
        <v>Sat</v>
      </c>
      <c r="V302" s="8" t="str">
        <f t="shared" si="29"/>
        <v>Sat</v>
      </c>
    </row>
    <row r="303" spans="1:22" hidden="1" x14ac:dyDescent="0.25">
      <c r="A303" t="s">
        <v>211</v>
      </c>
      <c r="B303" t="s">
        <v>37</v>
      </c>
      <c r="C303" t="s">
        <v>43</v>
      </c>
      <c r="D303" t="s">
        <v>12</v>
      </c>
      <c r="F303" s="5">
        <v>44154</v>
      </c>
      <c r="G303" s="5">
        <v>44165</v>
      </c>
      <c r="H303" s="2">
        <v>1</v>
      </c>
      <c r="I303" s="6"/>
      <c r="J303" s="6"/>
      <c r="K303" s="7">
        <v>0.5</v>
      </c>
      <c r="L303" s="7">
        <v>81.900000000000006</v>
      </c>
      <c r="M303" t="s">
        <v>17</v>
      </c>
      <c r="N303" s="9"/>
      <c r="O303" s="8">
        <f t="array" ref="O303">INDEX(TechRate,MATCH(H303,TechNum,0))</f>
        <v>80</v>
      </c>
      <c r="P303" s="10">
        <f>WorkOrders2[[#This Row],[Techs]]*(WorkOrders2[[#This Row],[PartsCost]]*WorkOrders2[[#This Row],[LbrHrs]])</f>
        <v>40.950000000000003</v>
      </c>
      <c r="Q303" s="10">
        <f t="shared" si="24"/>
        <v>40.950000000000003</v>
      </c>
      <c r="R303" s="10">
        <f t="shared" si="25"/>
        <v>81.900000000000006</v>
      </c>
      <c r="S303" s="10">
        <f t="shared" si="26"/>
        <v>122.85000000000001</v>
      </c>
      <c r="T303" s="10">
        <f t="shared" si="27"/>
        <v>122.85000000000001</v>
      </c>
      <c r="U303" s="8" t="str">
        <f t="shared" si="28"/>
        <v>Thu</v>
      </c>
      <c r="V303" s="8" t="str">
        <f t="shared" si="29"/>
        <v>Mon</v>
      </c>
    </row>
    <row r="304" spans="1:22" hidden="1" x14ac:dyDescent="0.25">
      <c r="A304" t="s">
        <v>215</v>
      </c>
      <c r="B304" t="s">
        <v>37</v>
      </c>
      <c r="C304" t="s">
        <v>8</v>
      </c>
      <c r="D304" t="s">
        <v>13</v>
      </c>
      <c r="F304" s="5">
        <v>44156</v>
      </c>
      <c r="G304" s="5">
        <v>44165</v>
      </c>
      <c r="H304" s="2">
        <v>2</v>
      </c>
      <c r="I304" s="6"/>
      <c r="J304" s="6"/>
      <c r="K304" s="7">
        <v>0.5</v>
      </c>
      <c r="L304" s="7">
        <v>174.18029999999999</v>
      </c>
      <c r="M304" t="s">
        <v>18</v>
      </c>
      <c r="N304" s="9"/>
      <c r="O304" s="8">
        <f t="array" ref="O304">INDEX(TechRate,MATCH(H304,TechNum,0))</f>
        <v>140</v>
      </c>
      <c r="P304" s="10">
        <f>WorkOrders2[[#This Row],[Techs]]*(WorkOrders2[[#This Row],[PartsCost]]*WorkOrders2[[#This Row],[LbrHrs]])</f>
        <v>174.18029999999999</v>
      </c>
      <c r="Q304" s="10">
        <f t="shared" si="24"/>
        <v>174.18029999999999</v>
      </c>
      <c r="R304" s="10">
        <f t="shared" si="25"/>
        <v>174.18029999999999</v>
      </c>
      <c r="S304" s="10">
        <f t="shared" si="26"/>
        <v>348.36059999999998</v>
      </c>
      <c r="T304" s="10">
        <f t="shared" si="27"/>
        <v>348.36059999999998</v>
      </c>
      <c r="U304" s="8" t="str">
        <f t="shared" si="28"/>
        <v>Sat</v>
      </c>
      <c r="V304" s="8" t="str">
        <f t="shared" si="29"/>
        <v>Mon</v>
      </c>
    </row>
    <row r="305" spans="1:22" hidden="1" x14ac:dyDescent="0.25">
      <c r="A305" t="s">
        <v>219</v>
      </c>
      <c r="B305" t="s">
        <v>37</v>
      </c>
      <c r="C305" t="s">
        <v>43</v>
      </c>
      <c r="D305" t="s">
        <v>12</v>
      </c>
      <c r="F305" s="5">
        <v>44158</v>
      </c>
      <c r="G305" s="5">
        <v>44212</v>
      </c>
      <c r="H305" s="2">
        <v>1</v>
      </c>
      <c r="I305" s="6"/>
      <c r="J305" s="6"/>
      <c r="K305" s="7">
        <v>0.25</v>
      </c>
      <c r="L305" s="7">
        <v>45.734099999999998</v>
      </c>
      <c r="M305" t="s">
        <v>17</v>
      </c>
      <c r="N305" s="9"/>
      <c r="O305" s="8">
        <f t="array" ref="O305">INDEX(TechRate,MATCH(H305,TechNum,0))</f>
        <v>80</v>
      </c>
      <c r="P305" s="10">
        <f>WorkOrders2[[#This Row],[Techs]]*(WorkOrders2[[#This Row],[PartsCost]]*WorkOrders2[[#This Row],[LbrHrs]])</f>
        <v>11.433524999999999</v>
      </c>
      <c r="Q305" s="10">
        <f t="shared" si="24"/>
        <v>11.433524999999999</v>
      </c>
      <c r="R305" s="10">
        <f t="shared" si="25"/>
        <v>45.734099999999998</v>
      </c>
      <c r="S305" s="10">
        <f t="shared" si="26"/>
        <v>57.167625000000001</v>
      </c>
      <c r="T305" s="10">
        <f t="shared" si="27"/>
        <v>57.167625000000001</v>
      </c>
      <c r="U305" s="8" t="str">
        <f t="shared" si="28"/>
        <v>Mon</v>
      </c>
      <c r="V305" s="8" t="str">
        <f t="shared" si="29"/>
        <v>Sat</v>
      </c>
    </row>
    <row r="306" spans="1:22" hidden="1" x14ac:dyDescent="0.25">
      <c r="A306" t="s">
        <v>250</v>
      </c>
      <c r="B306" t="s">
        <v>37</v>
      </c>
      <c r="C306" t="s">
        <v>6</v>
      </c>
      <c r="D306" t="s">
        <v>12</v>
      </c>
      <c r="F306" s="5">
        <v>44168</v>
      </c>
      <c r="G306" s="5">
        <v>44202</v>
      </c>
      <c r="H306" s="2">
        <v>2</v>
      </c>
      <c r="I306" s="6"/>
      <c r="J306" s="6"/>
      <c r="K306" s="7">
        <v>0.5</v>
      </c>
      <c r="L306" s="7">
        <v>45.237400000000001</v>
      </c>
      <c r="M306" t="s">
        <v>17</v>
      </c>
      <c r="N306" s="9"/>
      <c r="O306" s="8">
        <f t="array" ref="O306">INDEX(TechRate,MATCH(H306,TechNum,0))</f>
        <v>140</v>
      </c>
      <c r="P306" s="10">
        <f>WorkOrders2[[#This Row],[Techs]]*(WorkOrders2[[#This Row],[PartsCost]]*WorkOrders2[[#This Row],[LbrHrs]])</f>
        <v>45.237400000000001</v>
      </c>
      <c r="Q306" s="10">
        <f t="shared" si="24"/>
        <v>45.237400000000001</v>
      </c>
      <c r="R306" s="10">
        <f t="shared" si="25"/>
        <v>45.237400000000001</v>
      </c>
      <c r="S306" s="10">
        <f t="shared" si="26"/>
        <v>90.474800000000002</v>
      </c>
      <c r="T306" s="10">
        <f t="shared" si="27"/>
        <v>90.474800000000002</v>
      </c>
      <c r="U306" s="8" t="str">
        <f t="shared" si="28"/>
        <v>Thu</v>
      </c>
      <c r="V306" s="8" t="str">
        <f t="shared" si="29"/>
        <v>Wed</v>
      </c>
    </row>
    <row r="307" spans="1:22" hidden="1" x14ac:dyDescent="0.25">
      <c r="A307" t="s">
        <v>252</v>
      </c>
      <c r="B307" t="s">
        <v>37</v>
      </c>
      <c r="C307" t="s">
        <v>43</v>
      </c>
      <c r="D307" t="s">
        <v>12</v>
      </c>
      <c r="F307" s="5">
        <v>44170</v>
      </c>
      <c r="G307" s="5">
        <v>44188</v>
      </c>
      <c r="H307" s="2">
        <v>1</v>
      </c>
      <c r="I307" s="6"/>
      <c r="J307" s="6"/>
      <c r="K307" s="7">
        <v>0.5</v>
      </c>
      <c r="L307" s="7">
        <v>138.5667</v>
      </c>
      <c r="M307" t="s">
        <v>17</v>
      </c>
      <c r="N307" s="9"/>
      <c r="O307" s="8">
        <f t="array" ref="O307">INDEX(TechRate,MATCH(H307,TechNum,0))</f>
        <v>80</v>
      </c>
      <c r="P307" s="10">
        <f>WorkOrders2[[#This Row],[Techs]]*(WorkOrders2[[#This Row],[PartsCost]]*WorkOrders2[[#This Row],[LbrHrs]])</f>
        <v>69.283349999999999</v>
      </c>
      <c r="Q307" s="10">
        <f t="shared" si="24"/>
        <v>69.283349999999999</v>
      </c>
      <c r="R307" s="10">
        <f t="shared" si="25"/>
        <v>138.5667</v>
      </c>
      <c r="S307" s="10">
        <f t="shared" si="26"/>
        <v>207.85005000000001</v>
      </c>
      <c r="T307" s="10">
        <f t="shared" si="27"/>
        <v>207.85005000000001</v>
      </c>
      <c r="U307" s="8" t="str">
        <f t="shared" si="28"/>
        <v>Sat</v>
      </c>
      <c r="V307" s="8" t="str">
        <f t="shared" si="29"/>
        <v>Wed</v>
      </c>
    </row>
    <row r="308" spans="1:22" hidden="1" x14ac:dyDescent="0.25">
      <c r="A308" t="s">
        <v>253</v>
      </c>
      <c r="B308" t="s">
        <v>37</v>
      </c>
      <c r="C308" t="s">
        <v>43</v>
      </c>
      <c r="D308" t="s">
        <v>11</v>
      </c>
      <c r="F308" s="5">
        <v>44170</v>
      </c>
      <c r="G308" s="5">
        <v>44202</v>
      </c>
      <c r="H308" s="2">
        <v>1</v>
      </c>
      <c r="I308" s="6"/>
      <c r="J308" s="6"/>
      <c r="K308" s="7">
        <v>0.25</v>
      </c>
      <c r="L308" s="7">
        <v>126.5641</v>
      </c>
      <c r="M308" t="s">
        <v>17</v>
      </c>
      <c r="N308" s="9"/>
      <c r="O308" s="8">
        <f t="array" ref="O308">INDEX(TechRate,MATCH(H308,TechNum,0))</f>
        <v>80</v>
      </c>
      <c r="P308" s="10">
        <f>WorkOrders2[[#This Row],[Techs]]*(WorkOrders2[[#This Row],[PartsCost]]*WorkOrders2[[#This Row],[LbrHrs]])</f>
        <v>31.641024999999999</v>
      </c>
      <c r="Q308" s="10">
        <f t="shared" si="24"/>
        <v>31.641024999999999</v>
      </c>
      <c r="R308" s="10">
        <f t="shared" si="25"/>
        <v>126.5641</v>
      </c>
      <c r="S308" s="10">
        <f t="shared" si="26"/>
        <v>158.20512500000001</v>
      </c>
      <c r="T308" s="10">
        <f t="shared" si="27"/>
        <v>158.20512500000001</v>
      </c>
      <c r="U308" s="8" t="str">
        <f t="shared" si="28"/>
        <v>Sat</v>
      </c>
      <c r="V308" s="8" t="str">
        <f t="shared" si="29"/>
        <v>Wed</v>
      </c>
    </row>
    <row r="309" spans="1:22" hidden="1" x14ac:dyDescent="0.25">
      <c r="A309" t="s">
        <v>255</v>
      </c>
      <c r="B309" t="s">
        <v>37</v>
      </c>
      <c r="C309" t="s">
        <v>43</v>
      </c>
      <c r="D309" t="s">
        <v>11</v>
      </c>
      <c r="F309" s="5">
        <v>44172</v>
      </c>
      <c r="G309" s="5">
        <v>44203</v>
      </c>
      <c r="H309" s="2">
        <v>1</v>
      </c>
      <c r="I309" s="6"/>
      <c r="J309" s="6"/>
      <c r="K309" s="7">
        <v>0.25</v>
      </c>
      <c r="L309" s="7">
        <v>227.93719999999999</v>
      </c>
      <c r="M309" t="s">
        <v>17</v>
      </c>
      <c r="N309" s="9"/>
      <c r="O309" s="8">
        <f t="array" ref="O309">INDEX(TechRate,MATCH(H309,TechNum,0))</f>
        <v>80</v>
      </c>
      <c r="P309" s="10">
        <f>WorkOrders2[[#This Row],[Techs]]*(WorkOrders2[[#This Row],[PartsCost]]*WorkOrders2[[#This Row],[LbrHrs]])</f>
        <v>56.984299999999998</v>
      </c>
      <c r="Q309" s="10">
        <f t="shared" si="24"/>
        <v>56.984299999999998</v>
      </c>
      <c r="R309" s="10">
        <f t="shared" si="25"/>
        <v>227.93719999999999</v>
      </c>
      <c r="S309" s="10">
        <f t="shared" si="26"/>
        <v>284.92149999999998</v>
      </c>
      <c r="T309" s="10">
        <f t="shared" si="27"/>
        <v>284.92149999999998</v>
      </c>
      <c r="U309" s="8" t="str">
        <f t="shared" si="28"/>
        <v>Mon</v>
      </c>
      <c r="V309" s="8" t="str">
        <f t="shared" si="29"/>
        <v>Thu</v>
      </c>
    </row>
    <row r="310" spans="1:22" hidden="1" x14ac:dyDescent="0.25">
      <c r="A310" t="s">
        <v>261</v>
      </c>
      <c r="B310" t="s">
        <v>37</v>
      </c>
      <c r="C310" t="s">
        <v>43</v>
      </c>
      <c r="D310" t="s">
        <v>1</v>
      </c>
      <c r="F310" s="5">
        <v>44174</v>
      </c>
      <c r="G310" s="5">
        <v>44182</v>
      </c>
      <c r="H310" s="2">
        <v>1</v>
      </c>
      <c r="I310" s="6"/>
      <c r="J310" s="6"/>
      <c r="K310" s="7">
        <v>1.75</v>
      </c>
      <c r="L310" s="7">
        <v>131.30000000000001</v>
      </c>
      <c r="M310" t="s">
        <v>19</v>
      </c>
      <c r="N310" s="9"/>
      <c r="O310" s="8">
        <f t="array" ref="O310">INDEX(TechRate,MATCH(H310,TechNum,0))</f>
        <v>80</v>
      </c>
      <c r="P310" s="10">
        <f>WorkOrders2[[#This Row],[Techs]]*(WorkOrders2[[#This Row],[PartsCost]]*WorkOrders2[[#This Row],[LbrHrs]])</f>
        <v>229.77500000000003</v>
      </c>
      <c r="Q310" s="10">
        <f t="shared" si="24"/>
        <v>229.77500000000003</v>
      </c>
      <c r="R310" s="10">
        <f t="shared" si="25"/>
        <v>131.30000000000001</v>
      </c>
      <c r="S310" s="10">
        <f t="shared" si="26"/>
        <v>361.07500000000005</v>
      </c>
      <c r="T310" s="10">
        <f t="shared" si="27"/>
        <v>361.07500000000005</v>
      </c>
      <c r="U310" s="8" t="str">
        <f t="shared" si="28"/>
        <v>Wed</v>
      </c>
      <c r="V310" s="8" t="str">
        <f t="shared" si="29"/>
        <v>Thu</v>
      </c>
    </row>
    <row r="311" spans="1:22" hidden="1" x14ac:dyDescent="0.25">
      <c r="A311" t="s">
        <v>265</v>
      </c>
      <c r="B311" t="s">
        <v>37</v>
      </c>
      <c r="C311" t="s">
        <v>43</v>
      </c>
      <c r="D311" t="s">
        <v>11</v>
      </c>
      <c r="F311" s="5">
        <v>44175</v>
      </c>
      <c r="G311" s="5">
        <v>44203</v>
      </c>
      <c r="H311" s="2">
        <v>1</v>
      </c>
      <c r="I311" s="6"/>
      <c r="J311" s="6"/>
      <c r="K311" s="7">
        <v>0.25</v>
      </c>
      <c r="L311" s="7">
        <v>67.703999999999994</v>
      </c>
      <c r="M311" t="s">
        <v>19</v>
      </c>
      <c r="N311" s="9"/>
      <c r="O311" s="8">
        <f t="array" ref="O311">INDEX(TechRate,MATCH(H311,TechNum,0))</f>
        <v>80</v>
      </c>
      <c r="P311" s="10">
        <f>WorkOrders2[[#This Row],[Techs]]*(WorkOrders2[[#This Row],[PartsCost]]*WorkOrders2[[#This Row],[LbrHrs]])</f>
        <v>16.925999999999998</v>
      </c>
      <c r="Q311" s="10">
        <f t="shared" si="24"/>
        <v>16.925999999999998</v>
      </c>
      <c r="R311" s="10">
        <f t="shared" si="25"/>
        <v>67.703999999999994</v>
      </c>
      <c r="S311" s="10">
        <f t="shared" si="26"/>
        <v>84.63</v>
      </c>
      <c r="T311" s="10">
        <f t="shared" si="27"/>
        <v>84.63</v>
      </c>
      <c r="U311" s="8" t="str">
        <f t="shared" si="28"/>
        <v>Thu</v>
      </c>
      <c r="V311" s="8" t="str">
        <f t="shared" si="29"/>
        <v>Thu</v>
      </c>
    </row>
    <row r="312" spans="1:22" x14ac:dyDescent="0.25">
      <c r="A312" t="s">
        <v>276</v>
      </c>
      <c r="B312" t="s">
        <v>37</v>
      </c>
      <c r="C312" t="s">
        <v>43</v>
      </c>
      <c r="D312" t="s">
        <v>2</v>
      </c>
      <c r="F312" s="5">
        <v>44179</v>
      </c>
      <c r="G312" s="5">
        <v>44320</v>
      </c>
      <c r="H312" s="2">
        <v>1</v>
      </c>
      <c r="I312" s="6"/>
      <c r="J312" s="6"/>
      <c r="K312" s="7">
        <v>4</v>
      </c>
      <c r="L312" s="7">
        <v>1769.625</v>
      </c>
      <c r="M312" t="s">
        <v>19</v>
      </c>
      <c r="N312" s="9"/>
      <c r="O312" s="8">
        <f t="array" ref="O312">INDEX(TechRate,MATCH(H312,TechNum,0))</f>
        <v>80</v>
      </c>
      <c r="P312" s="10">
        <f>WorkOrders2[[#This Row],[Techs]]*(WorkOrders2[[#This Row],[PartsCost]]*WorkOrders2[[#This Row],[LbrHrs]])</f>
        <v>7078.5</v>
      </c>
      <c r="Q312" s="10">
        <f t="shared" si="24"/>
        <v>7078.5</v>
      </c>
      <c r="R312" s="10">
        <f t="shared" si="25"/>
        <v>1769.625</v>
      </c>
      <c r="S312" s="10">
        <f t="shared" si="26"/>
        <v>8848.125</v>
      </c>
      <c r="T312" s="10">
        <f t="shared" si="27"/>
        <v>8848.125</v>
      </c>
      <c r="U312" s="8" t="str">
        <f t="shared" si="28"/>
        <v>Mon</v>
      </c>
      <c r="V312" s="8" t="str">
        <f t="shared" si="29"/>
        <v>Tue</v>
      </c>
    </row>
    <row r="313" spans="1:22" hidden="1" x14ac:dyDescent="0.25">
      <c r="A313" t="s">
        <v>277</v>
      </c>
      <c r="B313" t="s">
        <v>37</v>
      </c>
      <c r="C313" t="s">
        <v>43</v>
      </c>
      <c r="D313" t="s">
        <v>13</v>
      </c>
      <c r="F313" s="5">
        <v>44180</v>
      </c>
      <c r="G313" s="5">
        <v>44209</v>
      </c>
      <c r="H313" s="2">
        <v>1</v>
      </c>
      <c r="I313" s="6"/>
      <c r="J313" s="6"/>
      <c r="K313" s="7">
        <v>0.75</v>
      </c>
      <c r="L313" s="7">
        <v>82.875</v>
      </c>
      <c r="M313" t="s">
        <v>19</v>
      </c>
      <c r="N313" s="9"/>
      <c r="O313" s="8">
        <f t="array" ref="O313">INDEX(TechRate,MATCH(H313,TechNum,0))</f>
        <v>80</v>
      </c>
      <c r="P313" s="10">
        <f>WorkOrders2[[#This Row],[Techs]]*(WorkOrders2[[#This Row],[PartsCost]]*WorkOrders2[[#This Row],[LbrHrs]])</f>
        <v>62.15625</v>
      </c>
      <c r="Q313" s="10">
        <f t="shared" si="24"/>
        <v>62.15625</v>
      </c>
      <c r="R313" s="10">
        <f t="shared" si="25"/>
        <v>82.875</v>
      </c>
      <c r="S313" s="10">
        <f t="shared" si="26"/>
        <v>145.03125</v>
      </c>
      <c r="T313" s="10">
        <f t="shared" si="27"/>
        <v>145.03125</v>
      </c>
      <c r="U313" s="8" t="str">
        <f t="shared" si="28"/>
        <v>Tue</v>
      </c>
      <c r="V313" s="8" t="str">
        <f t="shared" si="29"/>
        <v>Wed</v>
      </c>
    </row>
    <row r="314" spans="1:22" hidden="1" x14ac:dyDescent="0.25">
      <c r="A314" t="s">
        <v>280</v>
      </c>
      <c r="B314" t="s">
        <v>37</v>
      </c>
      <c r="C314" t="s">
        <v>43</v>
      </c>
      <c r="D314" t="s">
        <v>12</v>
      </c>
      <c r="F314" s="5">
        <v>44181</v>
      </c>
      <c r="G314" s="5">
        <v>44210</v>
      </c>
      <c r="H314" s="2">
        <v>1</v>
      </c>
      <c r="I314" s="6"/>
      <c r="J314" s="6"/>
      <c r="K314" s="7">
        <v>0.25</v>
      </c>
      <c r="L314" s="7">
        <v>140.4</v>
      </c>
      <c r="M314" t="s">
        <v>17</v>
      </c>
      <c r="N314" s="9"/>
      <c r="O314" s="8">
        <f t="array" ref="O314">INDEX(TechRate,MATCH(H314,TechNum,0))</f>
        <v>80</v>
      </c>
      <c r="P314" s="10">
        <f>WorkOrders2[[#This Row],[Techs]]*(WorkOrders2[[#This Row],[PartsCost]]*WorkOrders2[[#This Row],[LbrHrs]])</f>
        <v>35.1</v>
      </c>
      <c r="Q314" s="10">
        <f t="shared" si="24"/>
        <v>35.1</v>
      </c>
      <c r="R314" s="10">
        <f t="shared" si="25"/>
        <v>140.4</v>
      </c>
      <c r="S314" s="10">
        <f t="shared" si="26"/>
        <v>175.5</v>
      </c>
      <c r="T314" s="10">
        <f t="shared" si="27"/>
        <v>175.5</v>
      </c>
      <c r="U314" s="8" t="str">
        <f t="shared" si="28"/>
        <v>Wed</v>
      </c>
      <c r="V314" s="8" t="str">
        <f t="shared" si="29"/>
        <v>Thu</v>
      </c>
    </row>
    <row r="315" spans="1:22" hidden="1" x14ac:dyDescent="0.25">
      <c r="A315" t="s">
        <v>284</v>
      </c>
      <c r="B315" t="s">
        <v>37</v>
      </c>
      <c r="C315" t="s">
        <v>43</v>
      </c>
      <c r="D315" t="s">
        <v>12</v>
      </c>
      <c r="F315" s="5">
        <v>44200</v>
      </c>
      <c r="G315" s="5">
        <v>44209</v>
      </c>
      <c r="H315" s="2">
        <v>1</v>
      </c>
      <c r="I315" s="6"/>
      <c r="J315" s="6"/>
      <c r="K315" s="7">
        <v>0.5</v>
      </c>
      <c r="L315" s="7">
        <v>18.524999999999999</v>
      </c>
      <c r="M315" t="s">
        <v>19</v>
      </c>
      <c r="N315" s="9"/>
      <c r="O315" s="8">
        <f t="array" ref="O315">INDEX(TechRate,MATCH(H315,TechNum,0))</f>
        <v>80</v>
      </c>
      <c r="P315" s="10">
        <f>WorkOrders2[[#This Row],[Techs]]*(WorkOrders2[[#This Row],[PartsCost]]*WorkOrders2[[#This Row],[LbrHrs]])</f>
        <v>9.2624999999999993</v>
      </c>
      <c r="Q315" s="10">
        <f t="shared" si="24"/>
        <v>9.2624999999999993</v>
      </c>
      <c r="R315" s="10">
        <f t="shared" si="25"/>
        <v>18.524999999999999</v>
      </c>
      <c r="S315" s="10">
        <f t="shared" si="26"/>
        <v>27.787499999999998</v>
      </c>
      <c r="T315" s="10">
        <f t="shared" si="27"/>
        <v>27.787499999999998</v>
      </c>
      <c r="U315" s="8" t="str">
        <f t="shared" si="28"/>
        <v>Mon</v>
      </c>
      <c r="V315" s="8" t="str">
        <f t="shared" si="29"/>
        <v>Wed</v>
      </c>
    </row>
    <row r="316" spans="1:22" hidden="1" x14ac:dyDescent="0.25">
      <c r="A316" t="s">
        <v>286</v>
      </c>
      <c r="B316" t="s">
        <v>37</v>
      </c>
      <c r="C316" t="s">
        <v>43</v>
      </c>
      <c r="D316" t="s">
        <v>12</v>
      </c>
      <c r="F316" s="5">
        <v>44200</v>
      </c>
      <c r="G316" s="5">
        <v>44210</v>
      </c>
      <c r="H316" s="2">
        <v>2</v>
      </c>
      <c r="I316" s="6"/>
      <c r="J316" s="6"/>
      <c r="K316" s="7">
        <v>0.25</v>
      </c>
      <c r="L316" s="7">
        <v>36.503999999999998</v>
      </c>
      <c r="M316" t="s">
        <v>19</v>
      </c>
      <c r="N316" s="9"/>
      <c r="O316" s="8">
        <f t="array" ref="O316">INDEX(TechRate,MATCH(H316,TechNum,0))</f>
        <v>140</v>
      </c>
      <c r="P316" s="10">
        <f>WorkOrders2[[#This Row],[Techs]]*(WorkOrders2[[#This Row],[PartsCost]]*WorkOrders2[[#This Row],[LbrHrs]])</f>
        <v>18.251999999999999</v>
      </c>
      <c r="Q316" s="10">
        <f t="shared" si="24"/>
        <v>18.251999999999999</v>
      </c>
      <c r="R316" s="10">
        <f t="shared" si="25"/>
        <v>36.503999999999998</v>
      </c>
      <c r="S316" s="10">
        <f t="shared" si="26"/>
        <v>54.756</v>
      </c>
      <c r="T316" s="10">
        <f t="shared" si="27"/>
        <v>54.756</v>
      </c>
      <c r="U316" s="8" t="str">
        <f t="shared" si="28"/>
        <v>Mon</v>
      </c>
      <c r="V316" s="8" t="str">
        <f t="shared" si="29"/>
        <v>Thu</v>
      </c>
    </row>
    <row r="317" spans="1:22" hidden="1" x14ac:dyDescent="0.25">
      <c r="A317" t="s">
        <v>291</v>
      </c>
      <c r="B317" t="s">
        <v>37</v>
      </c>
      <c r="C317" t="s">
        <v>43</v>
      </c>
      <c r="D317" t="s">
        <v>12</v>
      </c>
      <c r="F317" s="5">
        <v>44201</v>
      </c>
      <c r="G317" s="5">
        <v>44210</v>
      </c>
      <c r="H317" s="2">
        <v>1</v>
      </c>
      <c r="I317" s="6"/>
      <c r="J317" s="6"/>
      <c r="K317" s="7">
        <v>0.25</v>
      </c>
      <c r="L317" s="7">
        <v>25.2486</v>
      </c>
      <c r="M317" t="s">
        <v>19</v>
      </c>
      <c r="N317" s="9"/>
      <c r="O317" s="8">
        <f t="array" ref="O317">INDEX(TechRate,MATCH(H317,TechNum,0))</f>
        <v>80</v>
      </c>
      <c r="P317" s="10">
        <f>WorkOrders2[[#This Row],[Techs]]*(WorkOrders2[[#This Row],[PartsCost]]*WorkOrders2[[#This Row],[LbrHrs]])</f>
        <v>6.3121499999999999</v>
      </c>
      <c r="Q317" s="10">
        <f t="shared" si="24"/>
        <v>6.3121499999999999</v>
      </c>
      <c r="R317" s="10">
        <f t="shared" si="25"/>
        <v>25.2486</v>
      </c>
      <c r="S317" s="10">
        <f t="shared" si="26"/>
        <v>31.560749999999999</v>
      </c>
      <c r="T317" s="10">
        <f t="shared" si="27"/>
        <v>31.560749999999999</v>
      </c>
      <c r="U317" s="8" t="str">
        <f t="shared" si="28"/>
        <v>Tue</v>
      </c>
      <c r="V317" s="8" t="str">
        <f t="shared" si="29"/>
        <v>Thu</v>
      </c>
    </row>
    <row r="318" spans="1:22" hidden="1" x14ac:dyDescent="0.25">
      <c r="A318" t="s">
        <v>295</v>
      </c>
      <c r="B318" t="s">
        <v>37</v>
      </c>
      <c r="C318" t="s">
        <v>6</v>
      </c>
      <c r="D318" t="s">
        <v>1</v>
      </c>
      <c r="F318" s="5">
        <v>44201</v>
      </c>
      <c r="G318" s="5">
        <v>44229</v>
      </c>
      <c r="H318" s="2">
        <v>1</v>
      </c>
      <c r="I318" s="6"/>
      <c r="J318" s="6"/>
      <c r="K318" s="7">
        <v>2.5</v>
      </c>
      <c r="L318" s="7">
        <v>258.02780000000001</v>
      </c>
      <c r="M318" t="s">
        <v>18</v>
      </c>
      <c r="N318" s="9"/>
      <c r="O318" s="8">
        <f t="array" ref="O318">INDEX(TechRate,MATCH(H318,TechNum,0))</f>
        <v>80</v>
      </c>
      <c r="P318" s="10">
        <f>WorkOrders2[[#This Row],[Techs]]*(WorkOrders2[[#This Row],[PartsCost]]*WorkOrders2[[#This Row],[LbrHrs]])</f>
        <v>645.06950000000006</v>
      </c>
      <c r="Q318" s="10">
        <f t="shared" si="24"/>
        <v>645.06950000000006</v>
      </c>
      <c r="R318" s="10">
        <f t="shared" si="25"/>
        <v>258.02780000000001</v>
      </c>
      <c r="S318" s="10">
        <f t="shared" si="26"/>
        <v>903.09730000000013</v>
      </c>
      <c r="T318" s="10">
        <f t="shared" si="27"/>
        <v>903.09730000000013</v>
      </c>
      <c r="U318" s="8" t="str">
        <f t="shared" si="28"/>
        <v>Tue</v>
      </c>
      <c r="V318" s="8" t="str">
        <f t="shared" si="29"/>
        <v>Tue</v>
      </c>
    </row>
    <row r="319" spans="1:22" hidden="1" x14ac:dyDescent="0.25">
      <c r="A319" t="s">
        <v>296</v>
      </c>
      <c r="B319" t="s">
        <v>37</v>
      </c>
      <c r="C319" t="s">
        <v>43</v>
      </c>
      <c r="D319" t="s">
        <v>12</v>
      </c>
      <c r="F319" s="5">
        <v>44201</v>
      </c>
      <c r="G319" s="5">
        <v>44320</v>
      </c>
      <c r="H319" s="2">
        <v>1</v>
      </c>
      <c r="I319" s="6"/>
      <c r="J319" s="6"/>
      <c r="K319" s="7">
        <v>0.25</v>
      </c>
      <c r="L319" s="7">
        <v>14.3</v>
      </c>
      <c r="M319" t="s">
        <v>19</v>
      </c>
      <c r="N319" s="9"/>
      <c r="O319" s="8">
        <f t="array" ref="O319">INDEX(TechRate,MATCH(H319,TechNum,0))</f>
        <v>80</v>
      </c>
      <c r="P319" s="10">
        <f>WorkOrders2[[#This Row],[Techs]]*(WorkOrders2[[#This Row],[PartsCost]]*WorkOrders2[[#This Row],[LbrHrs]])</f>
        <v>3.5750000000000002</v>
      </c>
      <c r="Q319" s="10">
        <f t="shared" si="24"/>
        <v>3.5750000000000002</v>
      </c>
      <c r="R319" s="10">
        <f t="shared" si="25"/>
        <v>14.3</v>
      </c>
      <c r="S319" s="10">
        <f t="shared" si="26"/>
        <v>17.875</v>
      </c>
      <c r="T319" s="10">
        <f t="shared" si="27"/>
        <v>17.875</v>
      </c>
      <c r="U319" s="8" t="str">
        <f t="shared" si="28"/>
        <v>Tue</v>
      </c>
      <c r="V319" s="8" t="str">
        <f t="shared" si="29"/>
        <v>Tue</v>
      </c>
    </row>
    <row r="320" spans="1:22" hidden="1" x14ac:dyDescent="0.25">
      <c r="A320" t="s">
        <v>297</v>
      </c>
      <c r="B320" t="s">
        <v>37</v>
      </c>
      <c r="C320" t="s">
        <v>43</v>
      </c>
      <c r="D320" t="s">
        <v>12</v>
      </c>
      <c r="F320" s="5">
        <v>44202</v>
      </c>
      <c r="G320" s="5">
        <v>44214</v>
      </c>
      <c r="H320" s="2">
        <v>1</v>
      </c>
      <c r="I320" s="6"/>
      <c r="J320" s="6"/>
      <c r="K320" s="7">
        <v>0.25</v>
      </c>
      <c r="L320" s="7">
        <v>44.85</v>
      </c>
      <c r="M320" t="s">
        <v>19</v>
      </c>
      <c r="N320" s="9"/>
      <c r="O320" s="8">
        <f t="array" ref="O320">INDEX(TechRate,MATCH(H320,TechNum,0))</f>
        <v>80</v>
      </c>
      <c r="P320" s="10">
        <f>WorkOrders2[[#This Row],[Techs]]*(WorkOrders2[[#This Row],[PartsCost]]*WorkOrders2[[#This Row],[LbrHrs]])</f>
        <v>11.2125</v>
      </c>
      <c r="Q320" s="10">
        <f t="shared" si="24"/>
        <v>11.2125</v>
      </c>
      <c r="R320" s="10">
        <f t="shared" si="25"/>
        <v>44.85</v>
      </c>
      <c r="S320" s="10">
        <f t="shared" si="26"/>
        <v>56.0625</v>
      </c>
      <c r="T320" s="10">
        <f t="shared" si="27"/>
        <v>56.0625</v>
      </c>
      <c r="U320" s="8" t="str">
        <f t="shared" si="28"/>
        <v>Wed</v>
      </c>
      <c r="V320" s="8" t="str">
        <f t="shared" si="29"/>
        <v>Mon</v>
      </c>
    </row>
    <row r="321" spans="1:22" hidden="1" x14ac:dyDescent="0.25">
      <c r="A321" t="s">
        <v>307</v>
      </c>
      <c r="B321" t="s">
        <v>37</v>
      </c>
      <c r="C321" t="s">
        <v>43</v>
      </c>
      <c r="D321" t="s">
        <v>12</v>
      </c>
      <c r="F321" s="5">
        <v>44204</v>
      </c>
      <c r="G321" s="5">
        <v>44228</v>
      </c>
      <c r="H321" s="2">
        <v>1</v>
      </c>
      <c r="I321" s="6"/>
      <c r="J321" s="6"/>
      <c r="K321" s="7">
        <v>0.25</v>
      </c>
      <c r="L321" s="7">
        <v>67.067700000000002</v>
      </c>
      <c r="M321" t="s">
        <v>17</v>
      </c>
      <c r="N321" s="9"/>
      <c r="O321" s="8">
        <f t="array" ref="O321">INDEX(TechRate,MATCH(H321,TechNum,0))</f>
        <v>80</v>
      </c>
      <c r="P321" s="10">
        <f>WorkOrders2[[#This Row],[Techs]]*(WorkOrders2[[#This Row],[PartsCost]]*WorkOrders2[[#This Row],[LbrHrs]])</f>
        <v>16.766925000000001</v>
      </c>
      <c r="Q321" s="10">
        <f t="shared" si="24"/>
        <v>16.766925000000001</v>
      </c>
      <c r="R321" s="10">
        <f t="shared" si="25"/>
        <v>67.067700000000002</v>
      </c>
      <c r="S321" s="10">
        <f t="shared" si="26"/>
        <v>83.834625000000003</v>
      </c>
      <c r="T321" s="10">
        <f t="shared" si="27"/>
        <v>83.834625000000003</v>
      </c>
      <c r="U321" s="8" t="str">
        <f t="shared" si="28"/>
        <v>Fri</v>
      </c>
      <c r="V321" s="8" t="str">
        <f t="shared" si="29"/>
        <v>Mon</v>
      </c>
    </row>
    <row r="322" spans="1:22" hidden="1" x14ac:dyDescent="0.25">
      <c r="A322" t="s">
        <v>308</v>
      </c>
      <c r="B322" t="s">
        <v>37</v>
      </c>
      <c r="C322" t="s">
        <v>43</v>
      </c>
      <c r="D322" t="s">
        <v>11</v>
      </c>
      <c r="F322" s="5">
        <v>44207</v>
      </c>
      <c r="G322" s="5">
        <v>44217</v>
      </c>
      <c r="H322" s="2">
        <v>1</v>
      </c>
      <c r="I322" s="6"/>
      <c r="J322" s="6"/>
      <c r="K322" s="7">
        <v>0.25</v>
      </c>
      <c r="L322" s="7">
        <v>162.20959999999999</v>
      </c>
      <c r="M322" t="s">
        <v>17</v>
      </c>
      <c r="N322" s="9"/>
      <c r="O322" s="8">
        <f t="array" ref="O322">INDEX(TechRate,MATCH(H322,TechNum,0))</f>
        <v>80</v>
      </c>
      <c r="P322" s="10">
        <f>WorkOrders2[[#This Row],[Techs]]*(WorkOrders2[[#This Row],[PartsCost]]*WorkOrders2[[#This Row],[LbrHrs]])</f>
        <v>40.552399999999999</v>
      </c>
      <c r="Q322" s="10">
        <f t="shared" ref="Q322:Q385" si="30">IF(I322="Yes",0,P322)</f>
        <v>40.552399999999999</v>
      </c>
      <c r="R322" s="10">
        <f t="shared" ref="R322:R385" si="31">IF(J322="Yes",0,L322)</f>
        <v>162.20959999999999</v>
      </c>
      <c r="S322" s="10">
        <f t="shared" ref="S322:S385" si="32">SUM(L322,P322)</f>
        <v>202.762</v>
      </c>
      <c r="T322" s="10">
        <f t="shared" ref="T322:T385" si="33">SUM(Q322,R322)</f>
        <v>202.762</v>
      </c>
      <c r="U322" s="8" t="str">
        <f t="shared" ref="U322:U385" si="34">TEXT(F322,"ddd")</f>
        <v>Mon</v>
      </c>
      <c r="V322" s="8" t="str">
        <f t="shared" ref="V322:V385" si="35">TEXT(G322,"ddd")</f>
        <v>Thu</v>
      </c>
    </row>
    <row r="323" spans="1:22" hidden="1" x14ac:dyDescent="0.25">
      <c r="A323" t="s">
        <v>311</v>
      </c>
      <c r="B323" t="s">
        <v>37</v>
      </c>
      <c r="C323" t="s">
        <v>43</v>
      </c>
      <c r="D323" t="s">
        <v>12</v>
      </c>
      <c r="F323" s="5">
        <v>44207</v>
      </c>
      <c r="G323" s="5">
        <v>44228</v>
      </c>
      <c r="H323" s="2">
        <v>1</v>
      </c>
      <c r="I323" s="6"/>
      <c r="J323" s="6"/>
      <c r="K323" s="7">
        <v>0.25</v>
      </c>
      <c r="L323" s="7">
        <v>150.31899999999999</v>
      </c>
      <c r="M323" t="s">
        <v>19</v>
      </c>
      <c r="N323" s="9"/>
      <c r="O323" s="8">
        <f t="array" ref="O323">INDEX(TechRate,MATCH(H323,TechNum,0))</f>
        <v>80</v>
      </c>
      <c r="P323" s="10">
        <f>WorkOrders2[[#This Row],[Techs]]*(WorkOrders2[[#This Row],[PartsCost]]*WorkOrders2[[#This Row],[LbrHrs]])</f>
        <v>37.579749999999997</v>
      </c>
      <c r="Q323" s="10">
        <f t="shared" si="30"/>
        <v>37.579749999999997</v>
      </c>
      <c r="R323" s="10">
        <f t="shared" si="31"/>
        <v>150.31899999999999</v>
      </c>
      <c r="S323" s="10">
        <f t="shared" si="32"/>
        <v>187.89874999999998</v>
      </c>
      <c r="T323" s="10">
        <f t="shared" si="33"/>
        <v>187.89874999999998</v>
      </c>
      <c r="U323" s="8" t="str">
        <f t="shared" si="34"/>
        <v>Mon</v>
      </c>
      <c r="V323" s="8" t="str">
        <f t="shared" si="35"/>
        <v>Mon</v>
      </c>
    </row>
    <row r="324" spans="1:22" hidden="1" x14ac:dyDescent="0.25">
      <c r="A324" t="s">
        <v>313</v>
      </c>
      <c r="B324" t="s">
        <v>37</v>
      </c>
      <c r="C324" t="s">
        <v>43</v>
      </c>
      <c r="D324" t="s">
        <v>12</v>
      </c>
      <c r="F324" s="5">
        <v>44208</v>
      </c>
      <c r="G324" s="5">
        <v>44217</v>
      </c>
      <c r="H324" s="2">
        <v>1</v>
      </c>
      <c r="I324" s="6"/>
      <c r="J324" s="6"/>
      <c r="K324" s="7">
        <v>0.25</v>
      </c>
      <c r="L324" s="7">
        <v>19.5</v>
      </c>
      <c r="M324" t="s">
        <v>19</v>
      </c>
      <c r="N324" s="9"/>
      <c r="O324" s="8">
        <f t="array" ref="O324">INDEX(TechRate,MATCH(H324,TechNum,0))</f>
        <v>80</v>
      </c>
      <c r="P324" s="10">
        <f>WorkOrders2[[#This Row],[Techs]]*(WorkOrders2[[#This Row],[PartsCost]]*WorkOrders2[[#This Row],[LbrHrs]])</f>
        <v>4.875</v>
      </c>
      <c r="Q324" s="10">
        <f t="shared" si="30"/>
        <v>4.875</v>
      </c>
      <c r="R324" s="10">
        <f t="shared" si="31"/>
        <v>19.5</v>
      </c>
      <c r="S324" s="10">
        <f t="shared" si="32"/>
        <v>24.375</v>
      </c>
      <c r="T324" s="10">
        <f t="shared" si="33"/>
        <v>24.375</v>
      </c>
      <c r="U324" s="8" t="str">
        <f t="shared" si="34"/>
        <v>Tue</v>
      </c>
      <c r="V324" s="8" t="str">
        <f t="shared" si="35"/>
        <v>Thu</v>
      </c>
    </row>
    <row r="325" spans="1:22" hidden="1" x14ac:dyDescent="0.25">
      <c r="A325" t="s">
        <v>316</v>
      </c>
      <c r="B325" t="s">
        <v>37</v>
      </c>
      <c r="C325" t="s">
        <v>43</v>
      </c>
      <c r="D325" t="s">
        <v>12</v>
      </c>
      <c r="F325" s="5">
        <v>44210</v>
      </c>
      <c r="G325" s="5">
        <v>44215</v>
      </c>
      <c r="H325" s="2">
        <v>1</v>
      </c>
      <c r="I325" s="6"/>
      <c r="J325" s="6"/>
      <c r="K325" s="7">
        <v>0.25</v>
      </c>
      <c r="L325" s="7">
        <v>108.3061</v>
      </c>
      <c r="M325" t="s">
        <v>19</v>
      </c>
      <c r="N325" s="9"/>
      <c r="O325" s="8">
        <f t="array" ref="O325">INDEX(TechRate,MATCH(H325,TechNum,0))</f>
        <v>80</v>
      </c>
      <c r="P325" s="10">
        <f>WorkOrders2[[#This Row],[Techs]]*(WorkOrders2[[#This Row],[PartsCost]]*WorkOrders2[[#This Row],[LbrHrs]])</f>
        <v>27.076525</v>
      </c>
      <c r="Q325" s="10">
        <f t="shared" si="30"/>
        <v>27.076525</v>
      </c>
      <c r="R325" s="10">
        <f t="shared" si="31"/>
        <v>108.3061</v>
      </c>
      <c r="S325" s="10">
        <f t="shared" si="32"/>
        <v>135.38262499999999</v>
      </c>
      <c r="T325" s="10">
        <f t="shared" si="33"/>
        <v>135.38262499999999</v>
      </c>
      <c r="U325" s="8" t="str">
        <f t="shared" si="34"/>
        <v>Thu</v>
      </c>
      <c r="V325" s="8" t="str">
        <f t="shared" si="35"/>
        <v>Tue</v>
      </c>
    </row>
    <row r="326" spans="1:22" hidden="1" x14ac:dyDescent="0.25">
      <c r="A326" t="s">
        <v>318</v>
      </c>
      <c r="B326" t="s">
        <v>37</v>
      </c>
      <c r="C326" t="s">
        <v>43</v>
      </c>
      <c r="D326" t="s">
        <v>12</v>
      </c>
      <c r="E326" t="s">
        <v>3</v>
      </c>
      <c r="F326" s="5">
        <v>44210</v>
      </c>
      <c r="G326" s="5">
        <v>44228</v>
      </c>
      <c r="H326" s="2">
        <v>1</v>
      </c>
      <c r="I326" s="6"/>
      <c r="J326" s="6"/>
      <c r="K326" s="7">
        <v>0.5</v>
      </c>
      <c r="L326" s="7">
        <v>56.919600000000003</v>
      </c>
      <c r="M326" t="s">
        <v>17</v>
      </c>
      <c r="N326" s="9"/>
      <c r="O326" s="8">
        <f t="array" ref="O326">INDEX(TechRate,MATCH(H326,TechNum,0))</f>
        <v>80</v>
      </c>
      <c r="P326" s="10">
        <f>WorkOrders2[[#This Row],[Techs]]*(WorkOrders2[[#This Row],[PartsCost]]*WorkOrders2[[#This Row],[LbrHrs]])</f>
        <v>28.459800000000001</v>
      </c>
      <c r="Q326" s="10">
        <f t="shared" si="30"/>
        <v>28.459800000000001</v>
      </c>
      <c r="R326" s="10">
        <f t="shared" si="31"/>
        <v>56.919600000000003</v>
      </c>
      <c r="S326" s="10">
        <f t="shared" si="32"/>
        <v>85.379400000000004</v>
      </c>
      <c r="T326" s="10">
        <f t="shared" si="33"/>
        <v>85.379400000000004</v>
      </c>
      <c r="U326" s="8" t="str">
        <f t="shared" si="34"/>
        <v>Thu</v>
      </c>
      <c r="V326" s="8" t="str">
        <f t="shared" si="35"/>
        <v>Mon</v>
      </c>
    </row>
    <row r="327" spans="1:22" hidden="1" x14ac:dyDescent="0.25">
      <c r="A327" t="s">
        <v>329</v>
      </c>
      <c r="B327" t="s">
        <v>37</v>
      </c>
      <c r="C327" t="s">
        <v>43</v>
      </c>
      <c r="D327" t="s">
        <v>11</v>
      </c>
      <c r="F327" s="5">
        <v>44216</v>
      </c>
      <c r="G327" s="5">
        <v>44224</v>
      </c>
      <c r="H327" s="2">
        <v>1</v>
      </c>
      <c r="I327" s="6"/>
      <c r="J327" s="6"/>
      <c r="K327" s="7">
        <v>0.25</v>
      </c>
      <c r="L327" s="7">
        <v>11.7</v>
      </c>
      <c r="M327" t="s">
        <v>17</v>
      </c>
      <c r="N327" s="9"/>
      <c r="O327" s="8">
        <f t="array" ref="O327">INDEX(TechRate,MATCH(H327,TechNum,0))</f>
        <v>80</v>
      </c>
      <c r="P327" s="10">
        <f>WorkOrders2[[#This Row],[Techs]]*(WorkOrders2[[#This Row],[PartsCost]]*WorkOrders2[[#This Row],[LbrHrs]])</f>
        <v>2.9249999999999998</v>
      </c>
      <c r="Q327" s="10">
        <f t="shared" si="30"/>
        <v>2.9249999999999998</v>
      </c>
      <c r="R327" s="10">
        <f t="shared" si="31"/>
        <v>11.7</v>
      </c>
      <c r="S327" s="10">
        <f t="shared" si="32"/>
        <v>14.625</v>
      </c>
      <c r="T327" s="10">
        <f t="shared" si="33"/>
        <v>14.625</v>
      </c>
      <c r="U327" s="8" t="str">
        <f t="shared" si="34"/>
        <v>Wed</v>
      </c>
      <c r="V327" s="8" t="str">
        <f t="shared" si="35"/>
        <v>Thu</v>
      </c>
    </row>
    <row r="328" spans="1:22" hidden="1" x14ac:dyDescent="0.25">
      <c r="A328" t="s">
        <v>332</v>
      </c>
      <c r="B328" t="s">
        <v>37</v>
      </c>
      <c r="C328" t="s">
        <v>43</v>
      </c>
      <c r="D328" t="s">
        <v>12</v>
      </c>
      <c r="F328" s="5">
        <v>44217</v>
      </c>
      <c r="G328" s="5">
        <v>44239</v>
      </c>
      <c r="H328" s="2">
        <v>1</v>
      </c>
      <c r="I328" s="6"/>
      <c r="J328" s="6"/>
      <c r="K328" s="7">
        <v>1.25</v>
      </c>
      <c r="L328" s="7">
        <v>93.6</v>
      </c>
      <c r="M328" t="s">
        <v>19</v>
      </c>
      <c r="N328" s="9"/>
      <c r="O328" s="8">
        <f t="array" ref="O328">INDEX(TechRate,MATCH(H328,TechNum,0))</f>
        <v>80</v>
      </c>
      <c r="P328" s="10">
        <f>WorkOrders2[[#This Row],[Techs]]*(WorkOrders2[[#This Row],[PartsCost]]*WorkOrders2[[#This Row],[LbrHrs]])</f>
        <v>117</v>
      </c>
      <c r="Q328" s="10">
        <f t="shared" si="30"/>
        <v>117</v>
      </c>
      <c r="R328" s="10">
        <f t="shared" si="31"/>
        <v>93.6</v>
      </c>
      <c r="S328" s="10">
        <f t="shared" si="32"/>
        <v>210.6</v>
      </c>
      <c r="T328" s="10">
        <f t="shared" si="33"/>
        <v>210.6</v>
      </c>
      <c r="U328" s="8" t="str">
        <f t="shared" si="34"/>
        <v>Thu</v>
      </c>
      <c r="V328" s="8" t="str">
        <f t="shared" si="35"/>
        <v>Fri</v>
      </c>
    </row>
    <row r="329" spans="1:22" hidden="1" x14ac:dyDescent="0.25">
      <c r="A329" t="s">
        <v>344</v>
      </c>
      <c r="B329" t="s">
        <v>37</v>
      </c>
      <c r="C329" t="s">
        <v>43</v>
      </c>
      <c r="D329" t="s">
        <v>12</v>
      </c>
      <c r="F329" s="5">
        <v>44224</v>
      </c>
      <c r="G329" s="5">
        <v>44245</v>
      </c>
      <c r="H329" s="2">
        <v>1</v>
      </c>
      <c r="I329" s="6"/>
      <c r="J329" s="6"/>
      <c r="K329" s="7">
        <v>0.25</v>
      </c>
      <c r="L329" s="7">
        <v>57.2</v>
      </c>
      <c r="M329" t="s">
        <v>19</v>
      </c>
      <c r="N329" s="9"/>
      <c r="O329" s="8">
        <f t="array" ref="O329">INDEX(TechRate,MATCH(H329,TechNum,0))</f>
        <v>80</v>
      </c>
      <c r="P329" s="10">
        <f>WorkOrders2[[#This Row],[Techs]]*(WorkOrders2[[#This Row],[PartsCost]]*WorkOrders2[[#This Row],[LbrHrs]])</f>
        <v>14.3</v>
      </c>
      <c r="Q329" s="10">
        <f t="shared" si="30"/>
        <v>14.3</v>
      </c>
      <c r="R329" s="10">
        <f t="shared" si="31"/>
        <v>57.2</v>
      </c>
      <c r="S329" s="10">
        <f t="shared" si="32"/>
        <v>71.5</v>
      </c>
      <c r="T329" s="10">
        <f t="shared" si="33"/>
        <v>71.5</v>
      </c>
      <c r="U329" s="8" t="str">
        <f t="shared" si="34"/>
        <v>Thu</v>
      </c>
      <c r="V329" s="8" t="str">
        <f t="shared" si="35"/>
        <v>Thu</v>
      </c>
    </row>
    <row r="330" spans="1:22" hidden="1" x14ac:dyDescent="0.25">
      <c r="A330" t="s">
        <v>346</v>
      </c>
      <c r="B330" t="s">
        <v>37</v>
      </c>
      <c r="C330" t="s">
        <v>43</v>
      </c>
      <c r="D330" t="s">
        <v>12</v>
      </c>
      <c r="F330" s="5">
        <v>44224</v>
      </c>
      <c r="G330" s="5">
        <v>44271</v>
      </c>
      <c r="H330" s="2">
        <v>1</v>
      </c>
      <c r="I330" s="6"/>
      <c r="J330" s="6"/>
      <c r="K330" s="7">
        <v>0.5</v>
      </c>
      <c r="L330" s="7">
        <v>9.75</v>
      </c>
      <c r="M330" t="s">
        <v>17</v>
      </c>
      <c r="N330" s="9"/>
      <c r="O330" s="8">
        <f t="array" ref="O330">INDEX(TechRate,MATCH(H330,TechNum,0))</f>
        <v>80</v>
      </c>
      <c r="P330" s="10">
        <f>WorkOrders2[[#This Row],[Techs]]*(WorkOrders2[[#This Row],[PartsCost]]*WorkOrders2[[#This Row],[LbrHrs]])</f>
        <v>4.875</v>
      </c>
      <c r="Q330" s="10">
        <f t="shared" si="30"/>
        <v>4.875</v>
      </c>
      <c r="R330" s="10">
        <f t="shared" si="31"/>
        <v>9.75</v>
      </c>
      <c r="S330" s="10">
        <f t="shared" si="32"/>
        <v>14.625</v>
      </c>
      <c r="T330" s="10">
        <f t="shared" si="33"/>
        <v>14.625</v>
      </c>
      <c r="U330" s="8" t="str">
        <f t="shared" si="34"/>
        <v>Thu</v>
      </c>
      <c r="V330" s="8" t="str">
        <f t="shared" si="35"/>
        <v>Tue</v>
      </c>
    </row>
    <row r="331" spans="1:22" hidden="1" x14ac:dyDescent="0.25">
      <c r="A331" t="s">
        <v>360</v>
      </c>
      <c r="B331" t="s">
        <v>37</v>
      </c>
      <c r="C331" t="s">
        <v>43</v>
      </c>
      <c r="D331" t="s">
        <v>12</v>
      </c>
      <c r="F331" s="5">
        <v>44231</v>
      </c>
      <c r="G331" s="5">
        <v>44242</v>
      </c>
      <c r="H331" s="2">
        <v>1</v>
      </c>
      <c r="I331" s="6"/>
      <c r="J331" s="6"/>
      <c r="K331" s="7">
        <v>1.5</v>
      </c>
      <c r="L331" s="7">
        <v>33.475000000000001</v>
      </c>
      <c r="M331" t="s">
        <v>19</v>
      </c>
      <c r="N331" s="9"/>
      <c r="O331" s="8">
        <f t="array" ref="O331">INDEX(TechRate,MATCH(H331,TechNum,0))</f>
        <v>80</v>
      </c>
      <c r="P331" s="10">
        <f>WorkOrders2[[#This Row],[Techs]]*(WorkOrders2[[#This Row],[PartsCost]]*WorkOrders2[[#This Row],[LbrHrs]])</f>
        <v>50.212500000000006</v>
      </c>
      <c r="Q331" s="10">
        <f t="shared" si="30"/>
        <v>50.212500000000006</v>
      </c>
      <c r="R331" s="10">
        <f t="shared" si="31"/>
        <v>33.475000000000001</v>
      </c>
      <c r="S331" s="10">
        <f t="shared" si="32"/>
        <v>83.6875</v>
      </c>
      <c r="T331" s="10">
        <f t="shared" si="33"/>
        <v>83.6875</v>
      </c>
      <c r="U331" s="8" t="str">
        <f t="shared" si="34"/>
        <v>Thu</v>
      </c>
      <c r="V331" s="8" t="str">
        <f t="shared" si="35"/>
        <v>Mon</v>
      </c>
    </row>
    <row r="332" spans="1:22" hidden="1" x14ac:dyDescent="0.25">
      <c r="A332" t="s">
        <v>362</v>
      </c>
      <c r="B332" t="s">
        <v>37</v>
      </c>
      <c r="C332" t="s">
        <v>43</v>
      </c>
      <c r="D332" t="s">
        <v>11</v>
      </c>
      <c r="F332" s="5">
        <v>44231</v>
      </c>
      <c r="G332" s="5">
        <v>44250</v>
      </c>
      <c r="H332" s="2">
        <v>1</v>
      </c>
      <c r="I332" s="6"/>
      <c r="J332" s="6"/>
      <c r="K332" s="7">
        <v>0.25</v>
      </c>
      <c r="L332" s="7">
        <v>33.957900000000002</v>
      </c>
      <c r="M332" t="s">
        <v>17</v>
      </c>
      <c r="N332" s="9"/>
      <c r="O332" s="8">
        <f t="array" ref="O332">INDEX(TechRate,MATCH(H332,TechNum,0))</f>
        <v>80</v>
      </c>
      <c r="P332" s="10">
        <f>WorkOrders2[[#This Row],[Techs]]*(WorkOrders2[[#This Row],[PartsCost]]*WorkOrders2[[#This Row],[LbrHrs]])</f>
        <v>8.4894750000000005</v>
      </c>
      <c r="Q332" s="10">
        <f t="shared" si="30"/>
        <v>8.4894750000000005</v>
      </c>
      <c r="R332" s="10">
        <f t="shared" si="31"/>
        <v>33.957900000000002</v>
      </c>
      <c r="S332" s="10">
        <f t="shared" si="32"/>
        <v>42.447375000000001</v>
      </c>
      <c r="T332" s="10">
        <f t="shared" si="33"/>
        <v>42.447375000000001</v>
      </c>
      <c r="U332" s="8" t="str">
        <f t="shared" si="34"/>
        <v>Thu</v>
      </c>
      <c r="V332" s="8" t="str">
        <f t="shared" si="35"/>
        <v>Tue</v>
      </c>
    </row>
    <row r="333" spans="1:22" hidden="1" x14ac:dyDescent="0.25">
      <c r="A333" t="s">
        <v>372</v>
      </c>
      <c r="B333" t="s">
        <v>37</v>
      </c>
      <c r="C333" t="s">
        <v>43</v>
      </c>
      <c r="D333" t="s">
        <v>1</v>
      </c>
      <c r="F333" s="5">
        <v>44235</v>
      </c>
      <c r="G333" s="5">
        <v>44245</v>
      </c>
      <c r="H333" s="2">
        <v>3</v>
      </c>
      <c r="I333" s="6"/>
      <c r="J333" s="6"/>
      <c r="K333" s="7">
        <v>3.5</v>
      </c>
      <c r="L333" s="7">
        <v>821.87300000000005</v>
      </c>
      <c r="M333" t="s">
        <v>17</v>
      </c>
      <c r="N333" s="9"/>
      <c r="O333" s="8">
        <f t="array" ref="O333">INDEX(TechRate,MATCH(H333,TechNum,0))</f>
        <v>195</v>
      </c>
      <c r="P333" s="10">
        <f>WorkOrders2[[#This Row],[Techs]]*(WorkOrders2[[#This Row],[PartsCost]]*WorkOrders2[[#This Row],[LbrHrs]])</f>
        <v>8629.6665000000012</v>
      </c>
      <c r="Q333" s="10">
        <f t="shared" si="30"/>
        <v>8629.6665000000012</v>
      </c>
      <c r="R333" s="10">
        <f t="shared" si="31"/>
        <v>821.87300000000005</v>
      </c>
      <c r="S333" s="10">
        <f t="shared" si="32"/>
        <v>9451.5395000000008</v>
      </c>
      <c r="T333" s="10">
        <f t="shared" si="33"/>
        <v>9451.5395000000008</v>
      </c>
      <c r="U333" s="8" t="str">
        <f t="shared" si="34"/>
        <v>Mon</v>
      </c>
      <c r="V333" s="8" t="str">
        <f t="shared" si="35"/>
        <v>Thu</v>
      </c>
    </row>
    <row r="334" spans="1:22" hidden="1" x14ac:dyDescent="0.25">
      <c r="A334" t="s">
        <v>377</v>
      </c>
      <c r="B334" t="s">
        <v>37</v>
      </c>
      <c r="C334" t="s">
        <v>43</v>
      </c>
      <c r="D334" t="s">
        <v>13</v>
      </c>
      <c r="F334" s="5">
        <v>44236</v>
      </c>
      <c r="G334" s="5">
        <v>44299</v>
      </c>
      <c r="H334" s="2">
        <v>1</v>
      </c>
      <c r="I334" s="6"/>
      <c r="J334" s="6"/>
      <c r="K334" s="7">
        <v>0.5</v>
      </c>
      <c r="L334" s="7">
        <v>53.43</v>
      </c>
      <c r="M334" t="s">
        <v>17</v>
      </c>
      <c r="N334" s="9"/>
      <c r="O334" s="8">
        <f t="array" ref="O334">INDEX(TechRate,MATCH(H334,TechNum,0))</f>
        <v>80</v>
      </c>
      <c r="P334" s="10">
        <f>WorkOrders2[[#This Row],[Techs]]*(WorkOrders2[[#This Row],[PartsCost]]*WorkOrders2[[#This Row],[LbrHrs]])</f>
        <v>26.715</v>
      </c>
      <c r="Q334" s="10">
        <f t="shared" si="30"/>
        <v>26.715</v>
      </c>
      <c r="R334" s="10">
        <f t="shared" si="31"/>
        <v>53.43</v>
      </c>
      <c r="S334" s="10">
        <f t="shared" si="32"/>
        <v>80.144999999999996</v>
      </c>
      <c r="T334" s="10">
        <f t="shared" si="33"/>
        <v>80.144999999999996</v>
      </c>
      <c r="U334" s="8" t="str">
        <f t="shared" si="34"/>
        <v>Tue</v>
      </c>
      <c r="V334" s="8" t="str">
        <f t="shared" si="35"/>
        <v>Tue</v>
      </c>
    </row>
    <row r="335" spans="1:22" hidden="1" x14ac:dyDescent="0.25">
      <c r="A335" t="s">
        <v>382</v>
      </c>
      <c r="B335" t="s">
        <v>37</v>
      </c>
      <c r="C335" t="s">
        <v>43</v>
      </c>
      <c r="D335" t="s">
        <v>12</v>
      </c>
      <c r="F335" s="5">
        <v>44238</v>
      </c>
      <c r="G335" s="5">
        <v>44266</v>
      </c>
      <c r="H335" s="2">
        <v>1</v>
      </c>
      <c r="I335" s="6"/>
      <c r="J335" s="6"/>
      <c r="K335" s="7">
        <v>0.75</v>
      </c>
      <c r="L335" s="7">
        <v>414.53649999999999</v>
      </c>
      <c r="M335" t="s">
        <v>19</v>
      </c>
      <c r="N335" s="9"/>
      <c r="O335" s="8">
        <f t="array" ref="O335">INDEX(TechRate,MATCH(H335,TechNum,0))</f>
        <v>80</v>
      </c>
      <c r="P335" s="10">
        <f>WorkOrders2[[#This Row],[Techs]]*(WorkOrders2[[#This Row],[PartsCost]]*WorkOrders2[[#This Row],[LbrHrs]])</f>
        <v>310.90237500000001</v>
      </c>
      <c r="Q335" s="10">
        <f t="shared" si="30"/>
        <v>310.90237500000001</v>
      </c>
      <c r="R335" s="10">
        <f t="shared" si="31"/>
        <v>414.53649999999999</v>
      </c>
      <c r="S335" s="10">
        <f t="shared" si="32"/>
        <v>725.43887500000005</v>
      </c>
      <c r="T335" s="10">
        <f t="shared" si="33"/>
        <v>725.43887500000005</v>
      </c>
      <c r="U335" s="8" t="str">
        <f t="shared" si="34"/>
        <v>Thu</v>
      </c>
      <c r="V335" s="8" t="str">
        <f t="shared" si="35"/>
        <v>Thu</v>
      </c>
    </row>
    <row r="336" spans="1:22" hidden="1" x14ac:dyDescent="0.25">
      <c r="A336" t="s">
        <v>401</v>
      </c>
      <c r="B336" t="s">
        <v>37</v>
      </c>
      <c r="C336" t="s">
        <v>43</v>
      </c>
      <c r="D336" t="s">
        <v>11</v>
      </c>
      <c r="F336" s="5">
        <v>44250</v>
      </c>
      <c r="G336" s="5">
        <v>44271</v>
      </c>
      <c r="H336" s="2">
        <v>1</v>
      </c>
      <c r="I336" s="6"/>
      <c r="J336" s="6"/>
      <c r="K336" s="7">
        <v>0.25</v>
      </c>
      <c r="L336" s="7">
        <v>16.25</v>
      </c>
      <c r="M336" t="s">
        <v>17</v>
      </c>
      <c r="N336" s="9"/>
      <c r="O336" s="8">
        <f t="array" ref="O336">INDEX(TechRate,MATCH(H336,TechNum,0))</f>
        <v>80</v>
      </c>
      <c r="P336" s="10">
        <f>WorkOrders2[[#This Row],[Techs]]*(WorkOrders2[[#This Row],[PartsCost]]*WorkOrders2[[#This Row],[LbrHrs]])</f>
        <v>4.0625</v>
      </c>
      <c r="Q336" s="10">
        <f t="shared" si="30"/>
        <v>4.0625</v>
      </c>
      <c r="R336" s="10">
        <f t="shared" si="31"/>
        <v>16.25</v>
      </c>
      <c r="S336" s="10">
        <f t="shared" si="32"/>
        <v>20.3125</v>
      </c>
      <c r="T336" s="10">
        <f t="shared" si="33"/>
        <v>20.3125</v>
      </c>
      <c r="U336" s="8" t="str">
        <f t="shared" si="34"/>
        <v>Tue</v>
      </c>
      <c r="V336" s="8" t="str">
        <f t="shared" si="35"/>
        <v>Tue</v>
      </c>
    </row>
    <row r="337" spans="1:22" hidden="1" x14ac:dyDescent="0.25">
      <c r="A337" t="s">
        <v>403</v>
      </c>
      <c r="B337" t="s">
        <v>37</v>
      </c>
      <c r="C337" t="s">
        <v>43</v>
      </c>
      <c r="D337" t="s">
        <v>11</v>
      </c>
      <c r="F337" s="5">
        <v>44251</v>
      </c>
      <c r="G337" s="5">
        <v>44270</v>
      </c>
      <c r="H337" s="2">
        <v>1</v>
      </c>
      <c r="I337" s="6"/>
      <c r="J337" s="6"/>
      <c r="K337" s="7">
        <v>0.25</v>
      </c>
      <c r="L337" s="7">
        <v>33.497100000000003</v>
      </c>
      <c r="M337" t="s">
        <v>17</v>
      </c>
      <c r="N337" s="9"/>
      <c r="O337" s="8">
        <f t="array" ref="O337">INDEX(TechRate,MATCH(H337,TechNum,0))</f>
        <v>80</v>
      </c>
      <c r="P337" s="10">
        <f>WorkOrders2[[#This Row],[Techs]]*(WorkOrders2[[#This Row],[PartsCost]]*WorkOrders2[[#This Row],[LbrHrs]])</f>
        <v>8.3742750000000008</v>
      </c>
      <c r="Q337" s="10">
        <f t="shared" si="30"/>
        <v>8.3742750000000008</v>
      </c>
      <c r="R337" s="10">
        <f t="shared" si="31"/>
        <v>33.497100000000003</v>
      </c>
      <c r="S337" s="10">
        <f t="shared" si="32"/>
        <v>41.871375</v>
      </c>
      <c r="T337" s="10">
        <f t="shared" si="33"/>
        <v>41.871375</v>
      </c>
      <c r="U337" s="8" t="str">
        <f t="shared" si="34"/>
        <v>Wed</v>
      </c>
      <c r="V337" s="8" t="str">
        <f t="shared" si="35"/>
        <v>Mon</v>
      </c>
    </row>
    <row r="338" spans="1:22" hidden="1" x14ac:dyDescent="0.25">
      <c r="A338" t="s">
        <v>405</v>
      </c>
      <c r="B338" t="s">
        <v>37</v>
      </c>
      <c r="C338" t="s">
        <v>43</v>
      </c>
      <c r="D338" t="s">
        <v>13</v>
      </c>
      <c r="F338" s="5">
        <v>44252</v>
      </c>
      <c r="G338" s="5">
        <v>44270</v>
      </c>
      <c r="H338" s="2">
        <v>1</v>
      </c>
      <c r="I338" s="6"/>
      <c r="J338" s="6"/>
      <c r="K338" s="7">
        <v>0.75</v>
      </c>
      <c r="L338" s="7">
        <v>50.672400000000003</v>
      </c>
      <c r="M338" t="s">
        <v>19</v>
      </c>
      <c r="N338" s="9"/>
      <c r="O338" s="8">
        <f t="array" ref="O338">INDEX(TechRate,MATCH(H338,TechNum,0))</f>
        <v>80</v>
      </c>
      <c r="P338" s="10">
        <f>WorkOrders2[[#This Row],[Techs]]*(WorkOrders2[[#This Row],[PartsCost]]*WorkOrders2[[#This Row],[LbrHrs]])</f>
        <v>38.004300000000001</v>
      </c>
      <c r="Q338" s="10">
        <f t="shared" si="30"/>
        <v>38.004300000000001</v>
      </c>
      <c r="R338" s="10">
        <f t="shared" si="31"/>
        <v>50.672400000000003</v>
      </c>
      <c r="S338" s="10">
        <f t="shared" si="32"/>
        <v>88.676700000000011</v>
      </c>
      <c r="T338" s="10">
        <f t="shared" si="33"/>
        <v>88.676700000000011</v>
      </c>
      <c r="U338" s="8" t="str">
        <f t="shared" si="34"/>
        <v>Thu</v>
      </c>
      <c r="V338" s="8" t="str">
        <f t="shared" si="35"/>
        <v>Mon</v>
      </c>
    </row>
    <row r="339" spans="1:22" hidden="1" x14ac:dyDescent="0.25">
      <c r="A339" t="s">
        <v>406</v>
      </c>
      <c r="B339" t="s">
        <v>37</v>
      </c>
      <c r="C339" t="s">
        <v>43</v>
      </c>
      <c r="D339" t="s">
        <v>13</v>
      </c>
      <c r="F339" s="5">
        <v>44252</v>
      </c>
      <c r="G339" s="5">
        <v>44271</v>
      </c>
      <c r="H339" s="2">
        <v>1</v>
      </c>
      <c r="I339" s="6"/>
      <c r="J339" s="6"/>
      <c r="K339" s="7">
        <v>0.5</v>
      </c>
      <c r="L339" s="7">
        <v>45.63</v>
      </c>
      <c r="M339" t="s">
        <v>19</v>
      </c>
      <c r="N339" s="9"/>
      <c r="O339" s="8">
        <f t="array" ref="O339">INDEX(TechRate,MATCH(H339,TechNum,0))</f>
        <v>80</v>
      </c>
      <c r="P339" s="10">
        <f>WorkOrders2[[#This Row],[Techs]]*(WorkOrders2[[#This Row],[PartsCost]]*WorkOrders2[[#This Row],[LbrHrs]])</f>
        <v>22.815000000000001</v>
      </c>
      <c r="Q339" s="10">
        <f t="shared" si="30"/>
        <v>22.815000000000001</v>
      </c>
      <c r="R339" s="10">
        <f t="shared" si="31"/>
        <v>45.63</v>
      </c>
      <c r="S339" s="10">
        <f t="shared" si="32"/>
        <v>68.445000000000007</v>
      </c>
      <c r="T339" s="10">
        <f t="shared" si="33"/>
        <v>68.445000000000007</v>
      </c>
      <c r="U339" s="8" t="str">
        <f t="shared" si="34"/>
        <v>Thu</v>
      </c>
      <c r="V339" s="8" t="str">
        <f t="shared" si="35"/>
        <v>Tue</v>
      </c>
    </row>
    <row r="340" spans="1:22" hidden="1" x14ac:dyDescent="0.25">
      <c r="A340" t="s">
        <v>411</v>
      </c>
      <c r="B340" t="s">
        <v>37</v>
      </c>
      <c r="C340" t="s">
        <v>43</v>
      </c>
      <c r="D340" t="s">
        <v>12</v>
      </c>
      <c r="F340" s="5">
        <v>44256</v>
      </c>
      <c r="G340" s="5">
        <v>44279</v>
      </c>
      <c r="H340" s="2">
        <v>1</v>
      </c>
      <c r="I340" s="6"/>
      <c r="J340" s="6"/>
      <c r="K340" s="7">
        <v>0.25</v>
      </c>
      <c r="L340" s="7">
        <v>267.94040000000001</v>
      </c>
      <c r="M340" t="s">
        <v>19</v>
      </c>
      <c r="N340" s="9"/>
      <c r="O340" s="8">
        <f t="array" ref="O340">INDEX(TechRate,MATCH(H340,TechNum,0))</f>
        <v>80</v>
      </c>
      <c r="P340" s="10">
        <f>WorkOrders2[[#This Row],[Techs]]*(WorkOrders2[[#This Row],[PartsCost]]*WorkOrders2[[#This Row],[LbrHrs]])</f>
        <v>66.985100000000003</v>
      </c>
      <c r="Q340" s="10">
        <f t="shared" si="30"/>
        <v>66.985100000000003</v>
      </c>
      <c r="R340" s="10">
        <f t="shared" si="31"/>
        <v>267.94040000000001</v>
      </c>
      <c r="S340" s="10">
        <f t="shared" si="32"/>
        <v>334.9255</v>
      </c>
      <c r="T340" s="10">
        <f t="shared" si="33"/>
        <v>334.9255</v>
      </c>
      <c r="U340" s="8" t="str">
        <f t="shared" si="34"/>
        <v>Mon</v>
      </c>
      <c r="V340" s="8" t="str">
        <f t="shared" si="35"/>
        <v>Wed</v>
      </c>
    </row>
    <row r="341" spans="1:22" hidden="1" x14ac:dyDescent="0.25">
      <c r="A341" t="s">
        <v>417</v>
      </c>
      <c r="B341" t="s">
        <v>37</v>
      </c>
      <c r="C341" t="s">
        <v>43</v>
      </c>
      <c r="D341" t="s">
        <v>13</v>
      </c>
      <c r="F341" s="5">
        <v>44257</v>
      </c>
      <c r="G341" s="5">
        <v>44266</v>
      </c>
      <c r="H341" s="2">
        <v>1</v>
      </c>
      <c r="I341" s="6"/>
      <c r="J341" s="6"/>
      <c r="K341" s="7">
        <v>0.5</v>
      </c>
      <c r="L341" s="7">
        <v>3.5750000000000002</v>
      </c>
      <c r="M341" t="s">
        <v>17</v>
      </c>
      <c r="N341" s="9"/>
      <c r="O341" s="8">
        <f t="array" ref="O341">INDEX(TechRate,MATCH(H341,TechNum,0))</f>
        <v>80</v>
      </c>
      <c r="P341" s="10">
        <f>WorkOrders2[[#This Row],[Techs]]*(WorkOrders2[[#This Row],[PartsCost]]*WorkOrders2[[#This Row],[LbrHrs]])</f>
        <v>1.7875000000000001</v>
      </c>
      <c r="Q341" s="10">
        <f t="shared" si="30"/>
        <v>1.7875000000000001</v>
      </c>
      <c r="R341" s="10">
        <f t="shared" si="31"/>
        <v>3.5750000000000002</v>
      </c>
      <c r="S341" s="10">
        <f t="shared" si="32"/>
        <v>5.3625000000000007</v>
      </c>
      <c r="T341" s="10">
        <f t="shared" si="33"/>
        <v>5.3625000000000007</v>
      </c>
      <c r="U341" s="8" t="str">
        <f t="shared" si="34"/>
        <v>Tue</v>
      </c>
      <c r="V341" s="8" t="str">
        <f t="shared" si="35"/>
        <v>Thu</v>
      </c>
    </row>
    <row r="342" spans="1:22" hidden="1" x14ac:dyDescent="0.25">
      <c r="A342" t="s">
        <v>418</v>
      </c>
      <c r="B342" t="s">
        <v>37</v>
      </c>
      <c r="C342" t="s">
        <v>43</v>
      </c>
      <c r="D342" t="s">
        <v>12</v>
      </c>
      <c r="F342" s="5">
        <v>44257</v>
      </c>
      <c r="G342" s="5">
        <v>44266</v>
      </c>
      <c r="H342" s="2">
        <v>1</v>
      </c>
      <c r="I342" s="6"/>
      <c r="J342" s="6"/>
      <c r="K342" s="7">
        <v>0.25</v>
      </c>
      <c r="L342" s="7">
        <v>16.25</v>
      </c>
      <c r="M342" t="s">
        <v>17</v>
      </c>
      <c r="N342" s="9"/>
      <c r="O342" s="8">
        <f t="array" ref="O342">INDEX(TechRate,MATCH(H342,TechNum,0))</f>
        <v>80</v>
      </c>
      <c r="P342" s="10">
        <f>WorkOrders2[[#This Row],[Techs]]*(WorkOrders2[[#This Row],[PartsCost]]*WorkOrders2[[#This Row],[LbrHrs]])</f>
        <v>4.0625</v>
      </c>
      <c r="Q342" s="10">
        <f t="shared" si="30"/>
        <v>4.0625</v>
      </c>
      <c r="R342" s="10">
        <f t="shared" si="31"/>
        <v>16.25</v>
      </c>
      <c r="S342" s="10">
        <f t="shared" si="32"/>
        <v>20.3125</v>
      </c>
      <c r="T342" s="10">
        <f t="shared" si="33"/>
        <v>20.3125</v>
      </c>
      <c r="U342" s="8" t="str">
        <f t="shared" si="34"/>
        <v>Tue</v>
      </c>
      <c r="V342" s="8" t="str">
        <f t="shared" si="35"/>
        <v>Thu</v>
      </c>
    </row>
    <row r="343" spans="1:22" hidden="1" x14ac:dyDescent="0.25">
      <c r="A343" t="s">
        <v>427</v>
      </c>
      <c r="B343" t="s">
        <v>37</v>
      </c>
      <c r="C343" t="s">
        <v>9</v>
      </c>
      <c r="D343" t="s">
        <v>13</v>
      </c>
      <c r="F343" s="5">
        <v>44258</v>
      </c>
      <c r="G343" s="5">
        <v>44389</v>
      </c>
      <c r="H343" s="2">
        <v>2</v>
      </c>
      <c r="I343" s="6"/>
      <c r="J343" s="6"/>
      <c r="K343" s="7">
        <v>1.25</v>
      </c>
      <c r="L343" s="7">
        <v>361.90370000000001</v>
      </c>
      <c r="M343" t="s">
        <v>17</v>
      </c>
      <c r="N343" s="9"/>
      <c r="O343" s="8">
        <f t="array" ref="O343">INDEX(TechRate,MATCH(H343,TechNum,0))</f>
        <v>140</v>
      </c>
      <c r="P343" s="10">
        <f>WorkOrders2[[#This Row],[Techs]]*(WorkOrders2[[#This Row],[PartsCost]]*WorkOrders2[[#This Row],[LbrHrs]])</f>
        <v>904.75925000000007</v>
      </c>
      <c r="Q343" s="10">
        <f t="shared" si="30"/>
        <v>904.75925000000007</v>
      </c>
      <c r="R343" s="10">
        <f t="shared" si="31"/>
        <v>361.90370000000001</v>
      </c>
      <c r="S343" s="10">
        <f t="shared" si="32"/>
        <v>1266.6629500000001</v>
      </c>
      <c r="T343" s="10">
        <f t="shared" si="33"/>
        <v>1266.6629500000001</v>
      </c>
      <c r="U343" s="8" t="str">
        <f t="shared" si="34"/>
        <v>Wed</v>
      </c>
      <c r="V343" s="8" t="str">
        <f t="shared" si="35"/>
        <v>Mon</v>
      </c>
    </row>
    <row r="344" spans="1:22" hidden="1" x14ac:dyDescent="0.25">
      <c r="A344" t="s">
        <v>429</v>
      </c>
      <c r="B344" t="s">
        <v>37</v>
      </c>
      <c r="C344" t="s">
        <v>43</v>
      </c>
      <c r="D344" t="s">
        <v>12</v>
      </c>
      <c r="F344" s="5">
        <v>44259</v>
      </c>
      <c r="G344" s="5">
        <v>44270</v>
      </c>
      <c r="H344" s="2">
        <v>1</v>
      </c>
      <c r="I344" s="6"/>
      <c r="J344" s="6"/>
      <c r="K344" s="7">
        <v>0.25</v>
      </c>
      <c r="L344" s="7">
        <v>33.910499999999999</v>
      </c>
      <c r="M344" t="s">
        <v>17</v>
      </c>
      <c r="N344" s="9"/>
      <c r="O344" s="8">
        <f t="array" ref="O344">INDEX(TechRate,MATCH(H344,TechNum,0))</f>
        <v>80</v>
      </c>
      <c r="P344" s="10">
        <f>WorkOrders2[[#This Row],[Techs]]*(WorkOrders2[[#This Row],[PartsCost]]*WorkOrders2[[#This Row],[LbrHrs]])</f>
        <v>8.4776249999999997</v>
      </c>
      <c r="Q344" s="10">
        <f t="shared" si="30"/>
        <v>8.4776249999999997</v>
      </c>
      <c r="R344" s="10">
        <f t="shared" si="31"/>
        <v>33.910499999999999</v>
      </c>
      <c r="S344" s="10">
        <f t="shared" si="32"/>
        <v>42.388125000000002</v>
      </c>
      <c r="T344" s="10">
        <f t="shared" si="33"/>
        <v>42.388125000000002</v>
      </c>
      <c r="U344" s="8" t="str">
        <f t="shared" si="34"/>
        <v>Thu</v>
      </c>
      <c r="V344" s="8" t="str">
        <f t="shared" si="35"/>
        <v>Mon</v>
      </c>
    </row>
    <row r="345" spans="1:22" hidden="1" x14ac:dyDescent="0.25">
      <c r="A345" t="s">
        <v>433</v>
      </c>
      <c r="B345" t="s">
        <v>37</v>
      </c>
      <c r="C345" t="s">
        <v>43</v>
      </c>
      <c r="D345" t="s">
        <v>12</v>
      </c>
      <c r="F345" s="5">
        <v>44263</v>
      </c>
      <c r="G345" s="5">
        <v>44271</v>
      </c>
      <c r="H345" s="2">
        <v>1</v>
      </c>
      <c r="I345" s="6"/>
      <c r="J345" s="6"/>
      <c r="K345" s="7">
        <v>0.75</v>
      </c>
      <c r="L345" s="7">
        <v>103.0842</v>
      </c>
      <c r="M345" t="s">
        <v>17</v>
      </c>
      <c r="N345" s="9"/>
      <c r="O345" s="8">
        <f t="array" ref="O345">INDEX(TechRate,MATCH(H345,TechNum,0))</f>
        <v>80</v>
      </c>
      <c r="P345" s="10">
        <f>WorkOrders2[[#This Row],[Techs]]*(WorkOrders2[[#This Row],[PartsCost]]*WorkOrders2[[#This Row],[LbrHrs]])</f>
        <v>77.313149999999993</v>
      </c>
      <c r="Q345" s="10">
        <f t="shared" si="30"/>
        <v>77.313149999999993</v>
      </c>
      <c r="R345" s="10">
        <f t="shared" si="31"/>
        <v>103.0842</v>
      </c>
      <c r="S345" s="10">
        <f t="shared" si="32"/>
        <v>180.39734999999999</v>
      </c>
      <c r="T345" s="10">
        <f t="shared" si="33"/>
        <v>180.39734999999999</v>
      </c>
      <c r="U345" s="8" t="str">
        <f t="shared" si="34"/>
        <v>Mon</v>
      </c>
      <c r="V345" s="8" t="str">
        <f t="shared" si="35"/>
        <v>Tue</v>
      </c>
    </row>
    <row r="346" spans="1:22" hidden="1" x14ac:dyDescent="0.25">
      <c r="A346" t="s">
        <v>437</v>
      </c>
      <c r="B346" t="s">
        <v>37</v>
      </c>
      <c r="C346" t="s">
        <v>43</v>
      </c>
      <c r="D346" t="s">
        <v>12</v>
      </c>
      <c r="F346" s="5">
        <v>44263</v>
      </c>
      <c r="G346" s="5">
        <v>44359</v>
      </c>
      <c r="H346" s="2">
        <v>1</v>
      </c>
      <c r="I346" s="6"/>
      <c r="J346" s="6"/>
      <c r="K346" s="7">
        <v>0.5</v>
      </c>
      <c r="L346" s="7">
        <v>475.54</v>
      </c>
      <c r="M346" t="s">
        <v>17</v>
      </c>
      <c r="N346" s="9"/>
      <c r="O346" s="8">
        <f t="array" ref="O346">INDEX(TechRate,MATCH(H346,TechNum,0))</f>
        <v>80</v>
      </c>
      <c r="P346" s="10">
        <f>WorkOrders2[[#This Row],[Techs]]*(WorkOrders2[[#This Row],[PartsCost]]*WorkOrders2[[#This Row],[LbrHrs]])</f>
        <v>237.77</v>
      </c>
      <c r="Q346" s="10">
        <f t="shared" si="30"/>
        <v>237.77</v>
      </c>
      <c r="R346" s="10">
        <f t="shared" si="31"/>
        <v>475.54</v>
      </c>
      <c r="S346" s="10">
        <f t="shared" si="32"/>
        <v>713.31000000000006</v>
      </c>
      <c r="T346" s="10">
        <f t="shared" si="33"/>
        <v>713.31000000000006</v>
      </c>
      <c r="U346" s="8" t="str">
        <f t="shared" si="34"/>
        <v>Mon</v>
      </c>
      <c r="V346" s="8" t="str">
        <f t="shared" si="35"/>
        <v>Sat</v>
      </c>
    </row>
    <row r="347" spans="1:22" hidden="1" x14ac:dyDescent="0.25">
      <c r="A347" t="s">
        <v>439</v>
      </c>
      <c r="B347" t="s">
        <v>37</v>
      </c>
      <c r="C347" t="s">
        <v>43</v>
      </c>
      <c r="D347" t="s">
        <v>12</v>
      </c>
      <c r="F347" s="5">
        <v>44264</v>
      </c>
      <c r="G347" s="5">
        <v>44271</v>
      </c>
      <c r="H347" s="2">
        <v>1</v>
      </c>
      <c r="I347" s="6"/>
      <c r="J347" s="6"/>
      <c r="K347" s="7">
        <v>0.75</v>
      </c>
      <c r="L347" s="7">
        <v>294.5514</v>
      </c>
      <c r="M347" t="s">
        <v>17</v>
      </c>
      <c r="N347" s="9"/>
      <c r="O347" s="8">
        <f t="array" ref="O347">INDEX(TechRate,MATCH(H347,TechNum,0))</f>
        <v>80</v>
      </c>
      <c r="P347" s="10">
        <f>WorkOrders2[[#This Row],[Techs]]*(WorkOrders2[[#This Row],[PartsCost]]*WorkOrders2[[#This Row],[LbrHrs]])</f>
        <v>220.91354999999999</v>
      </c>
      <c r="Q347" s="10">
        <f t="shared" si="30"/>
        <v>220.91354999999999</v>
      </c>
      <c r="R347" s="10">
        <f t="shared" si="31"/>
        <v>294.5514</v>
      </c>
      <c r="S347" s="10">
        <f t="shared" si="32"/>
        <v>515.46495000000004</v>
      </c>
      <c r="T347" s="10">
        <f t="shared" si="33"/>
        <v>515.46495000000004</v>
      </c>
      <c r="U347" s="8" t="str">
        <f t="shared" si="34"/>
        <v>Tue</v>
      </c>
      <c r="V347" s="8" t="str">
        <f t="shared" si="35"/>
        <v>Tue</v>
      </c>
    </row>
    <row r="348" spans="1:22" hidden="1" x14ac:dyDescent="0.25">
      <c r="A348" t="s">
        <v>444</v>
      </c>
      <c r="B348" t="s">
        <v>37</v>
      </c>
      <c r="C348" t="s">
        <v>9</v>
      </c>
      <c r="D348" t="s">
        <v>12</v>
      </c>
      <c r="E348" t="s">
        <v>3</v>
      </c>
      <c r="F348" s="5">
        <v>44265</v>
      </c>
      <c r="G348" s="5">
        <v>44272</v>
      </c>
      <c r="H348" s="2">
        <v>1</v>
      </c>
      <c r="I348" s="6"/>
      <c r="J348" s="6" t="s">
        <v>3</v>
      </c>
      <c r="K348" s="7">
        <v>0.25</v>
      </c>
      <c r="L348" s="7">
        <v>19.196999999999999</v>
      </c>
      <c r="M348" t="s">
        <v>18</v>
      </c>
      <c r="N348" s="9"/>
      <c r="O348" s="8">
        <f t="array" ref="O348">INDEX(TechRate,MATCH(H348,TechNum,0))</f>
        <v>80</v>
      </c>
      <c r="P348" s="10">
        <f>WorkOrders2[[#This Row],[Techs]]*(WorkOrders2[[#This Row],[PartsCost]]*WorkOrders2[[#This Row],[LbrHrs]])</f>
        <v>4.7992499999999998</v>
      </c>
      <c r="Q348" s="10">
        <f t="shared" si="30"/>
        <v>4.7992499999999998</v>
      </c>
      <c r="R348" s="10">
        <f t="shared" si="31"/>
        <v>0</v>
      </c>
      <c r="S348" s="10">
        <f t="shared" si="32"/>
        <v>23.99625</v>
      </c>
      <c r="T348" s="10">
        <f t="shared" si="33"/>
        <v>4.7992499999999998</v>
      </c>
      <c r="U348" s="8" t="str">
        <f t="shared" si="34"/>
        <v>Wed</v>
      </c>
      <c r="V348" s="8" t="str">
        <f t="shared" si="35"/>
        <v>Wed</v>
      </c>
    </row>
    <row r="349" spans="1:22" hidden="1" x14ac:dyDescent="0.25">
      <c r="A349" t="s">
        <v>468</v>
      </c>
      <c r="B349" t="s">
        <v>37</v>
      </c>
      <c r="C349" t="s">
        <v>43</v>
      </c>
      <c r="D349" t="s">
        <v>13</v>
      </c>
      <c r="F349" s="5">
        <v>44271</v>
      </c>
      <c r="G349" s="5">
        <v>44286</v>
      </c>
      <c r="H349" s="2">
        <v>1</v>
      </c>
      <c r="I349" s="6"/>
      <c r="J349" s="6"/>
      <c r="K349" s="7">
        <v>0.75</v>
      </c>
      <c r="L349" s="7">
        <v>82.586500000000001</v>
      </c>
      <c r="M349" t="s">
        <v>17</v>
      </c>
      <c r="N349" s="9"/>
      <c r="O349" s="8">
        <f t="array" ref="O349">INDEX(TechRate,MATCH(H349,TechNum,0))</f>
        <v>80</v>
      </c>
      <c r="P349" s="10">
        <f>WorkOrders2[[#This Row],[Techs]]*(WorkOrders2[[#This Row],[PartsCost]]*WorkOrders2[[#This Row],[LbrHrs]])</f>
        <v>61.939875000000001</v>
      </c>
      <c r="Q349" s="10">
        <f t="shared" si="30"/>
        <v>61.939875000000001</v>
      </c>
      <c r="R349" s="10">
        <f t="shared" si="31"/>
        <v>82.586500000000001</v>
      </c>
      <c r="S349" s="10">
        <f t="shared" si="32"/>
        <v>144.526375</v>
      </c>
      <c r="T349" s="10">
        <f t="shared" si="33"/>
        <v>144.526375</v>
      </c>
      <c r="U349" s="8" t="str">
        <f t="shared" si="34"/>
        <v>Tue</v>
      </c>
      <c r="V349" s="8" t="str">
        <f t="shared" si="35"/>
        <v>Wed</v>
      </c>
    </row>
    <row r="350" spans="1:22" x14ac:dyDescent="0.25">
      <c r="A350" t="s">
        <v>477</v>
      </c>
      <c r="B350" t="s">
        <v>37</v>
      </c>
      <c r="C350" t="s">
        <v>9</v>
      </c>
      <c r="D350" t="s">
        <v>2</v>
      </c>
      <c r="F350" s="5">
        <v>44277</v>
      </c>
      <c r="G350" s="5">
        <v>44306</v>
      </c>
      <c r="H350" s="2">
        <v>1</v>
      </c>
      <c r="I350" s="6"/>
      <c r="J350" s="6" t="s">
        <v>3</v>
      </c>
      <c r="K350" s="7">
        <v>1.5</v>
      </c>
      <c r="L350" s="7">
        <v>272.55329999999998</v>
      </c>
      <c r="M350" t="s">
        <v>18</v>
      </c>
      <c r="N350" s="9"/>
      <c r="O350" s="8">
        <f t="array" ref="O350">INDEX(TechRate,MATCH(H350,TechNum,0))</f>
        <v>80</v>
      </c>
      <c r="P350" s="10">
        <f>WorkOrders2[[#This Row],[Techs]]*(WorkOrders2[[#This Row],[PartsCost]]*WorkOrders2[[#This Row],[LbrHrs]])</f>
        <v>408.82994999999994</v>
      </c>
      <c r="Q350" s="10">
        <f t="shared" si="30"/>
        <v>408.82994999999994</v>
      </c>
      <c r="R350" s="10">
        <f t="shared" si="31"/>
        <v>0</v>
      </c>
      <c r="S350" s="10">
        <f t="shared" si="32"/>
        <v>681.38324999999986</v>
      </c>
      <c r="T350" s="10">
        <f t="shared" si="33"/>
        <v>408.82994999999994</v>
      </c>
      <c r="U350" s="8" t="str">
        <f t="shared" si="34"/>
        <v>Mon</v>
      </c>
      <c r="V350" s="8" t="str">
        <f t="shared" si="35"/>
        <v>Tue</v>
      </c>
    </row>
    <row r="351" spans="1:22" hidden="1" x14ac:dyDescent="0.25">
      <c r="A351" t="s">
        <v>481</v>
      </c>
      <c r="B351" t="s">
        <v>37</v>
      </c>
      <c r="C351" t="s">
        <v>9</v>
      </c>
      <c r="D351" t="s">
        <v>1</v>
      </c>
      <c r="F351" s="5">
        <v>44277</v>
      </c>
      <c r="G351" s="5">
        <v>44326</v>
      </c>
      <c r="H351" s="2">
        <v>2</v>
      </c>
      <c r="I351" s="6"/>
      <c r="J351" s="6" t="s">
        <v>3</v>
      </c>
      <c r="K351" s="7">
        <v>1.5</v>
      </c>
      <c r="L351" s="7">
        <v>572.1671</v>
      </c>
      <c r="M351" t="s">
        <v>18</v>
      </c>
      <c r="N351" s="9"/>
      <c r="O351" s="8">
        <f t="array" ref="O351">INDEX(TechRate,MATCH(H351,TechNum,0))</f>
        <v>140</v>
      </c>
      <c r="P351" s="10">
        <f>WorkOrders2[[#This Row],[Techs]]*(WorkOrders2[[#This Row],[PartsCost]]*WorkOrders2[[#This Row],[LbrHrs]])</f>
        <v>1716.5012999999999</v>
      </c>
      <c r="Q351" s="10">
        <f t="shared" si="30"/>
        <v>1716.5012999999999</v>
      </c>
      <c r="R351" s="10">
        <f t="shared" si="31"/>
        <v>0</v>
      </c>
      <c r="S351" s="10">
        <f t="shared" si="32"/>
        <v>2288.6684</v>
      </c>
      <c r="T351" s="10">
        <f t="shared" si="33"/>
        <v>1716.5012999999999</v>
      </c>
      <c r="U351" s="8" t="str">
        <f t="shared" si="34"/>
        <v>Mon</v>
      </c>
      <c r="V351" s="8" t="str">
        <f t="shared" si="35"/>
        <v>Mon</v>
      </c>
    </row>
    <row r="352" spans="1:22" x14ac:dyDescent="0.25">
      <c r="A352" t="s">
        <v>482</v>
      </c>
      <c r="B352" t="s">
        <v>37</v>
      </c>
      <c r="C352" t="s">
        <v>9</v>
      </c>
      <c r="D352" t="s">
        <v>2</v>
      </c>
      <c r="F352" s="5">
        <v>44277</v>
      </c>
      <c r="G352" s="5">
        <v>44326</v>
      </c>
      <c r="H352" s="2">
        <v>2</v>
      </c>
      <c r="I352" s="6"/>
      <c r="J352" s="6" t="s">
        <v>3</v>
      </c>
      <c r="K352" s="7">
        <v>4.5</v>
      </c>
      <c r="L352" s="7">
        <v>937.97670000000005</v>
      </c>
      <c r="M352" t="s">
        <v>18</v>
      </c>
      <c r="N352" s="9"/>
      <c r="O352" s="8">
        <f t="array" ref="O352">INDEX(TechRate,MATCH(H352,TechNum,0))</f>
        <v>140</v>
      </c>
      <c r="P352" s="10">
        <f>WorkOrders2[[#This Row],[Techs]]*(WorkOrders2[[#This Row],[PartsCost]]*WorkOrders2[[#This Row],[LbrHrs]])</f>
        <v>8441.7903000000006</v>
      </c>
      <c r="Q352" s="10">
        <f t="shared" si="30"/>
        <v>8441.7903000000006</v>
      </c>
      <c r="R352" s="10">
        <f t="shared" si="31"/>
        <v>0</v>
      </c>
      <c r="S352" s="10">
        <f t="shared" si="32"/>
        <v>9379.7669999999998</v>
      </c>
      <c r="T352" s="10">
        <f t="shared" si="33"/>
        <v>8441.7903000000006</v>
      </c>
      <c r="U352" s="8" t="str">
        <f t="shared" si="34"/>
        <v>Mon</v>
      </c>
      <c r="V352" s="8" t="str">
        <f t="shared" si="35"/>
        <v>Mon</v>
      </c>
    </row>
    <row r="353" spans="1:22" hidden="1" x14ac:dyDescent="0.25">
      <c r="A353" t="s">
        <v>491</v>
      </c>
      <c r="B353" t="s">
        <v>37</v>
      </c>
      <c r="C353" t="s">
        <v>43</v>
      </c>
      <c r="D353" t="s">
        <v>1</v>
      </c>
      <c r="F353" s="5">
        <v>44279</v>
      </c>
      <c r="G353" s="5">
        <v>44292</v>
      </c>
      <c r="H353" s="2">
        <v>1</v>
      </c>
      <c r="I353" s="6"/>
      <c r="J353" s="6"/>
      <c r="K353" s="7">
        <v>1.5</v>
      </c>
      <c r="L353" s="7">
        <v>118.3</v>
      </c>
      <c r="M353" t="s">
        <v>17</v>
      </c>
      <c r="N353" s="9"/>
      <c r="O353" s="8">
        <f t="array" ref="O353">INDEX(TechRate,MATCH(H353,TechNum,0))</f>
        <v>80</v>
      </c>
      <c r="P353" s="10">
        <f>WorkOrders2[[#This Row],[Techs]]*(WorkOrders2[[#This Row],[PartsCost]]*WorkOrders2[[#This Row],[LbrHrs]])</f>
        <v>177.45</v>
      </c>
      <c r="Q353" s="10">
        <f t="shared" si="30"/>
        <v>177.45</v>
      </c>
      <c r="R353" s="10">
        <f t="shared" si="31"/>
        <v>118.3</v>
      </c>
      <c r="S353" s="10">
        <f t="shared" si="32"/>
        <v>295.75</v>
      </c>
      <c r="T353" s="10">
        <f t="shared" si="33"/>
        <v>295.75</v>
      </c>
      <c r="U353" s="8" t="str">
        <f t="shared" si="34"/>
        <v>Wed</v>
      </c>
      <c r="V353" s="8" t="str">
        <f t="shared" si="35"/>
        <v>Tue</v>
      </c>
    </row>
    <row r="354" spans="1:22" hidden="1" x14ac:dyDescent="0.25">
      <c r="A354" t="s">
        <v>525</v>
      </c>
      <c r="B354" t="s">
        <v>37</v>
      </c>
      <c r="C354" t="s">
        <v>44</v>
      </c>
      <c r="D354" t="s">
        <v>12</v>
      </c>
      <c r="F354" s="5">
        <v>44293</v>
      </c>
      <c r="G354" s="5">
        <v>44315</v>
      </c>
      <c r="H354" s="2">
        <v>1</v>
      </c>
      <c r="I354" s="6"/>
      <c r="J354" s="6"/>
      <c r="K354" s="7">
        <v>0.25</v>
      </c>
      <c r="L354" s="7">
        <v>52.019799999999996</v>
      </c>
      <c r="M354" t="s">
        <v>17</v>
      </c>
      <c r="N354" s="9"/>
      <c r="O354" s="8">
        <f t="array" ref="O354">INDEX(TechRate,MATCH(H354,TechNum,0))</f>
        <v>80</v>
      </c>
      <c r="P354" s="10">
        <f>WorkOrders2[[#This Row],[Techs]]*(WorkOrders2[[#This Row],[PartsCost]]*WorkOrders2[[#This Row],[LbrHrs]])</f>
        <v>13.004949999999999</v>
      </c>
      <c r="Q354" s="10">
        <f t="shared" si="30"/>
        <v>13.004949999999999</v>
      </c>
      <c r="R354" s="10">
        <f t="shared" si="31"/>
        <v>52.019799999999996</v>
      </c>
      <c r="S354" s="10">
        <f t="shared" si="32"/>
        <v>65.024749999999997</v>
      </c>
      <c r="T354" s="10">
        <f t="shared" si="33"/>
        <v>65.024749999999997</v>
      </c>
      <c r="U354" s="8" t="str">
        <f t="shared" si="34"/>
        <v>Wed</v>
      </c>
      <c r="V354" s="8" t="str">
        <f t="shared" si="35"/>
        <v>Thu</v>
      </c>
    </row>
    <row r="355" spans="1:22" hidden="1" x14ac:dyDescent="0.25">
      <c r="A355" t="s">
        <v>543</v>
      </c>
      <c r="B355" t="s">
        <v>37</v>
      </c>
      <c r="C355" t="s">
        <v>43</v>
      </c>
      <c r="D355" t="s">
        <v>12</v>
      </c>
      <c r="F355" s="5">
        <v>44298</v>
      </c>
      <c r="G355" s="5">
        <v>44320</v>
      </c>
      <c r="H355" s="2">
        <v>1</v>
      </c>
      <c r="I355" s="6"/>
      <c r="J355" s="6"/>
      <c r="K355" s="7">
        <v>0.5</v>
      </c>
      <c r="L355" s="7">
        <v>743.18399999999997</v>
      </c>
      <c r="M355" t="s">
        <v>19</v>
      </c>
      <c r="N355" s="9"/>
      <c r="O355" s="8">
        <f t="array" ref="O355">INDEX(TechRate,MATCH(H355,TechNum,0))</f>
        <v>80</v>
      </c>
      <c r="P355" s="10">
        <f>WorkOrders2[[#This Row],[Techs]]*(WorkOrders2[[#This Row],[PartsCost]]*WorkOrders2[[#This Row],[LbrHrs]])</f>
        <v>371.59199999999998</v>
      </c>
      <c r="Q355" s="10">
        <f t="shared" si="30"/>
        <v>371.59199999999998</v>
      </c>
      <c r="R355" s="10">
        <f t="shared" si="31"/>
        <v>743.18399999999997</v>
      </c>
      <c r="S355" s="10">
        <f t="shared" si="32"/>
        <v>1114.7759999999998</v>
      </c>
      <c r="T355" s="10">
        <f t="shared" si="33"/>
        <v>1114.7759999999998</v>
      </c>
      <c r="U355" s="8" t="str">
        <f t="shared" si="34"/>
        <v>Mon</v>
      </c>
      <c r="V355" s="8" t="str">
        <f t="shared" si="35"/>
        <v>Tue</v>
      </c>
    </row>
    <row r="356" spans="1:22" hidden="1" x14ac:dyDescent="0.25">
      <c r="A356" t="s">
        <v>66</v>
      </c>
      <c r="B356" t="s">
        <v>39</v>
      </c>
      <c r="C356" t="s">
        <v>8</v>
      </c>
      <c r="D356" t="s">
        <v>13</v>
      </c>
      <c r="F356" s="5">
        <v>44082</v>
      </c>
      <c r="G356" s="5">
        <v>44091</v>
      </c>
      <c r="H356" s="2">
        <v>2</v>
      </c>
      <c r="I356" s="6"/>
      <c r="J356" s="6"/>
      <c r="K356" s="7">
        <v>0.5</v>
      </c>
      <c r="L356" s="7">
        <v>120</v>
      </c>
      <c r="M356" t="s">
        <v>17</v>
      </c>
      <c r="N356" s="9"/>
      <c r="O356" s="8">
        <f t="array" ref="O356">INDEX(TechRate,MATCH(H356,TechNum,0))</f>
        <v>140</v>
      </c>
      <c r="P356" s="10">
        <f>WorkOrders2[[#This Row],[Techs]]*(WorkOrders2[[#This Row],[PartsCost]]*WorkOrders2[[#This Row],[LbrHrs]])</f>
        <v>120</v>
      </c>
      <c r="Q356" s="10">
        <f t="shared" si="30"/>
        <v>120</v>
      </c>
      <c r="R356" s="10">
        <f t="shared" si="31"/>
        <v>120</v>
      </c>
      <c r="S356" s="10">
        <f t="shared" si="32"/>
        <v>240</v>
      </c>
      <c r="T356" s="10">
        <f t="shared" si="33"/>
        <v>240</v>
      </c>
      <c r="U356" s="8" t="str">
        <f t="shared" si="34"/>
        <v>Tue</v>
      </c>
      <c r="V356" s="8" t="str">
        <f t="shared" si="35"/>
        <v>Thu</v>
      </c>
    </row>
    <row r="357" spans="1:22" hidden="1" x14ac:dyDescent="0.25">
      <c r="A357" t="s">
        <v>68</v>
      </c>
      <c r="B357" t="s">
        <v>39</v>
      </c>
      <c r="C357" t="s">
        <v>8</v>
      </c>
      <c r="D357" t="s">
        <v>13</v>
      </c>
      <c r="F357" s="5">
        <v>44082</v>
      </c>
      <c r="G357" s="5">
        <v>44096</v>
      </c>
      <c r="H357" s="2">
        <v>1</v>
      </c>
      <c r="I357" s="6"/>
      <c r="J357" s="6"/>
      <c r="K357" s="7">
        <v>1.75</v>
      </c>
      <c r="L357" s="7">
        <v>341</v>
      </c>
      <c r="M357" t="s">
        <v>18</v>
      </c>
      <c r="N357" s="9"/>
      <c r="O357" s="8">
        <f t="array" ref="O357">INDEX(TechRate,MATCH(H357,TechNum,0))</f>
        <v>80</v>
      </c>
      <c r="P357" s="10">
        <f>WorkOrders2[[#This Row],[Techs]]*(WorkOrders2[[#This Row],[PartsCost]]*WorkOrders2[[#This Row],[LbrHrs]])</f>
        <v>596.75</v>
      </c>
      <c r="Q357" s="10">
        <f t="shared" si="30"/>
        <v>596.75</v>
      </c>
      <c r="R357" s="10">
        <f t="shared" si="31"/>
        <v>341</v>
      </c>
      <c r="S357" s="10">
        <f t="shared" si="32"/>
        <v>937.75</v>
      </c>
      <c r="T357" s="10">
        <f t="shared" si="33"/>
        <v>937.75</v>
      </c>
      <c r="U357" s="8" t="str">
        <f t="shared" si="34"/>
        <v>Tue</v>
      </c>
      <c r="V357" s="8" t="str">
        <f t="shared" si="35"/>
        <v>Tue</v>
      </c>
    </row>
    <row r="358" spans="1:22" hidden="1" x14ac:dyDescent="0.25">
      <c r="A358" t="s">
        <v>84</v>
      </c>
      <c r="B358" t="s">
        <v>39</v>
      </c>
      <c r="C358" t="s">
        <v>44</v>
      </c>
      <c r="D358" t="s">
        <v>12</v>
      </c>
      <c r="E358" t="s">
        <v>3</v>
      </c>
      <c r="F358" s="5">
        <v>44088</v>
      </c>
      <c r="G358" s="5">
        <v>44109</v>
      </c>
      <c r="H358" s="2">
        <v>1</v>
      </c>
      <c r="I358" s="6"/>
      <c r="J358" s="6"/>
      <c r="K358" s="7">
        <v>0.5</v>
      </c>
      <c r="L358" s="7">
        <v>395.28</v>
      </c>
      <c r="M358" t="s">
        <v>19</v>
      </c>
      <c r="N358" s="9"/>
      <c r="O358" s="8">
        <f t="array" ref="O358">INDEX(TechRate,MATCH(H358,TechNum,0))</f>
        <v>80</v>
      </c>
      <c r="P358" s="10">
        <f>WorkOrders2[[#This Row],[Techs]]*(WorkOrders2[[#This Row],[PartsCost]]*WorkOrders2[[#This Row],[LbrHrs]])</f>
        <v>197.64</v>
      </c>
      <c r="Q358" s="10">
        <f t="shared" si="30"/>
        <v>197.64</v>
      </c>
      <c r="R358" s="10">
        <f t="shared" si="31"/>
        <v>395.28</v>
      </c>
      <c r="S358" s="10">
        <f t="shared" si="32"/>
        <v>592.91999999999996</v>
      </c>
      <c r="T358" s="10">
        <f t="shared" si="33"/>
        <v>592.91999999999996</v>
      </c>
      <c r="U358" s="8" t="str">
        <f t="shared" si="34"/>
        <v>Mon</v>
      </c>
      <c r="V358" s="8" t="str">
        <f t="shared" si="35"/>
        <v>Mon</v>
      </c>
    </row>
    <row r="359" spans="1:22" hidden="1" x14ac:dyDescent="0.25">
      <c r="A359" t="s">
        <v>91</v>
      </c>
      <c r="B359" t="s">
        <v>39</v>
      </c>
      <c r="C359" t="s">
        <v>9</v>
      </c>
      <c r="D359" t="s">
        <v>12</v>
      </c>
      <c r="F359" s="5">
        <v>44090</v>
      </c>
      <c r="G359" s="5">
        <v>44109</v>
      </c>
      <c r="H359" s="2">
        <v>2</v>
      </c>
      <c r="I359" s="6"/>
      <c r="J359" s="6"/>
      <c r="K359" s="7">
        <v>0.5</v>
      </c>
      <c r="L359" s="7">
        <v>144</v>
      </c>
      <c r="M359" t="s">
        <v>18</v>
      </c>
      <c r="N359" s="9"/>
      <c r="O359" s="8">
        <f t="array" ref="O359">INDEX(TechRate,MATCH(H359,TechNum,0))</f>
        <v>140</v>
      </c>
      <c r="P359" s="10">
        <f>WorkOrders2[[#This Row],[Techs]]*(WorkOrders2[[#This Row],[PartsCost]]*WorkOrders2[[#This Row],[LbrHrs]])</f>
        <v>144</v>
      </c>
      <c r="Q359" s="10">
        <f t="shared" si="30"/>
        <v>144</v>
      </c>
      <c r="R359" s="10">
        <f t="shared" si="31"/>
        <v>144</v>
      </c>
      <c r="S359" s="10">
        <f t="shared" si="32"/>
        <v>288</v>
      </c>
      <c r="T359" s="10">
        <f t="shared" si="33"/>
        <v>288</v>
      </c>
      <c r="U359" s="8" t="str">
        <f t="shared" si="34"/>
        <v>Wed</v>
      </c>
      <c r="V359" s="8" t="str">
        <f t="shared" si="35"/>
        <v>Mon</v>
      </c>
    </row>
    <row r="360" spans="1:22" hidden="1" x14ac:dyDescent="0.25">
      <c r="A360" t="s">
        <v>92</v>
      </c>
      <c r="B360" t="s">
        <v>39</v>
      </c>
      <c r="C360" t="s">
        <v>9</v>
      </c>
      <c r="D360" t="s">
        <v>11</v>
      </c>
      <c r="F360" s="5">
        <v>44091</v>
      </c>
      <c r="G360" s="5">
        <v>44110</v>
      </c>
      <c r="H360" s="2">
        <v>1</v>
      </c>
      <c r="I360" s="6"/>
      <c r="J360" s="6"/>
      <c r="K360" s="7">
        <v>0.25</v>
      </c>
      <c r="L360" s="7">
        <v>6.2160000000000002</v>
      </c>
      <c r="M360" t="s">
        <v>18</v>
      </c>
      <c r="N360" s="9"/>
      <c r="O360" s="8">
        <f t="array" ref="O360">INDEX(TechRate,MATCH(H360,TechNum,0))</f>
        <v>80</v>
      </c>
      <c r="P360" s="10">
        <f>WorkOrders2[[#This Row],[Techs]]*(WorkOrders2[[#This Row],[PartsCost]]*WorkOrders2[[#This Row],[LbrHrs]])</f>
        <v>1.554</v>
      </c>
      <c r="Q360" s="10">
        <f t="shared" si="30"/>
        <v>1.554</v>
      </c>
      <c r="R360" s="10">
        <f t="shared" si="31"/>
        <v>6.2160000000000002</v>
      </c>
      <c r="S360" s="10">
        <f t="shared" si="32"/>
        <v>7.7700000000000005</v>
      </c>
      <c r="T360" s="10">
        <f t="shared" si="33"/>
        <v>7.7700000000000005</v>
      </c>
      <c r="U360" s="8" t="str">
        <f t="shared" si="34"/>
        <v>Thu</v>
      </c>
      <c r="V360" s="8" t="str">
        <f t="shared" si="35"/>
        <v>Tue</v>
      </c>
    </row>
    <row r="361" spans="1:22" hidden="1" x14ac:dyDescent="0.25">
      <c r="A361" t="s">
        <v>97</v>
      </c>
      <c r="B361" t="s">
        <v>39</v>
      </c>
      <c r="C361" t="s">
        <v>6</v>
      </c>
      <c r="D361" t="s">
        <v>11</v>
      </c>
      <c r="F361" s="5">
        <v>44095</v>
      </c>
      <c r="G361" s="5">
        <v>44123</v>
      </c>
      <c r="H361" s="2">
        <v>1</v>
      </c>
      <c r="I361" s="6"/>
      <c r="J361" s="6"/>
      <c r="K361" s="7">
        <v>0.25</v>
      </c>
      <c r="L361" s="7">
        <v>144</v>
      </c>
      <c r="M361" t="s">
        <v>19</v>
      </c>
      <c r="N361" s="9"/>
      <c r="O361" s="8">
        <f t="array" ref="O361">INDEX(TechRate,MATCH(H361,TechNum,0))</f>
        <v>80</v>
      </c>
      <c r="P361" s="10">
        <f>WorkOrders2[[#This Row],[Techs]]*(WorkOrders2[[#This Row],[PartsCost]]*WorkOrders2[[#This Row],[LbrHrs]])</f>
        <v>36</v>
      </c>
      <c r="Q361" s="10">
        <f t="shared" si="30"/>
        <v>36</v>
      </c>
      <c r="R361" s="10">
        <f t="shared" si="31"/>
        <v>144</v>
      </c>
      <c r="S361" s="10">
        <f t="shared" si="32"/>
        <v>180</v>
      </c>
      <c r="T361" s="10">
        <f t="shared" si="33"/>
        <v>180</v>
      </c>
      <c r="U361" s="8" t="str">
        <f t="shared" si="34"/>
        <v>Mon</v>
      </c>
      <c r="V361" s="8" t="str">
        <f t="shared" si="35"/>
        <v>Mon</v>
      </c>
    </row>
    <row r="362" spans="1:22" x14ac:dyDescent="0.25">
      <c r="A362" t="s">
        <v>102</v>
      </c>
      <c r="B362" t="s">
        <v>39</v>
      </c>
      <c r="C362" t="s">
        <v>9</v>
      </c>
      <c r="D362" t="s">
        <v>2</v>
      </c>
      <c r="F362" s="5">
        <v>44097</v>
      </c>
      <c r="G362" s="5">
        <v>44119</v>
      </c>
      <c r="H362" s="2">
        <v>1</v>
      </c>
      <c r="I362" s="6"/>
      <c r="J362" s="6"/>
      <c r="K362" s="7">
        <v>1.5</v>
      </c>
      <c r="L362" s="7">
        <v>123.9555</v>
      </c>
      <c r="M362" t="s">
        <v>18</v>
      </c>
      <c r="N362" s="9"/>
      <c r="O362" s="8">
        <f t="array" ref="O362">INDEX(TechRate,MATCH(H362,TechNum,0))</f>
        <v>80</v>
      </c>
      <c r="P362" s="10">
        <f>WorkOrders2[[#This Row],[Techs]]*(WorkOrders2[[#This Row],[PartsCost]]*WorkOrders2[[#This Row],[LbrHrs]])</f>
        <v>185.93324999999999</v>
      </c>
      <c r="Q362" s="10">
        <f t="shared" si="30"/>
        <v>185.93324999999999</v>
      </c>
      <c r="R362" s="10">
        <f t="shared" si="31"/>
        <v>123.9555</v>
      </c>
      <c r="S362" s="10">
        <f t="shared" si="32"/>
        <v>309.88874999999996</v>
      </c>
      <c r="T362" s="10">
        <f t="shared" si="33"/>
        <v>309.88874999999996</v>
      </c>
      <c r="U362" s="8" t="str">
        <f t="shared" si="34"/>
        <v>Wed</v>
      </c>
      <c r="V362" s="8" t="str">
        <f t="shared" si="35"/>
        <v>Thu</v>
      </c>
    </row>
    <row r="363" spans="1:22" hidden="1" x14ac:dyDescent="0.25">
      <c r="A363" t="s">
        <v>104</v>
      </c>
      <c r="B363" t="s">
        <v>39</v>
      </c>
      <c r="C363" t="s">
        <v>8</v>
      </c>
      <c r="D363" t="s">
        <v>12</v>
      </c>
      <c r="F363" s="5">
        <v>44097</v>
      </c>
      <c r="G363" s="5">
        <v>44132</v>
      </c>
      <c r="H363" s="2">
        <v>2</v>
      </c>
      <c r="I363" s="6"/>
      <c r="J363" s="6"/>
      <c r="K363" s="7">
        <v>0.5</v>
      </c>
      <c r="L363" s="7">
        <v>1.173</v>
      </c>
      <c r="M363" t="s">
        <v>18</v>
      </c>
      <c r="N363" s="9"/>
      <c r="O363" s="8">
        <f t="array" ref="O363">INDEX(TechRate,MATCH(H363,TechNum,0))</f>
        <v>140</v>
      </c>
      <c r="P363" s="10">
        <f>WorkOrders2[[#This Row],[Techs]]*(WorkOrders2[[#This Row],[PartsCost]]*WorkOrders2[[#This Row],[LbrHrs]])</f>
        <v>1.173</v>
      </c>
      <c r="Q363" s="10">
        <f t="shared" si="30"/>
        <v>1.173</v>
      </c>
      <c r="R363" s="10">
        <f t="shared" si="31"/>
        <v>1.173</v>
      </c>
      <c r="S363" s="10">
        <f t="shared" si="32"/>
        <v>2.3460000000000001</v>
      </c>
      <c r="T363" s="10">
        <f t="shared" si="33"/>
        <v>2.3460000000000001</v>
      </c>
      <c r="U363" s="8" t="str">
        <f t="shared" si="34"/>
        <v>Wed</v>
      </c>
      <c r="V363" s="8" t="str">
        <f t="shared" si="35"/>
        <v>Wed</v>
      </c>
    </row>
    <row r="364" spans="1:22" hidden="1" x14ac:dyDescent="0.25">
      <c r="A364" t="s">
        <v>137</v>
      </c>
      <c r="B364" t="s">
        <v>39</v>
      </c>
      <c r="C364" t="s">
        <v>6</v>
      </c>
      <c r="D364" t="s">
        <v>13</v>
      </c>
      <c r="F364" s="5">
        <v>44112</v>
      </c>
      <c r="G364" s="5">
        <v>44165</v>
      </c>
      <c r="H364" s="2">
        <v>1</v>
      </c>
      <c r="I364" s="6"/>
      <c r="J364" s="6"/>
      <c r="K364" s="7">
        <v>0.5</v>
      </c>
      <c r="L364" s="7">
        <v>74.785899999999998</v>
      </c>
      <c r="M364" t="s">
        <v>17</v>
      </c>
      <c r="N364" s="9"/>
      <c r="O364" s="8">
        <f t="array" ref="O364">INDEX(TechRate,MATCH(H364,TechNum,0))</f>
        <v>80</v>
      </c>
      <c r="P364" s="10">
        <f>WorkOrders2[[#This Row],[Techs]]*(WorkOrders2[[#This Row],[PartsCost]]*WorkOrders2[[#This Row],[LbrHrs]])</f>
        <v>37.392949999999999</v>
      </c>
      <c r="Q364" s="10">
        <f t="shared" si="30"/>
        <v>37.392949999999999</v>
      </c>
      <c r="R364" s="10">
        <f t="shared" si="31"/>
        <v>74.785899999999998</v>
      </c>
      <c r="S364" s="10">
        <f t="shared" si="32"/>
        <v>112.17885</v>
      </c>
      <c r="T364" s="10">
        <f t="shared" si="33"/>
        <v>112.17885</v>
      </c>
      <c r="U364" s="8" t="str">
        <f t="shared" si="34"/>
        <v>Thu</v>
      </c>
      <c r="V364" s="8" t="str">
        <f t="shared" si="35"/>
        <v>Mon</v>
      </c>
    </row>
    <row r="365" spans="1:22" hidden="1" x14ac:dyDescent="0.25">
      <c r="A365" t="s">
        <v>144</v>
      </c>
      <c r="B365" t="s">
        <v>39</v>
      </c>
      <c r="C365" t="s">
        <v>6</v>
      </c>
      <c r="D365" t="s">
        <v>12</v>
      </c>
      <c r="E365" t="s">
        <v>3</v>
      </c>
      <c r="F365" s="5">
        <v>44117</v>
      </c>
      <c r="G365" s="5">
        <v>44131</v>
      </c>
      <c r="H365" s="2">
        <v>1</v>
      </c>
      <c r="I365" s="6"/>
      <c r="J365" s="6"/>
      <c r="K365" s="7">
        <v>0.5</v>
      </c>
      <c r="L365" s="7">
        <v>11.06</v>
      </c>
      <c r="M365" t="s">
        <v>19</v>
      </c>
      <c r="N365" s="9"/>
      <c r="O365" s="8">
        <f t="array" ref="O365">INDEX(TechRate,MATCH(H365,TechNum,0))</f>
        <v>80</v>
      </c>
      <c r="P365" s="10">
        <f>WorkOrders2[[#This Row],[Techs]]*(WorkOrders2[[#This Row],[PartsCost]]*WorkOrders2[[#This Row],[LbrHrs]])</f>
        <v>5.53</v>
      </c>
      <c r="Q365" s="10">
        <f t="shared" si="30"/>
        <v>5.53</v>
      </c>
      <c r="R365" s="10">
        <f t="shared" si="31"/>
        <v>11.06</v>
      </c>
      <c r="S365" s="10">
        <f t="shared" si="32"/>
        <v>16.59</v>
      </c>
      <c r="T365" s="10">
        <f t="shared" si="33"/>
        <v>16.59</v>
      </c>
      <c r="U365" s="8" t="str">
        <f t="shared" si="34"/>
        <v>Tue</v>
      </c>
      <c r="V365" s="8" t="str">
        <f t="shared" si="35"/>
        <v>Tue</v>
      </c>
    </row>
    <row r="366" spans="1:22" hidden="1" x14ac:dyDescent="0.25">
      <c r="A366" t="s">
        <v>164</v>
      </c>
      <c r="B366" t="s">
        <v>39</v>
      </c>
      <c r="C366" t="s">
        <v>6</v>
      </c>
      <c r="D366" t="s">
        <v>13</v>
      </c>
      <c r="E366" t="s">
        <v>3</v>
      </c>
      <c r="F366" s="5">
        <v>44126</v>
      </c>
      <c r="G366" s="5">
        <v>44133</v>
      </c>
      <c r="H366" s="2">
        <v>1</v>
      </c>
      <c r="I366" s="6"/>
      <c r="J366" s="6"/>
      <c r="K366" s="7">
        <v>0.5</v>
      </c>
      <c r="L366" s="7">
        <v>33.544699999999999</v>
      </c>
      <c r="M366" t="s">
        <v>19</v>
      </c>
      <c r="N366" s="9"/>
      <c r="O366" s="8">
        <f t="array" ref="O366">INDEX(TechRate,MATCH(H366,TechNum,0))</f>
        <v>80</v>
      </c>
      <c r="P366" s="10">
        <f>WorkOrders2[[#This Row],[Techs]]*(WorkOrders2[[#This Row],[PartsCost]]*WorkOrders2[[#This Row],[LbrHrs]])</f>
        <v>16.772349999999999</v>
      </c>
      <c r="Q366" s="10">
        <f t="shared" si="30"/>
        <v>16.772349999999999</v>
      </c>
      <c r="R366" s="10">
        <f t="shared" si="31"/>
        <v>33.544699999999999</v>
      </c>
      <c r="S366" s="10">
        <f t="shared" si="32"/>
        <v>50.317049999999995</v>
      </c>
      <c r="T366" s="10">
        <f t="shared" si="33"/>
        <v>50.317049999999995</v>
      </c>
      <c r="U366" s="8" t="str">
        <f t="shared" si="34"/>
        <v>Thu</v>
      </c>
      <c r="V366" s="8" t="str">
        <f t="shared" si="35"/>
        <v>Thu</v>
      </c>
    </row>
    <row r="367" spans="1:22" x14ac:dyDescent="0.25">
      <c r="A367" t="s">
        <v>169</v>
      </c>
      <c r="B367" t="s">
        <v>39</v>
      </c>
      <c r="C367" t="s">
        <v>8</v>
      </c>
      <c r="D367" t="s">
        <v>2</v>
      </c>
      <c r="F367" s="5">
        <v>44130</v>
      </c>
      <c r="G367" s="5">
        <v>44152</v>
      </c>
      <c r="H367" s="2">
        <v>2</v>
      </c>
      <c r="I367" s="6"/>
      <c r="J367" s="6"/>
      <c r="K367" s="7">
        <v>1</v>
      </c>
      <c r="L367" s="7">
        <v>25</v>
      </c>
      <c r="M367" t="s">
        <v>18</v>
      </c>
      <c r="N367" s="9"/>
      <c r="O367" s="8">
        <f t="array" ref="O367">INDEX(TechRate,MATCH(H367,TechNum,0))</f>
        <v>140</v>
      </c>
      <c r="P367" s="10">
        <f>WorkOrders2[[#This Row],[Techs]]*(WorkOrders2[[#This Row],[PartsCost]]*WorkOrders2[[#This Row],[LbrHrs]])</f>
        <v>50</v>
      </c>
      <c r="Q367" s="10">
        <f t="shared" si="30"/>
        <v>50</v>
      </c>
      <c r="R367" s="10">
        <f t="shared" si="31"/>
        <v>25</v>
      </c>
      <c r="S367" s="10">
        <f t="shared" si="32"/>
        <v>75</v>
      </c>
      <c r="T367" s="10">
        <f t="shared" si="33"/>
        <v>75</v>
      </c>
      <c r="U367" s="8" t="str">
        <f t="shared" si="34"/>
        <v>Mon</v>
      </c>
      <c r="V367" s="8" t="str">
        <f t="shared" si="35"/>
        <v>Tue</v>
      </c>
    </row>
    <row r="368" spans="1:22" hidden="1" x14ac:dyDescent="0.25">
      <c r="A368" t="s">
        <v>181</v>
      </c>
      <c r="B368" t="s">
        <v>39</v>
      </c>
      <c r="C368" t="s">
        <v>44</v>
      </c>
      <c r="D368" t="s">
        <v>13</v>
      </c>
      <c r="F368" s="5">
        <v>44137</v>
      </c>
      <c r="G368" s="5">
        <v>44301</v>
      </c>
      <c r="H368" s="2">
        <v>2</v>
      </c>
      <c r="I368" s="6"/>
      <c r="J368" s="6"/>
      <c r="K368" s="7">
        <v>1.75</v>
      </c>
      <c r="L368" s="7">
        <v>8.25</v>
      </c>
      <c r="M368" t="s">
        <v>17</v>
      </c>
      <c r="N368" s="9"/>
      <c r="O368" s="8">
        <f t="array" ref="O368">INDEX(TechRate,MATCH(H368,TechNum,0))</f>
        <v>140</v>
      </c>
      <c r="P368" s="10">
        <f>WorkOrders2[[#This Row],[Techs]]*(WorkOrders2[[#This Row],[PartsCost]]*WorkOrders2[[#This Row],[LbrHrs]])</f>
        <v>28.875</v>
      </c>
      <c r="Q368" s="10">
        <f t="shared" si="30"/>
        <v>28.875</v>
      </c>
      <c r="R368" s="10">
        <f t="shared" si="31"/>
        <v>8.25</v>
      </c>
      <c r="S368" s="10">
        <f t="shared" si="32"/>
        <v>37.125</v>
      </c>
      <c r="T368" s="10">
        <f t="shared" si="33"/>
        <v>37.125</v>
      </c>
      <c r="U368" s="8" t="str">
        <f t="shared" si="34"/>
        <v>Mon</v>
      </c>
      <c r="V368" s="8" t="str">
        <f t="shared" si="35"/>
        <v>Thu</v>
      </c>
    </row>
    <row r="369" spans="1:22" hidden="1" x14ac:dyDescent="0.25">
      <c r="A369" t="s">
        <v>182</v>
      </c>
      <c r="B369" t="s">
        <v>39</v>
      </c>
      <c r="C369" t="s">
        <v>8</v>
      </c>
      <c r="D369" t="s">
        <v>13</v>
      </c>
      <c r="F369" s="5">
        <v>44138</v>
      </c>
      <c r="G369" s="5">
        <v>44165</v>
      </c>
      <c r="H369" s="2">
        <v>1</v>
      </c>
      <c r="I369" s="6"/>
      <c r="J369" s="6"/>
      <c r="K369" s="7">
        <v>0.5</v>
      </c>
      <c r="L369" s="7">
        <v>15.63</v>
      </c>
      <c r="M369" t="s">
        <v>17</v>
      </c>
      <c r="N369" s="9"/>
      <c r="O369" s="8">
        <f t="array" ref="O369">INDEX(TechRate,MATCH(H369,TechNum,0))</f>
        <v>80</v>
      </c>
      <c r="P369" s="10">
        <f>WorkOrders2[[#This Row],[Techs]]*(WorkOrders2[[#This Row],[PartsCost]]*WorkOrders2[[#This Row],[LbrHrs]])</f>
        <v>7.8150000000000004</v>
      </c>
      <c r="Q369" s="10">
        <f t="shared" si="30"/>
        <v>7.8150000000000004</v>
      </c>
      <c r="R369" s="10">
        <f t="shared" si="31"/>
        <v>15.63</v>
      </c>
      <c r="S369" s="10">
        <f t="shared" si="32"/>
        <v>23.445</v>
      </c>
      <c r="T369" s="10">
        <f t="shared" si="33"/>
        <v>23.445</v>
      </c>
      <c r="U369" s="8" t="str">
        <f t="shared" si="34"/>
        <v>Tue</v>
      </c>
      <c r="V369" s="8" t="str">
        <f t="shared" si="35"/>
        <v>Mon</v>
      </c>
    </row>
    <row r="370" spans="1:22" hidden="1" x14ac:dyDescent="0.25">
      <c r="A370" t="s">
        <v>184</v>
      </c>
      <c r="B370" t="s">
        <v>39</v>
      </c>
      <c r="C370" t="s">
        <v>9</v>
      </c>
      <c r="D370" t="s">
        <v>12</v>
      </c>
      <c r="F370" s="5">
        <v>44138</v>
      </c>
      <c r="G370" s="5">
        <v>44173</v>
      </c>
      <c r="H370" s="2">
        <v>1</v>
      </c>
      <c r="I370" s="6"/>
      <c r="J370" s="6"/>
      <c r="K370" s="7">
        <v>0.75</v>
      </c>
      <c r="L370" s="7">
        <v>28.5</v>
      </c>
      <c r="M370" t="s">
        <v>18</v>
      </c>
      <c r="N370" s="9"/>
      <c r="O370" s="8">
        <f t="array" ref="O370">INDEX(TechRate,MATCH(H370,TechNum,0))</f>
        <v>80</v>
      </c>
      <c r="P370" s="10">
        <f>WorkOrders2[[#This Row],[Techs]]*(WorkOrders2[[#This Row],[PartsCost]]*WorkOrders2[[#This Row],[LbrHrs]])</f>
        <v>21.375</v>
      </c>
      <c r="Q370" s="10">
        <f t="shared" si="30"/>
        <v>21.375</v>
      </c>
      <c r="R370" s="10">
        <f t="shared" si="31"/>
        <v>28.5</v>
      </c>
      <c r="S370" s="10">
        <f t="shared" si="32"/>
        <v>49.875</v>
      </c>
      <c r="T370" s="10">
        <f t="shared" si="33"/>
        <v>49.875</v>
      </c>
      <c r="U370" s="8" t="str">
        <f t="shared" si="34"/>
        <v>Tue</v>
      </c>
      <c r="V370" s="8" t="str">
        <f t="shared" si="35"/>
        <v>Tue</v>
      </c>
    </row>
    <row r="371" spans="1:22" hidden="1" x14ac:dyDescent="0.25">
      <c r="A371" t="s">
        <v>197</v>
      </c>
      <c r="B371" t="s">
        <v>39</v>
      </c>
      <c r="C371" t="s">
        <v>44</v>
      </c>
      <c r="D371" t="s">
        <v>13</v>
      </c>
      <c r="F371" s="5">
        <v>44146</v>
      </c>
      <c r="G371" s="5">
        <v>44168</v>
      </c>
      <c r="H371" s="2">
        <v>2</v>
      </c>
      <c r="I371" s="6"/>
      <c r="J371" s="6"/>
      <c r="K371" s="7">
        <v>0.75</v>
      </c>
      <c r="L371" s="7">
        <v>182.7</v>
      </c>
      <c r="M371" t="s">
        <v>18</v>
      </c>
      <c r="N371" s="9"/>
      <c r="O371" s="8">
        <f t="array" ref="O371">INDEX(TechRate,MATCH(H371,TechNum,0))</f>
        <v>140</v>
      </c>
      <c r="P371" s="10">
        <f>WorkOrders2[[#This Row],[Techs]]*(WorkOrders2[[#This Row],[PartsCost]]*WorkOrders2[[#This Row],[LbrHrs]])</f>
        <v>274.04999999999995</v>
      </c>
      <c r="Q371" s="10">
        <f t="shared" si="30"/>
        <v>274.04999999999995</v>
      </c>
      <c r="R371" s="10">
        <f t="shared" si="31"/>
        <v>182.7</v>
      </c>
      <c r="S371" s="10">
        <f t="shared" si="32"/>
        <v>456.74999999999994</v>
      </c>
      <c r="T371" s="10">
        <f t="shared" si="33"/>
        <v>456.74999999999994</v>
      </c>
      <c r="U371" s="8" t="str">
        <f t="shared" si="34"/>
        <v>Wed</v>
      </c>
      <c r="V371" s="8" t="str">
        <f t="shared" si="35"/>
        <v>Thu</v>
      </c>
    </row>
    <row r="372" spans="1:22" hidden="1" x14ac:dyDescent="0.25">
      <c r="A372" t="s">
        <v>198</v>
      </c>
      <c r="B372" t="s">
        <v>39</v>
      </c>
      <c r="C372" t="s">
        <v>8</v>
      </c>
      <c r="D372" t="s">
        <v>13</v>
      </c>
      <c r="F372" s="5">
        <v>44146</v>
      </c>
      <c r="G372" s="5">
        <v>44165</v>
      </c>
      <c r="H372" s="2">
        <v>1</v>
      </c>
      <c r="I372" s="6"/>
      <c r="J372" s="6"/>
      <c r="K372" s="7">
        <v>0.5</v>
      </c>
      <c r="L372" s="7">
        <v>73.508899999999997</v>
      </c>
      <c r="M372" t="s">
        <v>18</v>
      </c>
      <c r="N372" s="9"/>
      <c r="O372" s="8">
        <f t="array" ref="O372">INDEX(TechRate,MATCH(H372,TechNum,0))</f>
        <v>80</v>
      </c>
      <c r="P372" s="10">
        <f>WorkOrders2[[#This Row],[Techs]]*(WorkOrders2[[#This Row],[PartsCost]]*WorkOrders2[[#This Row],[LbrHrs]])</f>
        <v>36.754449999999999</v>
      </c>
      <c r="Q372" s="10">
        <f t="shared" si="30"/>
        <v>36.754449999999999</v>
      </c>
      <c r="R372" s="10">
        <f t="shared" si="31"/>
        <v>73.508899999999997</v>
      </c>
      <c r="S372" s="10">
        <f t="shared" si="32"/>
        <v>110.26335</v>
      </c>
      <c r="T372" s="10">
        <f t="shared" si="33"/>
        <v>110.26335</v>
      </c>
      <c r="U372" s="8" t="str">
        <f t="shared" si="34"/>
        <v>Wed</v>
      </c>
      <c r="V372" s="8" t="str">
        <f t="shared" si="35"/>
        <v>Mon</v>
      </c>
    </row>
    <row r="373" spans="1:22" hidden="1" x14ac:dyDescent="0.25">
      <c r="A373" t="s">
        <v>202</v>
      </c>
      <c r="B373" t="s">
        <v>39</v>
      </c>
      <c r="C373" t="s">
        <v>8</v>
      </c>
      <c r="D373" t="s">
        <v>13</v>
      </c>
      <c r="F373" s="5">
        <v>44148</v>
      </c>
      <c r="G373" s="5">
        <v>44159</v>
      </c>
      <c r="H373" s="2">
        <v>1</v>
      </c>
      <c r="I373" s="6"/>
      <c r="J373" s="6"/>
      <c r="K373" s="7">
        <v>0.5</v>
      </c>
      <c r="L373" s="7">
        <v>36.754399999999997</v>
      </c>
      <c r="M373" t="s">
        <v>17</v>
      </c>
      <c r="N373" s="9"/>
      <c r="O373" s="8">
        <f t="array" ref="O373">INDEX(TechRate,MATCH(H373,TechNum,0))</f>
        <v>80</v>
      </c>
      <c r="P373" s="10">
        <f>WorkOrders2[[#This Row],[Techs]]*(WorkOrders2[[#This Row],[PartsCost]]*WorkOrders2[[#This Row],[LbrHrs]])</f>
        <v>18.377199999999998</v>
      </c>
      <c r="Q373" s="10">
        <f t="shared" si="30"/>
        <v>18.377199999999998</v>
      </c>
      <c r="R373" s="10">
        <f t="shared" si="31"/>
        <v>36.754399999999997</v>
      </c>
      <c r="S373" s="10">
        <f t="shared" si="32"/>
        <v>55.131599999999992</v>
      </c>
      <c r="T373" s="10">
        <f t="shared" si="33"/>
        <v>55.131599999999992</v>
      </c>
      <c r="U373" s="8" t="str">
        <f t="shared" si="34"/>
        <v>Fri</v>
      </c>
      <c r="V373" s="8" t="str">
        <f t="shared" si="35"/>
        <v>Tue</v>
      </c>
    </row>
    <row r="374" spans="1:22" hidden="1" x14ac:dyDescent="0.25">
      <c r="A374" t="s">
        <v>207</v>
      </c>
      <c r="B374" t="s">
        <v>39</v>
      </c>
      <c r="C374" t="s">
        <v>8</v>
      </c>
      <c r="D374" t="s">
        <v>13</v>
      </c>
      <c r="F374" s="5">
        <v>44152</v>
      </c>
      <c r="G374" s="5">
        <v>44174</v>
      </c>
      <c r="H374" s="2">
        <v>2</v>
      </c>
      <c r="I374" s="6"/>
      <c r="J374" s="6"/>
      <c r="K374" s="7">
        <v>0.5</v>
      </c>
      <c r="L374" s="7">
        <v>504.21269999999998</v>
      </c>
      <c r="M374" t="s">
        <v>18</v>
      </c>
      <c r="N374" s="9"/>
      <c r="O374" s="8">
        <f t="array" ref="O374">INDEX(TechRate,MATCH(H374,TechNum,0))</f>
        <v>140</v>
      </c>
      <c r="P374" s="10">
        <f>WorkOrders2[[#This Row],[Techs]]*(WorkOrders2[[#This Row],[PartsCost]]*WorkOrders2[[#This Row],[LbrHrs]])</f>
        <v>504.21269999999998</v>
      </c>
      <c r="Q374" s="10">
        <f t="shared" si="30"/>
        <v>504.21269999999998</v>
      </c>
      <c r="R374" s="10">
        <f t="shared" si="31"/>
        <v>504.21269999999998</v>
      </c>
      <c r="S374" s="10">
        <f t="shared" si="32"/>
        <v>1008.4254</v>
      </c>
      <c r="T374" s="10">
        <f t="shared" si="33"/>
        <v>1008.4254</v>
      </c>
      <c r="U374" s="8" t="str">
        <f t="shared" si="34"/>
        <v>Tue</v>
      </c>
      <c r="V374" s="8" t="str">
        <f t="shared" si="35"/>
        <v>Wed</v>
      </c>
    </row>
    <row r="375" spans="1:22" hidden="1" x14ac:dyDescent="0.25">
      <c r="A375" t="s">
        <v>209</v>
      </c>
      <c r="B375" t="s">
        <v>39</v>
      </c>
      <c r="C375" t="s">
        <v>9</v>
      </c>
      <c r="D375" t="s">
        <v>12</v>
      </c>
      <c r="F375" s="5">
        <v>44153</v>
      </c>
      <c r="G375" s="5">
        <v>44165</v>
      </c>
      <c r="H375" s="2">
        <v>2</v>
      </c>
      <c r="I375" s="6"/>
      <c r="J375" s="6"/>
      <c r="K375" s="7">
        <v>1.5</v>
      </c>
      <c r="L375" s="7">
        <v>0.98399999999999999</v>
      </c>
      <c r="M375" t="s">
        <v>18</v>
      </c>
      <c r="N375" s="9"/>
      <c r="O375" s="8">
        <f t="array" ref="O375">INDEX(TechRate,MATCH(H375,TechNum,0))</f>
        <v>140</v>
      </c>
      <c r="P375" s="10">
        <f>WorkOrders2[[#This Row],[Techs]]*(WorkOrders2[[#This Row],[PartsCost]]*WorkOrders2[[#This Row],[LbrHrs]])</f>
        <v>2.952</v>
      </c>
      <c r="Q375" s="10">
        <f t="shared" si="30"/>
        <v>2.952</v>
      </c>
      <c r="R375" s="10">
        <f t="shared" si="31"/>
        <v>0.98399999999999999</v>
      </c>
      <c r="S375" s="10">
        <f t="shared" si="32"/>
        <v>3.9359999999999999</v>
      </c>
      <c r="T375" s="10">
        <f t="shared" si="33"/>
        <v>3.9359999999999999</v>
      </c>
      <c r="U375" s="8" t="str">
        <f t="shared" si="34"/>
        <v>Wed</v>
      </c>
      <c r="V375" s="8" t="str">
        <f t="shared" si="35"/>
        <v>Mon</v>
      </c>
    </row>
    <row r="376" spans="1:22" hidden="1" x14ac:dyDescent="0.25">
      <c r="A376" t="s">
        <v>210</v>
      </c>
      <c r="B376" t="s">
        <v>39</v>
      </c>
      <c r="C376" t="s">
        <v>8</v>
      </c>
      <c r="D376" t="s">
        <v>12</v>
      </c>
      <c r="F376" s="5">
        <v>44153</v>
      </c>
      <c r="G376" s="5">
        <v>44165</v>
      </c>
      <c r="H376" s="2">
        <v>1</v>
      </c>
      <c r="I376" s="6"/>
      <c r="J376" s="6"/>
      <c r="K376" s="7">
        <v>0.5</v>
      </c>
      <c r="L376" s="7">
        <v>14.88</v>
      </c>
      <c r="M376" t="s">
        <v>17</v>
      </c>
      <c r="N376" s="9"/>
      <c r="O376" s="8">
        <f t="array" ref="O376">INDEX(TechRate,MATCH(H376,TechNum,0))</f>
        <v>80</v>
      </c>
      <c r="P376" s="10">
        <f>WorkOrders2[[#This Row],[Techs]]*(WorkOrders2[[#This Row],[PartsCost]]*WorkOrders2[[#This Row],[LbrHrs]])</f>
        <v>7.44</v>
      </c>
      <c r="Q376" s="10">
        <f t="shared" si="30"/>
        <v>7.44</v>
      </c>
      <c r="R376" s="10">
        <f t="shared" si="31"/>
        <v>14.88</v>
      </c>
      <c r="S376" s="10">
        <f t="shared" si="32"/>
        <v>22.32</v>
      </c>
      <c r="T376" s="10">
        <f t="shared" si="33"/>
        <v>22.32</v>
      </c>
      <c r="U376" s="8" t="str">
        <f t="shared" si="34"/>
        <v>Wed</v>
      </c>
      <c r="V376" s="8" t="str">
        <f t="shared" si="35"/>
        <v>Mon</v>
      </c>
    </row>
    <row r="377" spans="1:22" hidden="1" x14ac:dyDescent="0.25">
      <c r="A377" t="s">
        <v>218</v>
      </c>
      <c r="B377" t="s">
        <v>39</v>
      </c>
      <c r="C377" t="s">
        <v>6</v>
      </c>
      <c r="D377" t="s">
        <v>12</v>
      </c>
      <c r="F377" s="5">
        <v>44158</v>
      </c>
      <c r="G377" s="5">
        <v>44203</v>
      </c>
      <c r="H377" s="2">
        <v>1</v>
      </c>
      <c r="I377" s="6"/>
      <c r="J377" s="6"/>
      <c r="K377" s="7">
        <v>0.25</v>
      </c>
      <c r="L377" s="7">
        <v>156</v>
      </c>
      <c r="M377" t="s">
        <v>17</v>
      </c>
      <c r="N377" s="9"/>
      <c r="O377" s="8">
        <f t="array" ref="O377">INDEX(TechRate,MATCH(H377,TechNum,0))</f>
        <v>80</v>
      </c>
      <c r="P377" s="10">
        <f>WorkOrders2[[#This Row],[Techs]]*(WorkOrders2[[#This Row],[PartsCost]]*WorkOrders2[[#This Row],[LbrHrs]])</f>
        <v>39</v>
      </c>
      <c r="Q377" s="10">
        <f t="shared" si="30"/>
        <v>39</v>
      </c>
      <c r="R377" s="10">
        <f t="shared" si="31"/>
        <v>156</v>
      </c>
      <c r="S377" s="10">
        <f t="shared" si="32"/>
        <v>195</v>
      </c>
      <c r="T377" s="10">
        <f t="shared" si="33"/>
        <v>195</v>
      </c>
      <c r="U377" s="8" t="str">
        <f t="shared" si="34"/>
        <v>Mon</v>
      </c>
      <c r="V377" s="8" t="str">
        <f t="shared" si="35"/>
        <v>Thu</v>
      </c>
    </row>
    <row r="378" spans="1:22" hidden="1" x14ac:dyDescent="0.25">
      <c r="A378" t="s">
        <v>222</v>
      </c>
      <c r="B378" t="s">
        <v>39</v>
      </c>
      <c r="C378" t="s">
        <v>8</v>
      </c>
      <c r="D378" t="s">
        <v>13</v>
      </c>
      <c r="F378" s="5">
        <v>44159</v>
      </c>
      <c r="G378" s="5">
        <v>44168</v>
      </c>
      <c r="H378" s="2">
        <v>1</v>
      </c>
      <c r="I378" s="6"/>
      <c r="J378" s="6"/>
      <c r="K378" s="7">
        <v>0.5</v>
      </c>
      <c r="L378" s="7">
        <v>34.08</v>
      </c>
      <c r="M378" t="s">
        <v>19</v>
      </c>
      <c r="N378" s="9"/>
      <c r="O378" s="8">
        <f t="array" ref="O378">INDEX(TechRate,MATCH(H378,TechNum,0))</f>
        <v>80</v>
      </c>
      <c r="P378" s="10">
        <f>WorkOrders2[[#This Row],[Techs]]*(WorkOrders2[[#This Row],[PartsCost]]*WorkOrders2[[#This Row],[LbrHrs]])</f>
        <v>17.04</v>
      </c>
      <c r="Q378" s="10">
        <f t="shared" si="30"/>
        <v>17.04</v>
      </c>
      <c r="R378" s="10">
        <f t="shared" si="31"/>
        <v>34.08</v>
      </c>
      <c r="S378" s="10">
        <f t="shared" si="32"/>
        <v>51.12</v>
      </c>
      <c r="T378" s="10">
        <f t="shared" si="33"/>
        <v>51.12</v>
      </c>
      <c r="U378" s="8" t="str">
        <f t="shared" si="34"/>
        <v>Tue</v>
      </c>
      <c r="V378" s="8" t="str">
        <f t="shared" si="35"/>
        <v>Thu</v>
      </c>
    </row>
    <row r="379" spans="1:22" hidden="1" x14ac:dyDescent="0.25">
      <c r="A379" t="s">
        <v>226</v>
      </c>
      <c r="B379" t="s">
        <v>39</v>
      </c>
      <c r="C379" t="s">
        <v>8</v>
      </c>
      <c r="D379" t="s">
        <v>12</v>
      </c>
      <c r="E379" t="s">
        <v>3</v>
      </c>
      <c r="F379" s="5">
        <v>44160</v>
      </c>
      <c r="G379" s="5">
        <v>44172</v>
      </c>
      <c r="H379" s="2">
        <v>1</v>
      </c>
      <c r="I379" s="6"/>
      <c r="J379" s="6"/>
      <c r="K379" s="7">
        <v>0.5</v>
      </c>
      <c r="L379" s="7">
        <v>133.36609999999999</v>
      </c>
      <c r="M379" t="s">
        <v>17</v>
      </c>
      <c r="N379" s="9"/>
      <c r="O379" s="8">
        <f t="array" ref="O379">INDEX(TechRate,MATCH(H379,TechNum,0))</f>
        <v>80</v>
      </c>
      <c r="P379" s="10">
        <f>WorkOrders2[[#This Row],[Techs]]*(WorkOrders2[[#This Row],[PartsCost]]*WorkOrders2[[#This Row],[LbrHrs]])</f>
        <v>66.683049999999994</v>
      </c>
      <c r="Q379" s="10">
        <f t="shared" si="30"/>
        <v>66.683049999999994</v>
      </c>
      <c r="R379" s="10">
        <f t="shared" si="31"/>
        <v>133.36609999999999</v>
      </c>
      <c r="S379" s="10">
        <f t="shared" si="32"/>
        <v>200.04915</v>
      </c>
      <c r="T379" s="10">
        <f t="shared" si="33"/>
        <v>200.04915</v>
      </c>
      <c r="U379" s="8" t="str">
        <f t="shared" si="34"/>
        <v>Wed</v>
      </c>
      <c r="V379" s="8" t="str">
        <f t="shared" si="35"/>
        <v>Mon</v>
      </c>
    </row>
    <row r="380" spans="1:22" hidden="1" x14ac:dyDescent="0.25">
      <c r="A380" t="s">
        <v>232</v>
      </c>
      <c r="B380" t="s">
        <v>39</v>
      </c>
      <c r="C380" t="s">
        <v>9</v>
      </c>
      <c r="D380" t="s">
        <v>12</v>
      </c>
      <c r="F380" s="5">
        <v>44161</v>
      </c>
      <c r="G380" s="5">
        <v>44175</v>
      </c>
      <c r="H380" s="2">
        <v>1</v>
      </c>
      <c r="I380" s="6"/>
      <c r="J380" s="6"/>
      <c r="K380" s="7">
        <v>0.5</v>
      </c>
      <c r="L380" s="7">
        <v>33</v>
      </c>
      <c r="M380" t="s">
        <v>18</v>
      </c>
      <c r="N380" s="9"/>
      <c r="O380" s="8">
        <f t="array" ref="O380">INDEX(TechRate,MATCH(H380,TechNum,0))</f>
        <v>80</v>
      </c>
      <c r="P380" s="10">
        <f>WorkOrders2[[#This Row],[Techs]]*(WorkOrders2[[#This Row],[PartsCost]]*WorkOrders2[[#This Row],[LbrHrs]])</f>
        <v>16.5</v>
      </c>
      <c r="Q380" s="10">
        <f t="shared" si="30"/>
        <v>16.5</v>
      </c>
      <c r="R380" s="10">
        <f t="shared" si="31"/>
        <v>33</v>
      </c>
      <c r="S380" s="10">
        <f t="shared" si="32"/>
        <v>49.5</v>
      </c>
      <c r="T380" s="10">
        <f t="shared" si="33"/>
        <v>49.5</v>
      </c>
      <c r="U380" s="8" t="str">
        <f t="shared" si="34"/>
        <v>Thu</v>
      </c>
      <c r="V380" s="8" t="str">
        <f t="shared" si="35"/>
        <v>Thu</v>
      </c>
    </row>
    <row r="381" spans="1:22" hidden="1" x14ac:dyDescent="0.25">
      <c r="A381" t="s">
        <v>235</v>
      </c>
      <c r="B381" t="s">
        <v>39</v>
      </c>
      <c r="C381" t="s">
        <v>8</v>
      </c>
      <c r="D381" t="s">
        <v>13</v>
      </c>
      <c r="F381" s="5">
        <v>44162</v>
      </c>
      <c r="G381" s="5">
        <v>44187</v>
      </c>
      <c r="H381" s="2">
        <v>1</v>
      </c>
      <c r="I381" s="6"/>
      <c r="J381" s="6"/>
      <c r="K381" s="7">
        <v>1</v>
      </c>
      <c r="L381" s="7">
        <v>81.885000000000005</v>
      </c>
      <c r="M381" t="s">
        <v>18</v>
      </c>
      <c r="N381" s="9"/>
      <c r="O381" s="8">
        <f t="array" ref="O381">INDEX(TechRate,MATCH(H381,TechNum,0))</f>
        <v>80</v>
      </c>
      <c r="P381" s="10">
        <f>WorkOrders2[[#This Row],[Techs]]*(WorkOrders2[[#This Row],[PartsCost]]*WorkOrders2[[#This Row],[LbrHrs]])</f>
        <v>81.885000000000005</v>
      </c>
      <c r="Q381" s="10">
        <f t="shared" si="30"/>
        <v>81.885000000000005</v>
      </c>
      <c r="R381" s="10">
        <f t="shared" si="31"/>
        <v>81.885000000000005</v>
      </c>
      <c r="S381" s="10">
        <f t="shared" si="32"/>
        <v>163.77000000000001</v>
      </c>
      <c r="T381" s="10">
        <f t="shared" si="33"/>
        <v>163.77000000000001</v>
      </c>
      <c r="U381" s="8" t="str">
        <f t="shared" si="34"/>
        <v>Fri</v>
      </c>
      <c r="V381" s="8" t="str">
        <f t="shared" si="35"/>
        <v>Tue</v>
      </c>
    </row>
    <row r="382" spans="1:22" hidden="1" x14ac:dyDescent="0.25">
      <c r="A382" t="s">
        <v>237</v>
      </c>
      <c r="B382" t="s">
        <v>39</v>
      </c>
      <c r="C382" t="s">
        <v>8</v>
      </c>
      <c r="D382" t="s">
        <v>11</v>
      </c>
      <c r="F382" s="5">
        <v>44165</v>
      </c>
      <c r="G382" s="5">
        <v>44173</v>
      </c>
      <c r="H382" s="2">
        <v>1</v>
      </c>
      <c r="I382" s="6"/>
      <c r="J382" s="6"/>
      <c r="K382" s="7">
        <v>0.25</v>
      </c>
      <c r="L382" s="7">
        <v>17.88</v>
      </c>
      <c r="M382" t="s">
        <v>17</v>
      </c>
      <c r="N382" s="9"/>
      <c r="O382" s="8">
        <f t="array" ref="O382">INDEX(TechRate,MATCH(H382,TechNum,0))</f>
        <v>80</v>
      </c>
      <c r="P382" s="10">
        <f>WorkOrders2[[#This Row],[Techs]]*(WorkOrders2[[#This Row],[PartsCost]]*WorkOrders2[[#This Row],[LbrHrs]])</f>
        <v>4.47</v>
      </c>
      <c r="Q382" s="10">
        <f t="shared" si="30"/>
        <v>4.47</v>
      </c>
      <c r="R382" s="10">
        <f t="shared" si="31"/>
        <v>17.88</v>
      </c>
      <c r="S382" s="10">
        <f t="shared" si="32"/>
        <v>22.349999999999998</v>
      </c>
      <c r="T382" s="10">
        <f t="shared" si="33"/>
        <v>22.349999999999998</v>
      </c>
      <c r="U382" s="8" t="str">
        <f t="shared" si="34"/>
        <v>Mon</v>
      </c>
      <c r="V382" s="8" t="str">
        <f t="shared" si="35"/>
        <v>Tue</v>
      </c>
    </row>
    <row r="383" spans="1:22" hidden="1" x14ac:dyDescent="0.25">
      <c r="A383" t="s">
        <v>242</v>
      </c>
      <c r="B383" t="s">
        <v>39</v>
      </c>
      <c r="C383" t="s">
        <v>9</v>
      </c>
      <c r="D383" t="s">
        <v>12</v>
      </c>
      <c r="F383" s="5">
        <v>44166</v>
      </c>
      <c r="G383" s="5">
        <v>44207</v>
      </c>
      <c r="H383" s="2">
        <v>1</v>
      </c>
      <c r="I383" s="6"/>
      <c r="J383" s="6"/>
      <c r="K383" s="7">
        <v>0.5</v>
      </c>
      <c r="L383" s="7">
        <v>36.754399999999997</v>
      </c>
      <c r="M383" t="s">
        <v>18</v>
      </c>
      <c r="N383" s="9"/>
      <c r="O383" s="8">
        <f t="array" ref="O383">INDEX(TechRate,MATCH(H383,TechNum,0))</f>
        <v>80</v>
      </c>
      <c r="P383" s="10">
        <f>WorkOrders2[[#This Row],[Techs]]*(WorkOrders2[[#This Row],[PartsCost]]*WorkOrders2[[#This Row],[LbrHrs]])</f>
        <v>18.377199999999998</v>
      </c>
      <c r="Q383" s="10">
        <f t="shared" si="30"/>
        <v>18.377199999999998</v>
      </c>
      <c r="R383" s="10">
        <f t="shared" si="31"/>
        <v>36.754399999999997</v>
      </c>
      <c r="S383" s="10">
        <f t="shared" si="32"/>
        <v>55.131599999999992</v>
      </c>
      <c r="T383" s="10">
        <f t="shared" si="33"/>
        <v>55.131599999999992</v>
      </c>
      <c r="U383" s="8" t="str">
        <f t="shared" si="34"/>
        <v>Tue</v>
      </c>
      <c r="V383" s="8" t="str">
        <f t="shared" si="35"/>
        <v>Mon</v>
      </c>
    </row>
    <row r="384" spans="1:22" hidden="1" x14ac:dyDescent="0.25">
      <c r="A384" t="s">
        <v>247</v>
      </c>
      <c r="B384" t="s">
        <v>39</v>
      </c>
      <c r="C384" t="s">
        <v>6</v>
      </c>
      <c r="D384" t="s">
        <v>11</v>
      </c>
      <c r="F384" s="5">
        <v>44167</v>
      </c>
      <c r="G384" s="5">
        <v>44203</v>
      </c>
      <c r="H384" s="2">
        <v>1</v>
      </c>
      <c r="I384" s="6"/>
      <c r="J384" s="6"/>
      <c r="K384" s="7">
        <v>0.25</v>
      </c>
      <c r="L384" s="7">
        <v>45.237400000000001</v>
      </c>
      <c r="M384" t="s">
        <v>18</v>
      </c>
      <c r="N384" s="9"/>
      <c r="O384" s="8">
        <f t="array" ref="O384">INDEX(TechRate,MATCH(H384,TechNum,0))</f>
        <v>80</v>
      </c>
      <c r="P384" s="10">
        <f>WorkOrders2[[#This Row],[Techs]]*(WorkOrders2[[#This Row],[PartsCost]]*WorkOrders2[[#This Row],[LbrHrs]])</f>
        <v>11.30935</v>
      </c>
      <c r="Q384" s="10">
        <f t="shared" si="30"/>
        <v>11.30935</v>
      </c>
      <c r="R384" s="10">
        <f t="shared" si="31"/>
        <v>45.237400000000001</v>
      </c>
      <c r="S384" s="10">
        <f t="shared" si="32"/>
        <v>56.546750000000003</v>
      </c>
      <c r="T384" s="10">
        <f t="shared" si="33"/>
        <v>56.546750000000003</v>
      </c>
      <c r="U384" s="8" t="str">
        <f t="shared" si="34"/>
        <v>Wed</v>
      </c>
      <c r="V384" s="8" t="str">
        <f t="shared" si="35"/>
        <v>Thu</v>
      </c>
    </row>
    <row r="385" spans="1:22" hidden="1" x14ac:dyDescent="0.25">
      <c r="A385" t="s">
        <v>264</v>
      </c>
      <c r="B385" t="s">
        <v>39</v>
      </c>
      <c r="C385" t="s">
        <v>6</v>
      </c>
      <c r="D385" t="s">
        <v>13</v>
      </c>
      <c r="E385" t="s">
        <v>3</v>
      </c>
      <c r="F385" s="5">
        <v>44175</v>
      </c>
      <c r="G385" s="5">
        <v>44179</v>
      </c>
      <c r="H385" s="2">
        <v>1</v>
      </c>
      <c r="I385" s="6"/>
      <c r="J385" s="6"/>
      <c r="K385" s="7">
        <v>0.5</v>
      </c>
      <c r="L385" s="7">
        <v>250.42240000000001</v>
      </c>
      <c r="M385" t="s">
        <v>18</v>
      </c>
      <c r="N385" s="9"/>
      <c r="O385" s="8">
        <f t="array" ref="O385">INDEX(TechRate,MATCH(H385,TechNum,0))</f>
        <v>80</v>
      </c>
      <c r="P385" s="10">
        <f>WorkOrders2[[#This Row],[Techs]]*(WorkOrders2[[#This Row],[PartsCost]]*WorkOrders2[[#This Row],[LbrHrs]])</f>
        <v>125.21120000000001</v>
      </c>
      <c r="Q385" s="10">
        <f t="shared" si="30"/>
        <v>125.21120000000001</v>
      </c>
      <c r="R385" s="10">
        <f t="shared" si="31"/>
        <v>250.42240000000001</v>
      </c>
      <c r="S385" s="10">
        <f t="shared" si="32"/>
        <v>375.6336</v>
      </c>
      <c r="T385" s="10">
        <f t="shared" si="33"/>
        <v>375.6336</v>
      </c>
      <c r="U385" s="8" t="str">
        <f t="shared" si="34"/>
        <v>Thu</v>
      </c>
      <c r="V385" s="8" t="str">
        <f t="shared" si="35"/>
        <v>Mon</v>
      </c>
    </row>
    <row r="386" spans="1:22" hidden="1" x14ac:dyDescent="0.25">
      <c r="A386" t="s">
        <v>279</v>
      </c>
      <c r="B386" t="s">
        <v>39</v>
      </c>
      <c r="C386" t="s">
        <v>8</v>
      </c>
      <c r="D386" t="s">
        <v>12</v>
      </c>
      <c r="F386" s="5">
        <v>44181</v>
      </c>
      <c r="G386" s="5">
        <v>44188</v>
      </c>
      <c r="H386" s="2">
        <v>1</v>
      </c>
      <c r="I386" s="6"/>
      <c r="J386" s="6"/>
      <c r="K386" s="7">
        <v>1</v>
      </c>
      <c r="L386" s="7">
        <v>348.7432</v>
      </c>
      <c r="M386" t="s">
        <v>17</v>
      </c>
      <c r="N386" s="9"/>
      <c r="O386" s="8">
        <f t="array" ref="O386">INDEX(TechRate,MATCH(H386,TechNum,0))</f>
        <v>80</v>
      </c>
      <c r="P386" s="10">
        <f>WorkOrders2[[#This Row],[Techs]]*(WorkOrders2[[#This Row],[PartsCost]]*WorkOrders2[[#This Row],[LbrHrs]])</f>
        <v>348.7432</v>
      </c>
      <c r="Q386" s="10">
        <f t="shared" ref="Q386:Q449" si="36">IF(I386="Yes",0,P386)</f>
        <v>348.7432</v>
      </c>
      <c r="R386" s="10">
        <f t="shared" ref="R386:R449" si="37">IF(J386="Yes",0,L386)</f>
        <v>348.7432</v>
      </c>
      <c r="S386" s="10">
        <f t="shared" ref="S386:S449" si="38">SUM(L386,P386)</f>
        <v>697.4864</v>
      </c>
      <c r="T386" s="10">
        <f t="shared" ref="T386:T449" si="39">SUM(Q386,R386)</f>
        <v>697.4864</v>
      </c>
      <c r="U386" s="8" t="str">
        <f t="shared" ref="U386:U449" si="40">TEXT(F386,"ddd")</f>
        <v>Wed</v>
      </c>
      <c r="V386" s="8" t="str">
        <f t="shared" ref="V386:V449" si="41">TEXT(G386,"ddd")</f>
        <v>Wed</v>
      </c>
    </row>
    <row r="387" spans="1:22" hidden="1" x14ac:dyDescent="0.25">
      <c r="A387" t="s">
        <v>301</v>
      </c>
      <c r="B387" t="s">
        <v>39</v>
      </c>
      <c r="C387" t="s">
        <v>44</v>
      </c>
      <c r="D387" t="s">
        <v>11</v>
      </c>
      <c r="F387" s="5">
        <v>44203</v>
      </c>
      <c r="G387" s="5">
        <v>44215</v>
      </c>
      <c r="H387" s="2">
        <v>1</v>
      </c>
      <c r="I387" s="6"/>
      <c r="J387" s="6"/>
      <c r="K387" s="7">
        <v>0.25</v>
      </c>
      <c r="L387" s="7">
        <v>32.6706</v>
      </c>
      <c r="M387" t="s">
        <v>19</v>
      </c>
      <c r="N387" s="9"/>
      <c r="O387" s="8">
        <f t="array" ref="O387">INDEX(TechRate,MATCH(H387,TechNum,0))</f>
        <v>80</v>
      </c>
      <c r="P387" s="10">
        <f>WorkOrders2[[#This Row],[Techs]]*(WorkOrders2[[#This Row],[PartsCost]]*WorkOrders2[[#This Row],[LbrHrs]])</f>
        <v>8.1676500000000001</v>
      </c>
      <c r="Q387" s="10">
        <f t="shared" si="36"/>
        <v>8.1676500000000001</v>
      </c>
      <c r="R387" s="10">
        <f t="shared" si="37"/>
        <v>32.6706</v>
      </c>
      <c r="S387" s="10">
        <f t="shared" si="38"/>
        <v>40.838250000000002</v>
      </c>
      <c r="T387" s="10">
        <f t="shared" si="39"/>
        <v>40.838250000000002</v>
      </c>
      <c r="U387" s="8" t="str">
        <f t="shared" si="40"/>
        <v>Thu</v>
      </c>
      <c r="V387" s="8" t="str">
        <f t="shared" si="41"/>
        <v>Tue</v>
      </c>
    </row>
    <row r="388" spans="1:22" hidden="1" x14ac:dyDescent="0.25">
      <c r="A388" t="s">
        <v>306</v>
      </c>
      <c r="B388" t="s">
        <v>39</v>
      </c>
      <c r="C388" t="s">
        <v>9</v>
      </c>
      <c r="D388" t="s">
        <v>11</v>
      </c>
      <c r="F388" s="5">
        <v>44204</v>
      </c>
      <c r="G388" s="5">
        <v>44212</v>
      </c>
      <c r="H388" s="2">
        <v>1</v>
      </c>
      <c r="I388" s="6"/>
      <c r="J388" s="6"/>
      <c r="K388" s="7">
        <v>0.25</v>
      </c>
      <c r="L388" s="7">
        <v>85.085899999999995</v>
      </c>
      <c r="M388" t="s">
        <v>18</v>
      </c>
      <c r="N388" s="9"/>
      <c r="O388" s="8">
        <f t="array" ref="O388">INDEX(TechRate,MATCH(H388,TechNum,0))</f>
        <v>80</v>
      </c>
      <c r="P388" s="10">
        <f>WorkOrders2[[#This Row],[Techs]]*(WorkOrders2[[#This Row],[PartsCost]]*WorkOrders2[[#This Row],[LbrHrs]])</f>
        <v>21.271474999999999</v>
      </c>
      <c r="Q388" s="10">
        <f t="shared" si="36"/>
        <v>21.271474999999999</v>
      </c>
      <c r="R388" s="10">
        <f t="shared" si="37"/>
        <v>85.085899999999995</v>
      </c>
      <c r="S388" s="10">
        <f t="shared" si="38"/>
        <v>106.35737499999999</v>
      </c>
      <c r="T388" s="10">
        <f t="shared" si="39"/>
        <v>106.35737499999999</v>
      </c>
      <c r="U388" s="8" t="str">
        <f t="shared" si="40"/>
        <v>Fri</v>
      </c>
      <c r="V388" s="8" t="str">
        <f t="shared" si="41"/>
        <v>Sat</v>
      </c>
    </row>
    <row r="389" spans="1:22" hidden="1" x14ac:dyDescent="0.25">
      <c r="A389" t="s">
        <v>309</v>
      </c>
      <c r="B389" t="s">
        <v>39</v>
      </c>
      <c r="C389" t="s">
        <v>9</v>
      </c>
      <c r="D389" t="s">
        <v>1</v>
      </c>
      <c r="F389" s="5">
        <v>44207</v>
      </c>
      <c r="G389" s="5">
        <v>44224</v>
      </c>
      <c r="H389" s="2">
        <v>1</v>
      </c>
      <c r="I389" s="6"/>
      <c r="J389" s="6"/>
      <c r="K389" s="7">
        <v>1.25</v>
      </c>
      <c r="L389" s="7">
        <v>53.688699999999997</v>
      </c>
      <c r="M389" t="s">
        <v>17</v>
      </c>
      <c r="N389" s="9"/>
      <c r="O389" s="8">
        <f t="array" ref="O389">INDEX(TechRate,MATCH(H389,TechNum,0))</f>
        <v>80</v>
      </c>
      <c r="P389" s="10">
        <f>WorkOrders2[[#This Row],[Techs]]*(WorkOrders2[[#This Row],[PartsCost]]*WorkOrders2[[#This Row],[LbrHrs]])</f>
        <v>67.110874999999993</v>
      </c>
      <c r="Q389" s="10">
        <f t="shared" si="36"/>
        <v>67.110874999999993</v>
      </c>
      <c r="R389" s="10">
        <f t="shared" si="37"/>
        <v>53.688699999999997</v>
      </c>
      <c r="S389" s="10">
        <f t="shared" si="38"/>
        <v>120.79957499999999</v>
      </c>
      <c r="T389" s="10">
        <f t="shared" si="39"/>
        <v>120.79957499999999</v>
      </c>
      <c r="U389" s="8" t="str">
        <f t="shared" si="40"/>
        <v>Mon</v>
      </c>
      <c r="V389" s="8" t="str">
        <f t="shared" si="41"/>
        <v>Thu</v>
      </c>
    </row>
    <row r="390" spans="1:22" hidden="1" x14ac:dyDescent="0.25">
      <c r="A390" t="s">
        <v>310</v>
      </c>
      <c r="B390" t="s">
        <v>39</v>
      </c>
      <c r="C390" t="s">
        <v>6</v>
      </c>
      <c r="D390" t="s">
        <v>12</v>
      </c>
      <c r="F390" s="5">
        <v>44207</v>
      </c>
      <c r="G390" s="5">
        <v>44228</v>
      </c>
      <c r="H390" s="2">
        <v>2</v>
      </c>
      <c r="I390" s="6"/>
      <c r="J390" s="6"/>
      <c r="K390" s="7">
        <v>1</v>
      </c>
      <c r="L390" s="7">
        <v>211.8477</v>
      </c>
      <c r="M390" t="s">
        <v>18</v>
      </c>
      <c r="N390" s="9"/>
      <c r="O390" s="8">
        <f t="array" ref="O390">INDEX(TechRate,MATCH(H390,TechNum,0))</f>
        <v>140</v>
      </c>
      <c r="P390" s="10">
        <f>WorkOrders2[[#This Row],[Techs]]*(WorkOrders2[[#This Row],[PartsCost]]*WorkOrders2[[#This Row],[LbrHrs]])</f>
        <v>423.69540000000001</v>
      </c>
      <c r="Q390" s="10">
        <f t="shared" si="36"/>
        <v>423.69540000000001</v>
      </c>
      <c r="R390" s="10">
        <f t="shared" si="37"/>
        <v>211.8477</v>
      </c>
      <c r="S390" s="10">
        <f t="shared" si="38"/>
        <v>635.54309999999998</v>
      </c>
      <c r="T390" s="10">
        <f t="shared" si="39"/>
        <v>635.54309999999998</v>
      </c>
      <c r="U390" s="8" t="str">
        <f t="shared" si="40"/>
        <v>Mon</v>
      </c>
      <c r="V390" s="8" t="str">
        <f t="shared" si="41"/>
        <v>Mon</v>
      </c>
    </row>
    <row r="391" spans="1:22" hidden="1" x14ac:dyDescent="0.25">
      <c r="A391" t="s">
        <v>317</v>
      </c>
      <c r="B391" t="s">
        <v>39</v>
      </c>
      <c r="C391" t="s">
        <v>44</v>
      </c>
      <c r="D391" t="s">
        <v>12</v>
      </c>
      <c r="F391" s="5">
        <v>44210</v>
      </c>
      <c r="G391" s="5">
        <v>44221</v>
      </c>
      <c r="H391" s="2">
        <v>1</v>
      </c>
      <c r="I391" s="6"/>
      <c r="J391" s="6"/>
      <c r="K391" s="7">
        <v>0.25</v>
      </c>
      <c r="L391" s="7">
        <v>70.8215</v>
      </c>
      <c r="M391" t="s">
        <v>18</v>
      </c>
      <c r="N391" s="9"/>
      <c r="O391" s="8">
        <f t="array" ref="O391">INDEX(TechRate,MATCH(H391,TechNum,0))</f>
        <v>80</v>
      </c>
      <c r="P391" s="10">
        <f>WorkOrders2[[#This Row],[Techs]]*(WorkOrders2[[#This Row],[PartsCost]]*WorkOrders2[[#This Row],[LbrHrs]])</f>
        <v>17.705375</v>
      </c>
      <c r="Q391" s="10">
        <f t="shared" si="36"/>
        <v>17.705375</v>
      </c>
      <c r="R391" s="10">
        <f t="shared" si="37"/>
        <v>70.8215</v>
      </c>
      <c r="S391" s="10">
        <f t="shared" si="38"/>
        <v>88.526875000000004</v>
      </c>
      <c r="T391" s="10">
        <f t="shared" si="39"/>
        <v>88.526875000000004</v>
      </c>
      <c r="U391" s="8" t="str">
        <f t="shared" si="40"/>
        <v>Thu</v>
      </c>
      <c r="V391" s="8" t="str">
        <f t="shared" si="41"/>
        <v>Mon</v>
      </c>
    </row>
    <row r="392" spans="1:22" hidden="1" x14ac:dyDescent="0.25">
      <c r="A392" t="s">
        <v>323</v>
      </c>
      <c r="B392" t="s">
        <v>39</v>
      </c>
      <c r="C392" t="s">
        <v>44</v>
      </c>
      <c r="D392" t="s">
        <v>12</v>
      </c>
      <c r="F392" s="5">
        <v>44214</v>
      </c>
      <c r="G392" s="5">
        <v>44221</v>
      </c>
      <c r="H392" s="2">
        <v>1</v>
      </c>
      <c r="I392" s="6"/>
      <c r="J392" s="6"/>
      <c r="K392" s="7">
        <v>0.25</v>
      </c>
      <c r="L392" s="7">
        <v>72.350099999999998</v>
      </c>
      <c r="M392" t="s">
        <v>18</v>
      </c>
      <c r="N392" s="9"/>
      <c r="O392" s="8">
        <f t="array" ref="O392">INDEX(TechRate,MATCH(H392,TechNum,0))</f>
        <v>80</v>
      </c>
      <c r="P392" s="10">
        <f>WorkOrders2[[#This Row],[Techs]]*(WorkOrders2[[#This Row],[PartsCost]]*WorkOrders2[[#This Row],[LbrHrs]])</f>
        <v>18.087524999999999</v>
      </c>
      <c r="Q392" s="10">
        <f t="shared" si="36"/>
        <v>18.087524999999999</v>
      </c>
      <c r="R392" s="10">
        <f t="shared" si="37"/>
        <v>72.350099999999998</v>
      </c>
      <c r="S392" s="10">
        <f t="shared" si="38"/>
        <v>90.437624999999997</v>
      </c>
      <c r="T392" s="10">
        <f t="shared" si="39"/>
        <v>90.437624999999997</v>
      </c>
      <c r="U392" s="8" t="str">
        <f t="shared" si="40"/>
        <v>Mon</v>
      </c>
      <c r="V392" s="8" t="str">
        <f t="shared" si="41"/>
        <v>Mon</v>
      </c>
    </row>
    <row r="393" spans="1:22" hidden="1" x14ac:dyDescent="0.25">
      <c r="A393" t="s">
        <v>336</v>
      </c>
      <c r="B393" t="s">
        <v>39</v>
      </c>
      <c r="C393" t="s">
        <v>9</v>
      </c>
      <c r="D393" t="s">
        <v>13</v>
      </c>
      <c r="F393" s="5">
        <v>44221</v>
      </c>
      <c r="G393" s="5">
        <v>44236</v>
      </c>
      <c r="H393" s="2">
        <v>1</v>
      </c>
      <c r="I393" s="6"/>
      <c r="J393" s="6"/>
      <c r="K393" s="7">
        <v>0.5</v>
      </c>
      <c r="L393" s="7">
        <v>52.350099999999998</v>
      </c>
      <c r="M393" t="s">
        <v>18</v>
      </c>
      <c r="N393" s="9"/>
      <c r="O393" s="8">
        <f t="array" ref="O393">INDEX(TechRate,MATCH(H393,TechNum,0))</f>
        <v>80</v>
      </c>
      <c r="P393" s="10">
        <f>WorkOrders2[[#This Row],[Techs]]*(WorkOrders2[[#This Row],[PartsCost]]*WorkOrders2[[#This Row],[LbrHrs]])</f>
        <v>26.175049999999999</v>
      </c>
      <c r="Q393" s="10">
        <f t="shared" si="36"/>
        <v>26.175049999999999</v>
      </c>
      <c r="R393" s="10">
        <f t="shared" si="37"/>
        <v>52.350099999999998</v>
      </c>
      <c r="S393" s="10">
        <f t="shared" si="38"/>
        <v>78.525149999999996</v>
      </c>
      <c r="T393" s="10">
        <f t="shared" si="39"/>
        <v>78.525149999999996</v>
      </c>
      <c r="U393" s="8" t="str">
        <f t="shared" si="40"/>
        <v>Mon</v>
      </c>
      <c r="V393" s="8" t="str">
        <f t="shared" si="41"/>
        <v>Tue</v>
      </c>
    </row>
    <row r="394" spans="1:22" hidden="1" x14ac:dyDescent="0.25">
      <c r="A394" t="s">
        <v>341</v>
      </c>
      <c r="B394" t="s">
        <v>39</v>
      </c>
      <c r="C394" t="s">
        <v>8</v>
      </c>
      <c r="D394" t="s">
        <v>12</v>
      </c>
      <c r="F394" s="5">
        <v>44224</v>
      </c>
      <c r="G394" s="5">
        <v>44235</v>
      </c>
      <c r="H394" s="2">
        <v>1</v>
      </c>
      <c r="I394" s="6"/>
      <c r="J394" s="6"/>
      <c r="K394" s="7">
        <v>1</v>
      </c>
      <c r="L394" s="7">
        <v>60</v>
      </c>
      <c r="M394" t="s">
        <v>18</v>
      </c>
      <c r="N394" s="9"/>
      <c r="O394" s="8">
        <f t="array" ref="O394">INDEX(TechRate,MATCH(H394,TechNum,0))</f>
        <v>80</v>
      </c>
      <c r="P394" s="10">
        <f>WorkOrders2[[#This Row],[Techs]]*(WorkOrders2[[#This Row],[PartsCost]]*WorkOrders2[[#This Row],[LbrHrs]])</f>
        <v>60</v>
      </c>
      <c r="Q394" s="10">
        <f t="shared" si="36"/>
        <v>60</v>
      </c>
      <c r="R394" s="10">
        <f t="shared" si="37"/>
        <v>60</v>
      </c>
      <c r="S394" s="10">
        <f t="shared" si="38"/>
        <v>120</v>
      </c>
      <c r="T394" s="10">
        <f t="shared" si="39"/>
        <v>120</v>
      </c>
      <c r="U394" s="8" t="str">
        <f t="shared" si="40"/>
        <v>Thu</v>
      </c>
      <c r="V394" s="8" t="str">
        <f t="shared" si="41"/>
        <v>Mon</v>
      </c>
    </row>
    <row r="395" spans="1:22" hidden="1" x14ac:dyDescent="0.25">
      <c r="A395" t="s">
        <v>358</v>
      </c>
      <c r="B395" t="s">
        <v>39</v>
      </c>
      <c r="C395" t="s">
        <v>9</v>
      </c>
      <c r="D395" t="s">
        <v>11</v>
      </c>
      <c r="F395" s="5">
        <v>44229</v>
      </c>
      <c r="G395" s="5">
        <v>44273</v>
      </c>
      <c r="H395" s="2">
        <v>1</v>
      </c>
      <c r="I395" s="6"/>
      <c r="J395" s="6"/>
      <c r="K395" s="7">
        <v>0.25</v>
      </c>
      <c r="L395" s="7">
        <v>88.624799999999993</v>
      </c>
      <c r="M395" t="s">
        <v>17</v>
      </c>
      <c r="N395" s="9"/>
      <c r="O395" s="8">
        <f t="array" ref="O395">INDEX(TechRate,MATCH(H395,TechNum,0))</f>
        <v>80</v>
      </c>
      <c r="P395" s="10">
        <f>WorkOrders2[[#This Row],[Techs]]*(WorkOrders2[[#This Row],[PartsCost]]*WorkOrders2[[#This Row],[LbrHrs]])</f>
        <v>22.156199999999998</v>
      </c>
      <c r="Q395" s="10">
        <f t="shared" si="36"/>
        <v>22.156199999999998</v>
      </c>
      <c r="R395" s="10">
        <f t="shared" si="37"/>
        <v>88.624799999999993</v>
      </c>
      <c r="S395" s="10">
        <f t="shared" si="38"/>
        <v>110.78099999999999</v>
      </c>
      <c r="T395" s="10">
        <f t="shared" si="39"/>
        <v>110.78099999999999</v>
      </c>
      <c r="U395" s="8" t="str">
        <f t="shared" si="40"/>
        <v>Tue</v>
      </c>
      <c r="V395" s="8" t="str">
        <f t="shared" si="41"/>
        <v>Thu</v>
      </c>
    </row>
    <row r="396" spans="1:22" hidden="1" x14ac:dyDescent="0.25">
      <c r="A396" t="s">
        <v>364</v>
      </c>
      <c r="B396" t="s">
        <v>39</v>
      </c>
      <c r="C396" t="s">
        <v>8</v>
      </c>
      <c r="D396" t="s">
        <v>12</v>
      </c>
      <c r="F396" s="5">
        <v>44231</v>
      </c>
      <c r="G396" s="5">
        <v>44264</v>
      </c>
      <c r="H396" s="2">
        <v>1</v>
      </c>
      <c r="I396" s="6"/>
      <c r="J396" s="6"/>
      <c r="K396" s="7">
        <v>0.5</v>
      </c>
      <c r="L396" s="7">
        <v>25.339500000000001</v>
      </c>
      <c r="M396" t="s">
        <v>18</v>
      </c>
      <c r="N396" s="9"/>
      <c r="O396" s="8">
        <f t="array" ref="O396">INDEX(TechRate,MATCH(H396,TechNum,0))</f>
        <v>80</v>
      </c>
      <c r="P396" s="10">
        <f>WorkOrders2[[#This Row],[Techs]]*(WorkOrders2[[#This Row],[PartsCost]]*WorkOrders2[[#This Row],[LbrHrs]])</f>
        <v>12.669750000000001</v>
      </c>
      <c r="Q396" s="10">
        <f t="shared" si="36"/>
        <v>12.669750000000001</v>
      </c>
      <c r="R396" s="10">
        <f t="shared" si="37"/>
        <v>25.339500000000001</v>
      </c>
      <c r="S396" s="10">
        <f t="shared" si="38"/>
        <v>38.009250000000002</v>
      </c>
      <c r="T396" s="10">
        <f t="shared" si="39"/>
        <v>38.009250000000002</v>
      </c>
      <c r="U396" s="8" t="str">
        <f t="shared" si="40"/>
        <v>Thu</v>
      </c>
      <c r="V396" s="8" t="str">
        <f t="shared" si="41"/>
        <v>Tue</v>
      </c>
    </row>
    <row r="397" spans="1:22" hidden="1" x14ac:dyDescent="0.25">
      <c r="A397" t="s">
        <v>366</v>
      </c>
      <c r="B397" t="s">
        <v>39</v>
      </c>
      <c r="C397" t="s">
        <v>9</v>
      </c>
      <c r="D397" t="s">
        <v>12</v>
      </c>
      <c r="E397" t="s">
        <v>3</v>
      </c>
      <c r="F397" s="5">
        <v>44232</v>
      </c>
      <c r="G397" s="5">
        <v>44268</v>
      </c>
      <c r="H397" s="2">
        <v>1</v>
      </c>
      <c r="I397" s="6"/>
      <c r="J397" s="6"/>
      <c r="K397" s="7">
        <v>0.5</v>
      </c>
      <c r="L397" s="7">
        <v>31.807600000000001</v>
      </c>
      <c r="M397" t="s">
        <v>17</v>
      </c>
      <c r="N397" s="9"/>
      <c r="O397" s="8">
        <f t="array" ref="O397">INDEX(TechRate,MATCH(H397,TechNum,0))</f>
        <v>80</v>
      </c>
      <c r="P397" s="10">
        <f>WorkOrders2[[#This Row],[Techs]]*(WorkOrders2[[#This Row],[PartsCost]]*WorkOrders2[[#This Row],[LbrHrs]])</f>
        <v>15.9038</v>
      </c>
      <c r="Q397" s="10">
        <f t="shared" si="36"/>
        <v>15.9038</v>
      </c>
      <c r="R397" s="10">
        <f t="shared" si="37"/>
        <v>31.807600000000001</v>
      </c>
      <c r="S397" s="10">
        <f t="shared" si="38"/>
        <v>47.711399999999998</v>
      </c>
      <c r="T397" s="10">
        <f t="shared" si="39"/>
        <v>47.711399999999998</v>
      </c>
      <c r="U397" s="8" t="str">
        <f t="shared" si="40"/>
        <v>Fri</v>
      </c>
      <c r="V397" s="8" t="str">
        <f t="shared" si="41"/>
        <v>Sat</v>
      </c>
    </row>
    <row r="398" spans="1:22" hidden="1" x14ac:dyDescent="0.25">
      <c r="A398" t="s">
        <v>379</v>
      </c>
      <c r="B398" t="s">
        <v>39</v>
      </c>
      <c r="C398" t="s">
        <v>9</v>
      </c>
      <c r="D398" t="s">
        <v>12</v>
      </c>
      <c r="F398" s="5">
        <v>44237</v>
      </c>
      <c r="G398" s="5">
        <v>44249</v>
      </c>
      <c r="H398" s="2">
        <v>1</v>
      </c>
      <c r="I398" s="6" t="s">
        <v>3</v>
      </c>
      <c r="J398" s="6" t="s">
        <v>3</v>
      </c>
      <c r="K398" s="7">
        <v>0.25</v>
      </c>
      <c r="L398" s="7">
        <v>78</v>
      </c>
      <c r="M398" t="s">
        <v>20</v>
      </c>
      <c r="N398" s="9"/>
      <c r="O398" s="8">
        <f t="array" ref="O398">INDEX(TechRate,MATCH(H398,TechNum,0))</f>
        <v>80</v>
      </c>
      <c r="P398" s="10">
        <f>WorkOrders2[[#This Row],[Techs]]*(WorkOrders2[[#This Row],[PartsCost]]*WorkOrders2[[#This Row],[LbrHrs]])</f>
        <v>19.5</v>
      </c>
      <c r="Q398" s="10">
        <f t="shared" si="36"/>
        <v>0</v>
      </c>
      <c r="R398" s="10">
        <f t="shared" si="37"/>
        <v>0</v>
      </c>
      <c r="S398" s="10">
        <f t="shared" si="38"/>
        <v>97.5</v>
      </c>
      <c r="T398" s="10">
        <f t="shared" si="39"/>
        <v>0</v>
      </c>
      <c r="U398" s="8" t="str">
        <f t="shared" si="40"/>
        <v>Wed</v>
      </c>
      <c r="V398" s="8" t="str">
        <f t="shared" si="41"/>
        <v>Mon</v>
      </c>
    </row>
    <row r="399" spans="1:22" x14ac:dyDescent="0.25">
      <c r="A399" t="s">
        <v>383</v>
      </c>
      <c r="B399" t="s">
        <v>39</v>
      </c>
      <c r="C399" t="s">
        <v>8</v>
      </c>
      <c r="D399" t="s">
        <v>2</v>
      </c>
      <c r="F399" s="5">
        <v>44240</v>
      </c>
      <c r="G399" s="5">
        <v>44294</v>
      </c>
      <c r="H399" s="2">
        <v>1</v>
      </c>
      <c r="I399" s="6"/>
      <c r="J399" s="6"/>
      <c r="K399" s="7">
        <v>1</v>
      </c>
      <c r="L399" s="7">
        <v>19.196999999999999</v>
      </c>
      <c r="M399" t="s">
        <v>17</v>
      </c>
      <c r="N399" s="9"/>
      <c r="O399" s="8">
        <f t="array" ref="O399">INDEX(TechRate,MATCH(H399,TechNum,0))</f>
        <v>80</v>
      </c>
      <c r="P399" s="10">
        <f>WorkOrders2[[#This Row],[Techs]]*(WorkOrders2[[#This Row],[PartsCost]]*WorkOrders2[[#This Row],[LbrHrs]])</f>
        <v>19.196999999999999</v>
      </c>
      <c r="Q399" s="10">
        <f t="shared" si="36"/>
        <v>19.196999999999999</v>
      </c>
      <c r="R399" s="10">
        <f t="shared" si="37"/>
        <v>19.196999999999999</v>
      </c>
      <c r="S399" s="10">
        <f t="shared" si="38"/>
        <v>38.393999999999998</v>
      </c>
      <c r="T399" s="10">
        <f t="shared" si="39"/>
        <v>38.393999999999998</v>
      </c>
      <c r="U399" s="8" t="str">
        <f t="shared" si="40"/>
        <v>Sat</v>
      </c>
      <c r="V399" s="8" t="str">
        <f t="shared" si="41"/>
        <v>Thu</v>
      </c>
    </row>
    <row r="400" spans="1:22" hidden="1" x14ac:dyDescent="0.25">
      <c r="A400" t="s">
        <v>390</v>
      </c>
      <c r="B400" t="s">
        <v>39</v>
      </c>
      <c r="C400" t="s">
        <v>9</v>
      </c>
      <c r="D400" t="s">
        <v>12</v>
      </c>
      <c r="F400" s="5">
        <v>44244</v>
      </c>
      <c r="G400" s="5">
        <v>44249</v>
      </c>
      <c r="H400" s="2">
        <v>1</v>
      </c>
      <c r="I400" s="6"/>
      <c r="J400" s="6"/>
      <c r="K400" s="7">
        <v>0.75</v>
      </c>
      <c r="L400" s="7">
        <v>137.13</v>
      </c>
      <c r="M400" t="s">
        <v>17</v>
      </c>
      <c r="N400" s="9"/>
      <c r="O400" s="8">
        <f t="array" ref="O400">INDEX(TechRate,MATCH(H400,TechNum,0))</f>
        <v>80</v>
      </c>
      <c r="P400" s="10">
        <f>WorkOrders2[[#This Row],[Techs]]*(WorkOrders2[[#This Row],[PartsCost]]*WorkOrders2[[#This Row],[LbrHrs]])</f>
        <v>102.8475</v>
      </c>
      <c r="Q400" s="10">
        <f t="shared" si="36"/>
        <v>102.8475</v>
      </c>
      <c r="R400" s="10">
        <f t="shared" si="37"/>
        <v>137.13</v>
      </c>
      <c r="S400" s="10">
        <f t="shared" si="38"/>
        <v>239.97749999999999</v>
      </c>
      <c r="T400" s="10">
        <f t="shared" si="39"/>
        <v>239.97749999999999</v>
      </c>
      <c r="U400" s="8" t="str">
        <f t="shared" si="40"/>
        <v>Wed</v>
      </c>
      <c r="V400" s="8" t="str">
        <f t="shared" si="41"/>
        <v>Mon</v>
      </c>
    </row>
    <row r="401" spans="1:22" hidden="1" x14ac:dyDescent="0.25">
      <c r="A401" t="s">
        <v>398</v>
      </c>
      <c r="B401" t="s">
        <v>39</v>
      </c>
      <c r="C401" t="s">
        <v>9</v>
      </c>
      <c r="D401" t="s">
        <v>12</v>
      </c>
      <c r="F401" s="5">
        <v>44246</v>
      </c>
      <c r="G401" s="5">
        <v>44264</v>
      </c>
      <c r="H401" s="2">
        <v>2</v>
      </c>
      <c r="I401" s="6"/>
      <c r="J401" s="6"/>
      <c r="K401" s="7">
        <v>0.5</v>
      </c>
      <c r="L401" s="7">
        <v>31.807600000000001</v>
      </c>
      <c r="M401" t="s">
        <v>17</v>
      </c>
      <c r="N401" s="9"/>
      <c r="O401" s="8">
        <f t="array" ref="O401">INDEX(TechRate,MATCH(H401,TechNum,0))</f>
        <v>140</v>
      </c>
      <c r="P401" s="10">
        <f>WorkOrders2[[#This Row],[Techs]]*(WorkOrders2[[#This Row],[PartsCost]]*WorkOrders2[[#This Row],[LbrHrs]])</f>
        <v>31.807600000000001</v>
      </c>
      <c r="Q401" s="10">
        <f t="shared" si="36"/>
        <v>31.807600000000001</v>
      </c>
      <c r="R401" s="10">
        <f t="shared" si="37"/>
        <v>31.807600000000001</v>
      </c>
      <c r="S401" s="10">
        <f t="shared" si="38"/>
        <v>63.615200000000002</v>
      </c>
      <c r="T401" s="10">
        <f t="shared" si="39"/>
        <v>63.615200000000002</v>
      </c>
      <c r="U401" s="8" t="str">
        <f t="shared" si="40"/>
        <v>Fri</v>
      </c>
      <c r="V401" s="8" t="str">
        <f t="shared" si="41"/>
        <v>Tue</v>
      </c>
    </row>
    <row r="402" spans="1:22" hidden="1" x14ac:dyDescent="0.25">
      <c r="A402" t="s">
        <v>420</v>
      </c>
      <c r="B402" t="s">
        <v>39</v>
      </c>
      <c r="C402" t="s">
        <v>44</v>
      </c>
      <c r="D402" t="s">
        <v>11</v>
      </c>
      <c r="F402" s="5">
        <v>44257</v>
      </c>
      <c r="G402" s="5">
        <v>44271</v>
      </c>
      <c r="H402" s="2">
        <v>1</v>
      </c>
      <c r="I402" s="6"/>
      <c r="J402" s="6"/>
      <c r="K402" s="7">
        <v>0.25</v>
      </c>
      <c r="L402" s="7">
        <v>73.508899999999997</v>
      </c>
      <c r="M402" t="s">
        <v>19</v>
      </c>
      <c r="N402" s="9"/>
      <c r="O402" s="8">
        <f t="array" ref="O402">INDEX(TechRate,MATCH(H402,TechNum,0))</f>
        <v>80</v>
      </c>
      <c r="P402" s="10">
        <f>WorkOrders2[[#This Row],[Techs]]*(WorkOrders2[[#This Row],[PartsCost]]*WorkOrders2[[#This Row],[LbrHrs]])</f>
        <v>18.377224999999999</v>
      </c>
      <c r="Q402" s="10">
        <f t="shared" si="36"/>
        <v>18.377224999999999</v>
      </c>
      <c r="R402" s="10">
        <f t="shared" si="37"/>
        <v>73.508899999999997</v>
      </c>
      <c r="S402" s="10">
        <f t="shared" si="38"/>
        <v>91.886124999999993</v>
      </c>
      <c r="T402" s="10">
        <f t="shared" si="39"/>
        <v>91.886124999999993</v>
      </c>
      <c r="U402" s="8" t="str">
        <f t="shared" si="40"/>
        <v>Tue</v>
      </c>
      <c r="V402" s="8" t="str">
        <f t="shared" si="41"/>
        <v>Tue</v>
      </c>
    </row>
    <row r="403" spans="1:22" hidden="1" x14ac:dyDescent="0.25">
      <c r="A403" t="s">
        <v>422</v>
      </c>
      <c r="B403" t="s">
        <v>39</v>
      </c>
      <c r="C403" t="s">
        <v>9</v>
      </c>
      <c r="D403" t="s">
        <v>1</v>
      </c>
      <c r="F403" s="5">
        <v>44257</v>
      </c>
      <c r="G403" s="5">
        <v>44278</v>
      </c>
      <c r="H403" s="2">
        <v>1</v>
      </c>
      <c r="I403" s="6"/>
      <c r="J403" s="6" t="s">
        <v>3</v>
      </c>
      <c r="K403" s="7">
        <v>2</v>
      </c>
      <c r="L403" s="7">
        <v>94.71</v>
      </c>
      <c r="M403" t="s">
        <v>18</v>
      </c>
      <c r="N403" s="9"/>
      <c r="O403" s="8">
        <f t="array" ref="O403">INDEX(TechRate,MATCH(H403,TechNum,0))</f>
        <v>80</v>
      </c>
      <c r="P403" s="10">
        <f>WorkOrders2[[#This Row],[Techs]]*(WorkOrders2[[#This Row],[PartsCost]]*WorkOrders2[[#This Row],[LbrHrs]])</f>
        <v>189.42</v>
      </c>
      <c r="Q403" s="10">
        <f t="shared" si="36"/>
        <v>189.42</v>
      </c>
      <c r="R403" s="10">
        <f t="shared" si="37"/>
        <v>0</v>
      </c>
      <c r="S403" s="10">
        <f t="shared" si="38"/>
        <v>284.13</v>
      </c>
      <c r="T403" s="10">
        <f t="shared" si="39"/>
        <v>189.42</v>
      </c>
      <c r="U403" s="8" t="str">
        <f t="shared" si="40"/>
        <v>Tue</v>
      </c>
      <c r="V403" s="8" t="str">
        <f t="shared" si="41"/>
        <v>Tue</v>
      </c>
    </row>
    <row r="404" spans="1:22" hidden="1" x14ac:dyDescent="0.25">
      <c r="A404" t="s">
        <v>442</v>
      </c>
      <c r="B404" t="s">
        <v>39</v>
      </c>
      <c r="C404" t="s">
        <v>8</v>
      </c>
      <c r="D404" t="s">
        <v>12</v>
      </c>
      <c r="F404" s="5">
        <v>44265</v>
      </c>
      <c r="G404" s="5">
        <v>44265</v>
      </c>
      <c r="H404" s="2">
        <v>1</v>
      </c>
      <c r="I404" s="6"/>
      <c r="J404" s="6"/>
      <c r="K404" s="7">
        <v>0.5</v>
      </c>
      <c r="L404" s="7">
        <v>10</v>
      </c>
      <c r="M404" t="s">
        <v>17</v>
      </c>
      <c r="N404" s="9"/>
      <c r="O404" s="8">
        <f t="array" ref="O404">INDEX(TechRate,MATCH(H404,TechNum,0))</f>
        <v>80</v>
      </c>
      <c r="P404" s="10">
        <f>WorkOrders2[[#This Row],[Techs]]*(WorkOrders2[[#This Row],[PartsCost]]*WorkOrders2[[#This Row],[LbrHrs]])</f>
        <v>5</v>
      </c>
      <c r="Q404" s="10">
        <f t="shared" si="36"/>
        <v>5</v>
      </c>
      <c r="R404" s="10">
        <f t="shared" si="37"/>
        <v>10</v>
      </c>
      <c r="S404" s="10">
        <f t="shared" si="38"/>
        <v>15</v>
      </c>
      <c r="T404" s="10">
        <f t="shared" si="39"/>
        <v>15</v>
      </c>
      <c r="U404" s="8" t="str">
        <f t="shared" si="40"/>
        <v>Wed</v>
      </c>
      <c r="V404" s="8" t="str">
        <f t="shared" si="41"/>
        <v>Wed</v>
      </c>
    </row>
    <row r="405" spans="1:22" hidden="1" x14ac:dyDescent="0.25">
      <c r="A405" t="s">
        <v>447</v>
      </c>
      <c r="B405" t="s">
        <v>39</v>
      </c>
      <c r="C405" t="s">
        <v>9</v>
      </c>
      <c r="D405" t="s">
        <v>12</v>
      </c>
      <c r="F405" s="5">
        <v>44265</v>
      </c>
      <c r="G405" s="5">
        <v>44279</v>
      </c>
      <c r="H405" s="2">
        <v>2</v>
      </c>
      <c r="I405" s="6"/>
      <c r="J405" s="6" t="s">
        <v>3</v>
      </c>
      <c r="K405" s="7">
        <v>0.5</v>
      </c>
      <c r="L405" s="7">
        <v>411.09530000000001</v>
      </c>
      <c r="M405" t="s">
        <v>18</v>
      </c>
      <c r="N405" s="9"/>
      <c r="O405" s="8">
        <f t="array" ref="O405">INDEX(TechRate,MATCH(H405,TechNum,0))</f>
        <v>140</v>
      </c>
      <c r="P405" s="10">
        <f>WorkOrders2[[#This Row],[Techs]]*(WorkOrders2[[#This Row],[PartsCost]]*WorkOrders2[[#This Row],[LbrHrs]])</f>
        <v>411.09530000000001</v>
      </c>
      <c r="Q405" s="10">
        <f t="shared" si="36"/>
        <v>411.09530000000001</v>
      </c>
      <c r="R405" s="10">
        <f t="shared" si="37"/>
        <v>0</v>
      </c>
      <c r="S405" s="10">
        <f t="shared" si="38"/>
        <v>822.19060000000002</v>
      </c>
      <c r="T405" s="10">
        <f t="shared" si="39"/>
        <v>411.09530000000001</v>
      </c>
      <c r="U405" s="8" t="str">
        <f t="shared" si="40"/>
        <v>Wed</v>
      </c>
      <c r="V405" s="8" t="str">
        <f t="shared" si="41"/>
        <v>Wed</v>
      </c>
    </row>
    <row r="406" spans="1:22" x14ac:dyDescent="0.25">
      <c r="A406" t="s">
        <v>449</v>
      </c>
      <c r="B406" t="s">
        <v>39</v>
      </c>
      <c r="C406" t="s">
        <v>9</v>
      </c>
      <c r="D406" t="s">
        <v>2</v>
      </c>
      <c r="F406" s="5">
        <v>44265</v>
      </c>
      <c r="G406" s="5">
        <v>44306</v>
      </c>
      <c r="H406" s="2">
        <v>1</v>
      </c>
      <c r="I406" s="6"/>
      <c r="J406" s="6" t="s">
        <v>3</v>
      </c>
      <c r="K406" s="7">
        <v>1.75</v>
      </c>
      <c r="L406" s="7">
        <v>98.547600000000003</v>
      </c>
      <c r="M406" t="s">
        <v>18</v>
      </c>
      <c r="N406" s="9"/>
      <c r="O406" s="8">
        <f t="array" ref="O406">INDEX(TechRate,MATCH(H406,TechNum,0))</f>
        <v>80</v>
      </c>
      <c r="P406" s="10">
        <f>WorkOrders2[[#This Row],[Techs]]*(WorkOrders2[[#This Row],[PartsCost]]*WorkOrders2[[#This Row],[LbrHrs]])</f>
        <v>172.45830000000001</v>
      </c>
      <c r="Q406" s="10">
        <f t="shared" si="36"/>
        <v>172.45830000000001</v>
      </c>
      <c r="R406" s="10">
        <f t="shared" si="37"/>
        <v>0</v>
      </c>
      <c r="S406" s="10">
        <f t="shared" si="38"/>
        <v>271.0059</v>
      </c>
      <c r="T406" s="10">
        <f t="shared" si="39"/>
        <v>172.45830000000001</v>
      </c>
      <c r="U406" s="8" t="str">
        <f t="shared" si="40"/>
        <v>Wed</v>
      </c>
      <c r="V406" s="8" t="str">
        <f t="shared" si="41"/>
        <v>Tue</v>
      </c>
    </row>
    <row r="407" spans="1:22" hidden="1" x14ac:dyDescent="0.25">
      <c r="A407" t="s">
        <v>451</v>
      </c>
      <c r="B407" t="s">
        <v>39</v>
      </c>
      <c r="C407" t="s">
        <v>9</v>
      </c>
      <c r="D407" t="s">
        <v>13</v>
      </c>
      <c r="F407" s="5">
        <v>44266</v>
      </c>
      <c r="G407" s="5">
        <v>44266</v>
      </c>
      <c r="H407" s="2">
        <v>2</v>
      </c>
      <c r="I407" s="6"/>
      <c r="J407" s="6"/>
      <c r="K407" s="7">
        <v>0.75</v>
      </c>
      <c r="L407" s="7">
        <v>125.7273</v>
      </c>
      <c r="M407" t="s">
        <v>17</v>
      </c>
      <c r="N407" s="9"/>
      <c r="O407" s="8">
        <f t="array" ref="O407">INDEX(TechRate,MATCH(H407,TechNum,0))</f>
        <v>140</v>
      </c>
      <c r="P407" s="10">
        <f>WorkOrders2[[#This Row],[Techs]]*(WorkOrders2[[#This Row],[PartsCost]]*WorkOrders2[[#This Row],[LbrHrs]])</f>
        <v>188.59094999999999</v>
      </c>
      <c r="Q407" s="10">
        <f t="shared" si="36"/>
        <v>188.59094999999999</v>
      </c>
      <c r="R407" s="10">
        <f t="shared" si="37"/>
        <v>125.7273</v>
      </c>
      <c r="S407" s="10">
        <f t="shared" si="38"/>
        <v>314.31824999999998</v>
      </c>
      <c r="T407" s="10">
        <f t="shared" si="39"/>
        <v>314.31824999999998</v>
      </c>
      <c r="U407" s="8" t="str">
        <f t="shared" si="40"/>
        <v>Thu</v>
      </c>
      <c r="V407" s="8" t="str">
        <f t="shared" si="41"/>
        <v>Thu</v>
      </c>
    </row>
    <row r="408" spans="1:22" hidden="1" x14ac:dyDescent="0.25">
      <c r="A408" t="s">
        <v>464</v>
      </c>
      <c r="B408" t="s">
        <v>39</v>
      </c>
      <c r="C408" t="s">
        <v>44</v>
      </c>
      <c r="D408" t="s">
        <v>12</v>
      </c>
      <c r="E408" t="s">
        <v>3</v>
      </c>
      <c r="F408" s="5">
        <v>44271</v>
      </c>
      <c r="G408" s="5">
        <v>44280</v>
      </c>
      <c r="H408" s="2">
        <v>1</v>
      </c>
      <c r="I408" s="6"/>
      <c r="J408" s="6"/>
      <c r="K408" s="7">
        <v>0.25</v>
      </c>
      <c r="L408" s="7">
        <v>134.84690000000001</v>
      </c>
      <c r="M408" t="s">
        <v>18</v>
      </c>
      <c r="N408" s="9"/>
      <c r="O408" s="8">
        <f t="array" ref="O408">INDEX(TechRate,MATCH(H408,TechNum,0))</f>
        <v>80</v>
      </c>
      <c r="P408" s="10">
        <f>WorkOrders2[[#This Row],[Techs]]*(WorkOrders2[[#This Row],[PartsCost]]*WorkOrders2[[#This Row],[LbrHrs]])</f>
        <v>33.711725000000001</v>
      </c>
      <c r="Q408" s="10">
        <f t="shared" si="36"/>
        <v>33.711725000000001</v>
      </c>
      <c r="R408" s="10">
        <f t="shared" si="37"/>
        <v>134.84690000000001</v>
      </c>
      <c r="S408" s="10">
        <f t="shared" si="38"/>
        <v>168.55862500000001</v>
      </c>
      <c r="T408" s="10">
        <f t="shared" si="39"/>
        <v>168.55862500000001</v>
      </c>
      <c r="U408" s="8" t="str">
        <f t="shared" si="40"/>
        <v>Tue</v>
      </c>
      <c r="V408" s="8" t="str">
        <f t="shared" si="41"/>
        <v>Thu</v>
      </c>
    </row>
    <row r="409" spans="1:22" hidden="1" x14ac:dyDescent="0.25">
      <c r="A409" t="s">
        <v>470</v>
      </c>
      <c r="B409" t="s">
        <v>39</v>
      </c>
      <c r="C409" t="s">
        <v>8</v>
      </c>
      <c r="D409" t="s">
        <v>12</v>
      </c>
      <c r="F409" s="5">
        <v>44271</v>
      </c>
      <c r="G409" s="5">
        <v>44322</v>
      </c>
      <c r="H409" s="2">
        <v>1</v>
      </c>
      <c r="I409" s="6"/>
      <c r="J409" s="6"/>
      <c r="K409" s="7">
        <v>0.25</v>
      </c>
      <c r="L409" s="7">
        <v>72.061000000000007</v>
      </c>
      <c r="M409" t="s">
        <v>18</v>
      </c>
      <c r="N409" s="9"/>
      <c r="O409" s="8">
        <f t="array" ref="O409">INDEX(TechRate,MATCH(H409,TechNum,0))</f>
        <v>80</v>
      </c>
      <c r="P409" s="10">
        <f>WorkOrders2[[#This Row],[Techs]]*(WorkOrders2[[#This Row],[PartsCost]]*WorkOrders2[[#This Row],[LbrHrs]])</f>
        <v>18.015250000000002</v>
      </c>
      <c r="Q409" s="10">
        <f t="shared" si="36"/>
        <v>18.015250000000002</v>
      </c>
      <c r="R409" s="10">
        <f t="shared" si="37"/>
        <v>72.061000000000007</v>
      </c>
      <c r="S409" s="10">
        <f t="shared" si="38"/>
        <v>90.076250000000016</v>
      </c>
      <c r="T409" s="10">
        <f t="shared" si="39"/>
        <v>90.076250000000016</v>
      </c>
      <c r="U409" s="8" t="str">
        <f t="shared" si="40"/>
        <v>Tue</v>
      </c>
      <c r="V409" s="8" t="str">
        <f t="shared" si="41"/>
        <v>Thu</v>
      </c>
    </row>
    <row r="410" spans="1:22" hidden="1" x14ac:dyDescent="0.25">
      <c r="A410" t="s">
        <v>479</v>
      </c>
      <c r="B410" t="s">
        <v>39</v>
      </c>
      <c r="C410" t="s">
        <v>8</v>
      </c>
      <c r="D410" t="s">
        <v>12</v>
      </c>
      <c r="F410" s="5">
        <v>44277</v>
      </c>
      <c r="G410" s="5">
        <v>44308</v>
      </c>
      <c r="H410" s="2">
        <v>1</v>
      </c>
      <c r="I410" s="6" t="s">
        <v>3</v>
      </c>
      <c r="J410" s="6" t="s">
        <v>3</v>
      </c>
      <c r="K410" s="7">
        <v>0.25</v>
      </c>
      <c r="L410" s="7">
        <v>65.428799999999995</v>
      </c>
      <c r="M410" t="s">
        <v>20</v>
      </c>
      <c r="N410" s="9"/>
      <c r="O410" s="8">
        <f t="array" ref="O410">INDEX(TechRate,MATCH(H410,TechNum,0))</f>
        <v>80</v>
      </c>
      <c r="P410" s="10">
        <f>WorkOrders2[[#This Row],[Techs]]*(WorkOrders2[[#This Row],[PartsCost]]*WorkOrders2[[#This Row],[LbrHrs]])</f>
        <v>16.357199999999999</v>
      </c>
      <c r="Q410" s="10">
        <f t="shared" si="36"/>
        <v>0</v>
      </c>
      <c r="R410" s="10">
        <f t="shared" si="37"/>
        <v>0</v>
      </c>
      <c r="S410" s="10">
        <f t="shared" si="38"/>
        <v>81.786000000000001</v>
      </c>
      <c r="T410" s="10">
        <f t="shared" si="39"/>
        <v>0</v>
      </c>
      <c r="U410" s="8" t="str">
        <f t="shared" si="40"/>
        <v>Mon</v>
      </c>
      <c r="V410" s="8" t="str">
        <f t="shared" si="41"/>
        <v>Thu</v>
      </c>
    </row>
    <row r="411" spans="1:22" hidden="1" x14ac:dyDescent="0.25">
      <c r="A411" t="s">
        <v>485</v>
      </c>
      <c r="B411" t="s">
        <v>39</v>
      </c>
      <c r="C411" t="s">
        <v>44</v>
      </c>
      <c r="D411" t="s">
        <v>13</v>
      </c>
      <c r="F411" s="5">
        <v>44278</v>
      </c>
      <c r="G411" s="5">
        <v>44296</v>
      </c>
      <c r="H411" s="2">
        <v>1</v>
      </c>
      <c r="I411" s="6"/>
      <c r="J411" s="6" t="s">
        <v>3</v>
      </c>
      <c r="K411" s="7">
        <v>2.75</v>
      </c>
      <c r="L411" s="7">
        <v>534.56600000000003</v>
      </c>
      <c r="M411" t="s">
        <v>18</v>
      </c>
      <c r="N411" s="9"/>
      <c r="O411" s="8">
        <f t="array" ref="O411">INDEX(TechRate,MATCH(H411,TechNum,0))</f>
        <v>80</v>
      </c>
      <c r="P411" s="10">
        <f>WorkOrders2[[#This Row],[Techs]]*(WorkOrders2[[#This Row],[PartsCost]]*WorkOrders2[[#This Row],[LbrHrs]])</f>
        <v>1470.0565000000001</v>
      </c>
      <c r="Q411" s="10">
        <f t="shared" si="36"/>
        <v>1470.0565000000001</v>
      </c>
      <c r="R411" s="10">
        <f t="shared" si="37"/>
        <v>0</v>
      </c>
      <c r="S411" s="10">
        <f t="shared" si="38"/>
        <v>2004.6225000000002</v>
      </c>
      <c r="T411" s="10">
        <f t="shared" si="39"/>
        <v>1470.0565000000001</v>
      </c>
      <c r="U411" s="8" t="str">
        <f t="shared" si="40"/>
        <v>Tue</v>
      </c>
      <c r="V411" s="8" t="str">
        <f t="shared" si="41"/>
        <v>Sat</v>
      </c>
    </row>
    <row r="412" spans="1:22" x14ac:dyDescent="0.25">
      <c r="A412" t="s">
        <v>495</v>
      </c>
      <c r="B412" t="s">
        <v>39</v>
      </c>
      <c r="C412" t="s">
        <v>44</v>
      </c>
      <c r="D412" t="s">
        <v>2</v>
      </c>
      <c r="F412" s="5">
        <v>44284</v>
      </c>
      <c r="G412" s="5">
        <v>44293</v>
      </c>
      <c r="H412" s="2">
        <v>1</v>
      </c>
      <c r="I412" s="6"/>
      <c r="J412" s="6" t="s">
        <v>3</v>
      </c>
      <c r="K412" s="7">
        <v>2</v>
      </c>
      <c r="L412" s="7">
        <v>262.02800000000002</v>
      </c>
      <c r="M412" t="s">
        <v>18</v>
      </c>
      <c r="N412" s="9"/>
      <c r="O412" s="8">
        <f t="array" ref="O412">INDEX(TechRate,MATCH(H412,TechNum,0))</f>
        <v>80</v>
      </c>
      <c r="P412" s="10">
        <f>WorkOrders2[[#This Row],[Techs]]*(WorkOrders2[[#This Row],[PartsCost]]*WorkOrders2[[#This Row],[LbrHrs]])</f>
        <v>524.05600000000004</v>
      </c>
      <c r="Q412" s="10">
        <f t="shared" si="36"/>
        <v>524.05600000000004</v>
      </c>
      <c r="R412" s="10">
        <f t="shared" si="37"/>
        <v>0</v>
      </c>
      <c r="S412" s="10">
        <f t="shared" si="38"/>
        <v>786.08400000000006</v>
      </c>
      <c r="T412" s="10">
        <f t="shared" si="39"/>
        <v>524.05600000000004</v>
      </c>
      <c r="U412" s="8" t="str">
        <f t="shared" si="40"/>
        <v>Mon</v>
      </c>
      <c r="V412" s="8" t="str">
        <f t="shared" si="41"/>
        <v>Wed</v>
      </c>
    </row>
    <row r="413" spans="1:22" hidden="1" x14ac:dyDescent="0.25">
      <c r="A413" t="s">
        <v>496</v>
      </c>
      <c r="B413" t="s">
        <v>39</v>
      </c>
      <c r="C413" t="s">
        <v>8</v>
      </c>
      <c r="D413" t="s">
        <v>1</v>
      </c>
      <c r="F413" s="5">
        <v>44284</v>
      </c>
      <c r="G413" s="5">
        <v>44375</v>
      </c>
      <c r="H413" s="2">
        <v>1</v>
      </c>
      <c r="I413" s="6"/>
      <c r="J413" s="6"/>
      <c r="K413" s="7">
        <v>1.75</v>
      </c>
      <c r="L413" s="7">
        <v>473.60329999999999</v>
      </c>
      <c r="M413" t="s">
        <v>18</v>
      </c>
      <c r="N413" s="9"/>
      <c r="O413" s="8">
        <f t="array" ref="O413">INDEX(TechRate,MATCH(H413,TechNum,0))</f>
        <v>80</v>
      </c>
      <c r="P413" s="10">
        <f>WorkOrders2[[#This Row],[Techs]]*(WorkOrders2[[#This Row],[PartsCost]]*WorkOrders2[[#This Row],[LbrHrs]])</f>
        <v>828.80577500000004</v>
      </c>
      <c r="Q413" s="10">
        <f t="shared" si="36"/>
        <v>828.80577500000004</v>
      </c>
      <c r="R413" s="10">
        <f t="shared" si="37"/>
        <v>473.60329999999999</v>
      </c>
      <c r="S413" s="10">
        <f t="shared" si="38"/>
        <v>1302.409075</v>
      </c>
      <c r="T413" s="10">
        <f t="shared" si="39"/>
        <v>1302.409075</v>
      </c>
      <c r="U413" s="8" t="str">
        <f t="shared" si="40"/>
        <v>Mon</v>
      </c>
      <c r="V413" s="8" t="str">
        <f t="shared" si="41"/>
        <v>Mon</v>
      </c>
    </row>
    <row r="414" spans="1:22" hidden="1" x14ac:dyDescent="0.25">
      <c r="A414" t="s">
        <v>508</v>
      </c>
      <c r="B414" t="s">
        <v>39</v>
      </c>
      <c r="C414" t="s">
        <v>44</v>
      </c>
      <c r="D414" t="s">
        <v>12</v>
      </c>
      <c r="F414" s="5">
        <v>44289</v>
      </c>
      <c r="G414" s="5">
        <v>44313</v>
      </c>
      <c r="H414" s="2">
        <v>1</v>
      </c>
      <c r="I414" s="6"/>
      <c r="J414" s="6"/>
      <c r="K414" s="7">
        <v>0.75</v>
      </c>
      <c r="L414" s="7">
        <v>21.33</v>
      </c>
      <c r="M414" t="s">
        <v>17</v>
      </c>
      <c r="N414" s="9"/>
      <c r="O414" s="8">
        <f t="array" ref="O414">INDEX(TechRate,MATCH(H414,TechNum,0))</f>
        <v>80</v>
      </c>
      <c r="P414" s="10">
        <f>WorkOrders2[[#This Row],[Techs]]*(WorkOrders2[[#This Row],[PartsCost]]*WorkOrders2[[#This Row],[LbrHrs]])</f>
        <v>15.997499999999999</v>
      </c>
      <c r="Q414" s="10">
        <f t="shared" si="36"/>
        <v>15.997499999999999</v>
      </c>
      <c r="R414" s="10">
        <f t="shared" si="37"/>
        <v>21.33</v>
      </c>
      <c r="S414" s="10">
        <f t="shared" si="38"/>
        <v>37.327500000000001</v>
      </c>
      <c r="T414" s="10">
        <f t="shared" si="39"/>
        <v>37.327500000000001</v>
      </c>
      <c r="U414" s="8" t="str">
        <f t="shared" si="40"/>
        <v>Sat</v>
      </c>
      <c r="V414" s="8" t="str">
        <f t="shared" si="41"/>
        <v>Tue</v>
      </c>
    </row>
    <row r="415" spans="1:22" hidden="1" x14ac:dyDescent="0.25">
      <c r="A415" t="s">
        <v>519</v>
      </c>
      <c r="B415" t="s">
        <v>39</v>
      </c>
      <c r="C415" t="s">
        <v>9</v>
      </c>
      <c r="D415" t="s">
        <v>11</v>
      </c>
      <c r="E415" t="s">
        <v>3</v>
      </c>
      <c r="F415" s="5">
        <v>44292</v>
      </c>
      <c r="G415" s="5">
        <v>44336</v>
      </c>
      <c r="H415" s="2">
        <v>1</v>
      </c>
      <c r="I415" s="6"/>
      <c r="J415" s="6"/>
      <c r="K415" s="7">
        <v>0.25</v>
      </c>
      <c r="L415" s="7">
        <v>108.9568</v>
      </c>
      <c r="M415" t="s">
        <v>18</v>
      </c>
      <c r="N415" s="9"/>
      <c r="O415" s="8">
        <f t="array" ref="O415">INDEX(TechRate,MATCH(H415,TechNum,0))</f>
        <v>80</v>
      </c>
      <c r="P415" s="10">
        <f>WorkOrders2[[#This Row],[Techs]]*(WorkOrders2[[#This Row],[PartsCost]]*WorkOrders2[[#This Row],[LbrHrs]])</f>
        <v>27.2392</v>
      </c>
      <c r="Q415" s="10">
        <f t="shared" si="36"/>
        <v>27.2392</v>
      </c>
      <c r="R415" s="10">
        <f t="shared" si="37"/>
        <v>108.9568</v>
      </c>
      <c r="S415" s="10">
        <f t="shared" si="38"/>
        <v>136.196</v>
      </c>
      <c r="T415" s="10">
        <f t="shared" si="39"/>
        <v>136.196</v>
      </c>
      <c r="U415" s="8" t="str">
        <f t="shared" si="40"/>
        <v>Tue</v>
      </c>
      <c r="V415" s="8" t="str">
        <f t="shared" si="41"/>
        <v>Thu</v>
      </c>
    </row>
    <row r="416" spans="1:22" x14ac:dyDescent="0.25">
      <c r="A416" t="s">
        <v>537</v>
      </c>
      <c r="B416" t="s">
        <v>39</v>
      </c>
      <c r="C416" t="s">
        <v>44</v>
      </c>
      <c r="D416" t="s">
        <v>2</v>
      </c>
      <c r="F416" s="5">
        <v>44296</v>
      </c>
      <c r="G416" s="5">
        <v>44326</v>
      </c>
      <c r="H416" s="2">
        <v>1</v>
      </c>
      <c r="I416" s="6" t="s">
        <v>3</v>
      </c>
      <c r="J416" s="6" t="s">
        <v>3</v>
      </c>
      <c r="K416" s="7">
        <v>4.75</v>
      </c>
      <c r="L416" s="7">
        <v>397.36099999999999</v>
      </c>
      <c r="M416" t="s">
        <v>20</v>
      </c>
      <c r="N416" s="9"/>
      <c r="O416" s="8">
        <f t="array" ref="O416">INDEX(TechRate,MATCH(H416,TechNum,0))</f>
        <v>80</v>
      </c>
      <c r="P416" s="10">
        <f>WorkOrders2[[#This Row],[Techs]]*(WorkOrders2[[#This Row],[PartsCost]]*WorkOrders2[[#This Row],[LbrHrs]])</f>
        <v>1887.4647499999999</v>
      </c>
      <c r="Q416" s="10">
        <f t="shared" si="36"/>
        <v>0</v>
      </c>
      <c r="R416" s="10">
        <f t="shared" si="37"/>
        <v>0</v>
      </c>
      <c r="S416" s="10">
        <f t="shared" si="38"/>
        <v>2284.82575</v>
      </c>
      <c r="T416" s="10">
        <f t="shared" si="39"/>
        <v>0</v>
      </c>
      <c r="U416" s="8" t="str">
        <f t="shared" si="40"/>
        <v>Sat</v>
      </c>
      <c r="V416" s="8" t="str">
        <f t="shared" si="41"/>
        <v>Mon</v>
      </c>
    </row>
    <row r="417" spans="1:22" hidden="1" x14ac:dyDescent="0.25">
      <c r="A417" t="s">
        <v>538</v>
      </c>
      <c r="B417" t="s">
        <v>39</v>
      </c>
      <c r="C417" t="s">
        <v>44</v>
      </c>
      <c r="D417" t="s">
        <v>12</v>
      </c>
      <c r="F417" s="5">
        <v>44298</v>
      </c>
      <c r="G417" s="5">
        <v>44307</v>
      </c>
      <c r="H417" s="2">
        <v>1</v>
      </c>
      <c r="I417" s="6"/>
      <c r="J417" s="6"/>
      <c r="K417" s="7">
        <v>0.25</v>
      </c>
      <c r="L417" s="7">
        <v>156.40209999999999</v>
      </c>
      <c r="M417" t="s">
        <v>17</v>
      </c>
      <c r="N417" s="9"/>
      <c r="O417" s="8">
        <f t="array" ref="O417">INDEX(TechRate,MATCH(H417,TechNum,0))</f>
        <v>80</v>
      </c>
      <c r="P417" s="10">
        <f>WorkOrders2[[#This Row],[Techs]]*(WorkOrders2[[#This Row],[PartsCost]]*WorkOrders2[[#This Row],[LbrHrs]])</f>
        <v>39.100524999999998</v>
      </c>
      <c r="Q417" s="10">
        <f t="shared" si="36"/>
        <v>39.100524999999998</v>
      </c>
      <c r="R417" s="10">
        <f t="shared" si="37"/>
        <v>156.40209999999999</v>
      </c>
      <c r="S417" s="10">
        <f t="shared" si="38"/>
        <v>195.50262499999999</v>
      </c>
      <c r="T417" s="10">
        <f t="shared" si="39"/>
        <v>195.50262499999999</v>
      </c>
      <c r="U417" s="8" t="str">
        <f t="shared" si="40"/>
        <v>Mon</v>
      </c>
      <c r="V417" s="8" t="str">
        <f t="shared" si="41"/>
        <v>Wed</v>
      </c>
    </row>
    <row r="418" spans="1:22" hidden="1" x14ac:dyDescent="0.25">
      <c r="A418" t="s">
        <v>77</v>
      </c>
      <c r="B418" t="s">
        <v>42</v>
      </c>
      <c r="C418" t="s">
        <v>44</v>
      </c>
      <c r="D418" t="s">
        <v>13</v>
      </c>
      <c r="F418" s="5">
        <v>44085</v>
      </c>
      <c r="G418" s="5">
        <v>44089</v>
      </c>
      <c r="H418" s="2">
        <v>2</v>
      </c>
      <c r="I418" s="6"/>
      <c r="J418" s="6"/>
      <c r="K418" s="7">
        <v>0.5</v>
      </c>
      <c r="L418" s="7">
        <v>535.62480000000005</v>
      </c>
      <c r="M418" t="s">
        <v>18</v>
      </c>
      <c r="N418" s="9"/>
      <c r="O418" s="8">
        <f t="array" ref="O418">INDEX(TechRate,MATCH(H418,TechNum,0))</f>
        <v>140</v>
      </c>
      <c r="P418" s="10">
        <f>WorkOrders2[[#This Row],[Techs]]*(WorkOrders2[[#This Row],[PartsCost]]*WorkOrders2[[#This Row],[LbrHrs]])</f>
        <v>535.62480000000005</v>
      </c>
      <c r="Q418" s="10">
        <f t="shared" si="36"/>
        <v>535.62480000000005</v>
      </c>
      <c r="R418" s="10">
        <f t="shared" si="37"/>
        <v>535.62480000000005</v>
      </c>
      <c r="S418" s="10">
        <f t="shared" si="38"/>
        <v>1071.2496000000001</v>
      </c>
      <c r="T418" s="10">
        <f t="shared" si="39"/>
        <v>1071.2496000000001</v>
      </c>
      <c r="U418" s="8" t="str">
        <f t="shared" si="40"/>
        <v>Fri</v>
      </c>
      <c r="V418" s="8" t="str">
        <f t="shared" si="41"/>
        <v>Tue</v>
      </c>
    </row>
    <row r="419" spans="1:22" hidden="1" x14ac:dyDescent="0.25">
      <c r="A419" t="s">
        <v>109</v>
      </c>
      <c r="B419" t="s">
        <v>42</v>
      </c>
      <c r="C419" t="s">
        <v>9</v>
      </c>
      <c r="D419" t="s">
        <v>13</v>
      </c>
      <c r="F419" s="5">
        <v>44102</v>
      </c>
      <c r="G419" s="5">
        <v>44104</v>
      </c>
      <c r="H419" s="2">
        <v>2</v>
      </c>
      <c r="I419" s="6"/>
      <c r="J419" s="6"/>
      <c r="K419" s="7">
        <v>0.5</v>
      </c>
      <c r="L419" s="7">
        <v>202.86</v>
      </c>
      <c r="M419" t="s">
        <v>17</v>
      </c>
      <c r="N419" s="9"/>
      <c r="O419" s="8">
        <f t="array" ref="O419">INDEX(TechRate,MATCH(H419,TechNum,0))</f>
        <v>140</v>
      </c>
      <c r="P419" s="10">
        <f>WorkOrders2[[#This Row],[Techs]]*(WorkOrders2[[#This Row],[PartsCost]]*WorkOrders2[[#This Row],[LbrHrs]])</f>
        <v>202.86</v>
      </c>
      <c r="Q419" s="10">
        <f t="shared" si="36"/>
        <v>202.86</v>
      </c>
      <c r="R419" s="10">
        <f t="shared" si="37"/>
        <v>202.86</v>
      </c>
      <c r="S419" s="10">
        <f t="shared" si="38"/>
        <v>405.72</v>
      </c>
      <c r="T419" s="10">
        <f t="shared" si="39"/>
        <v>405.72</v>
      </c>
      <c r="U419" s="8" t="str">
        <f t="shared" si="40"/>
        <v>Mon</v>
      </c>
      <c r="V419" s="8" t="str">
        <f t="shared" si="41"/>
        <v>Wed</v>
      </c>
    </row>
    <row r="420" spans="1:22" hidden="1" x14ac:dyDescent="0.25">
      <c r="A420" t="s">
        <v>147</v>
      </c>
      <c r="B420" t="s">
        <v>42</v>
      </c>
      <c r="C420" t="s">
        <v>6</v>
      </c>
      <c r="D420" t="s">
        <v>11</v>
      </c>
      <c r="F420" s="5">
        <v>44118</v>
      </c>
      <c r="G420" s="5">
        <v>44131</v>
      </c>
      <c r="H420" s="2">
        <v>1</v>
      </c>
      <c r="I420" s="6"/>
      <c r="J420" s="6"/>
      <c r="K420" s="7">
        <v>0.25</v>
      </c>
      <c r="L420" s="7">
        <v>27.953900000000001</v>
      </c>
      <c r="M420" t="s">
        <v>17</v>
      </c>
      <c r="N420" s="9"/>
      <c r="O420" s="8">
        <f t="array" ref="O420">INDEX(TechRate,MATCH(H420,TechNum,0))</f>
        <v>80</v>
      </c>
      <c r="P420" s="10">
        <f>WorkOrders2[[#This Row],[Techs]]*(WorkOrders2[[#This Row],[PartsCost]]*WorkOrders2[[#This Row],[LbrHrs]])</f>
        <v>6.9884750000000002</v>
      </c>
      <c r="Q420" s="10">
        <f t="shared" si="36"/>
        <v>6.9884750000000002</v>
      </c>
      <c r="R420" s="10">
        <f t="shared" si="37"/>
        <v>27.953900000000001</v>
      </c>
      <c r="S420" s="10">
        <f t="shared" si="38"/>
        <v>34.942374999999998</v>
      </c>
      <c r="T420" s="10">
        <f t="shared" si="39"/>
        <v>34.942374999999998</v>
      </c>
      <c r="U420" s="8" t="str">
        <f t="shared" si="40"/>
        <v>Wed</v>
      </c>
      <c r="V420" s="8" t="str">
        <f t="shared" si="41"/>
        <v>Tue</v>
      </c>
    </row>
    <row r="421" spans="1:22" hidden="1" x14ac:dyDescent="0.25">
      <c r="A421" t="s">
        <v>387</v>
      </c>
      <c r="B421" t="s">
        <v>42</v>
      </c>
      <c r="C421" t="s">
        <v>44</v>
      </c>
      <c r="D421" t="s">
        <v>13</v>
      </c>
      <c r="E421" t="s">
        <v>3</v>
      </c>
      <c r="F421" s="5">
        <v>44242</v>
      </c>
      <c r="G421" s="5">
        <v>44256</v>
      </c>
      <c r="H421" s="2">
        <v>2</v>
      </c>
      <c r="I421" s="6"/>
      <c r="J421" s="6"/>
      <c r="K421" s="7">
        <v>1.25</v>
      </c>
      <c r="L421" s="7">
        <v>952.06380000000001</v>
      </c>
      <c r="M421" t="s">
        <v>18</v>
      </c>
      <c r="N421" s="9"/>
      <c r="O421" s="8">
        <f t="array" ref="O421">INDEX(TechRate,MATCH(H421,TechNum,0))</f>
        <v>140</v>
      </c>
      <c r="P421" s="10">
        <f>WorkOrders2[[#This Row],[Techs]]*(WorkOrders2[[#This Row],[PartsCost]]*WorkOrders2[[#This Row],[LbrHrs]])</f>
        <v>2380.1595000000002</v>
      </c>
      <c r="Q421" s="10">
        <f t="shared" si="36"/>
        <v>2380.1595000000002</v>
      </c>
      <c r="R421" s="10">
        <f t="shared" si="37"/>
        <v>952.06380000000001</v>
      </c>
      <c r="S421" s="10">
        <f t="shared" si="38"/>
        <v>3332.2233000000001</v>
      </c>
      <c r="T421" s="10">
        <f t="shared" si="39"/>
        <v>3332.2233000000001</v>
      </c>
      <c r="U421" s="8" t="str">
        <f t="shared" si="40"/>
        <v>Mon</v>
      </c>
      <c r="V421" s="8" t="str">
        <f t="shared" si="41"/>
        <v>Mon</v>
      </c>
    </row>
    <row r="422" spans="1:22" hidden="1" x14ac:dyDescent="0.25">
      <c r="A422" t="s">
        <v>487</v>
      </c>
      <c r="B422" t="s">
        <v>42</v>
      </c>
      <c r="C422" t="s">
        <v>9</v>
      </c>
      <c r="D422" t="s">
        <v>12</v>
      </c>
      <c r="F422" s="5">
        <v>44278</v>
      </c>
      <c r="G422" s="5">
        <v>44300</v>
      </c>
      <c r="H422" s="2">
        <v>2</v>
      </c>
      <c r="I422" s="6"/>
      <c r="J422" s="6"/>
      <c r="K422" s="7">
        <v>1</v>
      </c>
      <c r="L422" s="7">
        <v>123.208</v>
      </c>
      <c r="M422" t="s">
        <v>18</v>
      </c>
      <c r="N422" s="9"/>
      <c r="O422" s="8">
        <f t="array" ref="O422">INDEX(TechRate,MATCH(H422,TechNum,0))</f>
        <v>140</v>
      </c>
      <c r="P422" s="10">
        <f>WorkOrders2[[#This Row],[Techs]]*(WorkOrders2[[#This Row],[PartsCost]]*WorkOrders2[[#This Row],[LbrHrs]])</f>
        <v>246.416</v>
      </c>
      <c r="Q422" s="10">
        <f t="shared" si="36"/>
        <v>246.416</v>
      </c>
      <c r="R422" s="10">
        <f t="shared" si="37"/>
        <v>123.208</v>
      </c>
      <c r="S422" s="10">
        <f t="shared" si="38"/>
        <v>369.62400000000002</v>
      </c>
      <c r="T422" s="10">
        <f t="shared" si="39"/>
        <v>369.62400000000002</v>
      </c>
      <c r="U422" s="8" t="str">
        <f t="shared" si="40"/>
        <v>Tue</v>
      </c>
      <c r="V422" s="8" t="str">
        <f t="shared" si="41"/>
        <v>Wed</v>
      </c>
    </row>
    <row r="423" spans="1:22" x14ac:dyDescent="0.25">
      <c r="A423" t="s">
        <v>492</v>
      </c>
      <c r="B423" t="s">
        <v>42</v>
      </c>
      <c r="C423" t="s">
        <v>7</v>
      </c>
      <c r="D423" t="s">
        <v>2</v>
      </c>
      <c r="F423" s="5">
        <v>44279</v>
      </c>
      <c r="G423" s="5">
        <v>44358</v>
      </c>
      <c r="H423" s="2">
        <v>2</v>
      </c>
      <c r="I423" s="6"/>
      <c r="J423" s="6" t="s">
        <v>3</v>
      </c>
      <c r="K423" s="7">
        <v>2.5</v>
      </c>
      <c r="L423" s="7">
        <v>1480.3623</v>
      </c>
      <c r="M423" t="s">
        <v>18</v>
      </c>
      <c r="N423" s="9"/>
      <c r="O423" s="8">
        <f t="array" ref="O423">INDEX(TechRate,MATCH(H423,TechNum,0))</f>
        <v>140</v>
      </c>
      <c r="P423" s="10">
        <f>WorkOrders2[[#This Row],[Techs]]*(WorkOrders2[[#This Row],[PartsCost]]*WorkOrders2[[#This Row],[LbrHrs]])</f>
        <v>7401.8114999999998</v>
      </c>
      <c r="Q423" s="10">
        <f t="shared" si="36"/>
        <v>7401.8114999999998</v>
      </c>
      <c r="R423" s="10">
        <f t="shared" si="37"/>
        <v>0</v>
      </c>
      <c r="S423" s="10">
        <f t="shared" si="38"/>
        <v>8882.1738000000005</v>
      </c>
      <c r="T423" s="10">
        <f t="shared" si="39"/>
        <v>7401.8114999999998</v>
      </c>
      <c r="U423" s="8" t="str">
        <f t="shared" si="40"/>
        <v>Wed</v>
      </c>
      <c r="V423" s="8" t="str">
        <f t="shared" si="41"/>
        <v>Fri</v>
      </c>
    </row>
    <row r="424" spans="1:22" hidden="1" x14ac:dyDescent="0.25">
      <c r="A424" t="s">
        <v>499</v>
      </c>
      <c r="B424" t="s">
        <v>42</v>
      </c>
      <c r="C424" t="s">
        <v>9</v>
      </c>
      <c r="D424" t="s">
        <v>13</v>
      </c>
      <c r="E424" t="s">
        <v>3</v>
      </c>
      <c r="F424" s="5">
        <v>44286</v>
      </c>
      <c r="G424" s="5">
        <v>44307</v>
      </c>
      <c r="H424" s="2">
        <v>1</v>
      </c>
      <c r="I424" s="6"/>
      <c r="J424" s="6"/>
      <c r="K424" s="7">
        <v>0.75</v>
      </c>
      <c r="L424" s="7">
        <v>51.29</v>
      </c>
      <c r="M424" t="s">
        <v>18</v>
      </c>
      <c r="N424" s="9"/>
      <c r="O424" s="8">
        <f t="array" ref="O424">INDEX(TechRate,MATCH(H424,TechNum,0))</f>
        <v>80</v>
      </c>
      <c r="P424" s="10">
        <f>WorkOrders2[[#This Row],[Techs]]*(WorkOrders2[[#This Row],[PartsCost]]*WorkOrders2[[#This Row],[LbrHrs]])</f>
        <v>38.467500000000001</v>
      </c>
      <c r="Q424" s="10">
        <f t="shared" si="36"/>
        <v>38.467500000000001</v>
      </c>
      <c r="R424" s="10">
        <f t="shared" si="37"/>
        <v>51.29</v>
      </c>
      <c r="S424" s="10">
        <f t="shared" si="38"/>
        <v>89.757499999999993</v>
      </c>
      <c r="T424" s="10">
        <f t="shared" si="39"/>
        <v>89.757499999999993</v>
      </c>
      <c r="U424" s="8" t="str">
        <f t="shared" si="40"/>
        <v>Wed</v>
      </c>
      <c r="V424" s="8" t="str">
        <f t="shared" si="41"/>
        <v>Wed</v>
      </c>
    </row>
    <row r="425" spans="1:22" hidden="1" x14ac:dyDescent="0.25">
      <c r="A425" t="s">
        <v>521</v>
      </c>
      <c r="B425" t="s">
        <v>42</v>
      </c>
      <c r="C425" t="s">
        <v>8</v>
      </c>
      <c r="D425" t="s">
        <v>12</v>
      </c>
      <c r="F425" s="5">
        <v>44292</v>
      </c>
      <c r="G425" s="5">
        <v>44343</v>
      </c>
      <c r="H425" s="2">
        <v>1</v>
      </c>
      <c r="I425" s="6"/>
      <c r="J425" s="6"/>
      <c r="K425" s="7">
        <v>1.75</v>
      </c>
      <c r="L425" s="7">
        <v>342.6</v>
      </c>
      <c r="M425" t="s">
        <v>18</v>
      </c>
      <c r="N425" s="9"/>
      <c r="O425" s="8">
        <f t="array" ref="O425">INDEX(TechRate,MATCH(H425,TechNum,0))</f>
        <v>80</v>
      </c>
      <c r="P425" s="10">
        <f>WorkOrders2[[#This Row],[Techs]]*(WorkOrders2[[#This Row],[PartsCost]]*WorkOrders2[[#This Row],[LbrHrs]])</f>
        <v>599.55000000000007</v>
      </c>
      <c r="Q425" s="10">
        <f t="shared" si="36"/>
        <v>599.55000000000007</v>
      </c>
      <c r="R425" s="10">
        <f t="shared" si="37"/>
        <v>342.6</v>
      </c>
      <c r="S425" s="10">
        <f t="shared" si="38"/>
        <v>942.15000000000009</v>
      </c>
      <c r="T425" s="10">
        <f t="shared" si="39"/>
        <v>942.15000000000009</v>
      </c>
      <c r="U425" s="8" t="str">
        <f t="shared" si="40"/>
        <v>Tue</v>
      </c>
      <c r="V425" s="8" t="str">
        <f t="shared" si="41"/>
        <v>Thu</v>
      </c>
    </row>
    <row r="426" spans="1:22" hidden="1" x14ac:dyDescent="0.25">
      <c r="A426" t="s">
        <v>57</v>
      </c>
      <c r="B426" t="s">
        <v>38</v>
      </c>
      <c r="C426" t="s">
        <v>9</v>
      </c>
      <c r="D426" t="s">
        <v>13</v>
      </c>
      <c r="F426" s="5">
        <v>44076</v>
      </c>
      <c r="G426" s="5">
        <v>44173</v>
      </c>
      <c r="H426" s="2">
        <v>2</v>
      </c>
      <c r="I426" s="6"/>
      <c r="J426" s="6"/>
      <c r="K426" s="7">
        <v>4.75</v>
      </c>
      <c r="L426" s="7">
        <v>832.15830000000005</v>
      </c>
      <c r="M426" t="s">
        <v>17</v>
      </c>
      <c r="N426" s="9"/>
      <c r="O426" s="8">
        <f t="array" ref="O426">INDEX(TechRate,MATCH(H426,TechNum,0))</f>
        <v>140</v>
      </c>
      <c r="P426" s="10">
        <f>WorkOrders2[[#This Row],[Techs]]*(WorkOrders2[[#This Row],[PartsCost]]*WorkOrders2[[#This Row],[LbrHrs]])</f>
        <v>7905.503850000001</v>
      </c>
      <c r="Q426" s="10">
        <f t="shared" si="36"/>
        <v>7905.503850000001</v>
      </c>
      <c r="R426" s="10">
        <f t="shared" si="37"/>
        <v>832.15830000000005</v>
      </c>
      <c r="S426" s="10">
        <f t="shared" si="38"/>
        <v>8737.6621500000001</v>
      </c>
      <c r="T426" s="10">
        <f t="shared" si="39"/>
        <v>8737.6621500000001</v>
      </c>
      <c r="U426" s="8" t="str">
        <f t="shared" si="40"/>
        <v>Wed</v>
      </c>
      <c r="V426" s="8" t="str">
        <f t="shared" si="41"/>
        <v>Tue</v>
      </c>
    </row>
    <row r="427" spans="1:22" hidden="1" x14ac:dyDescent="0.25">
      <c r="A427" t="s">
        <v>59</v>
      </c>
      <c r="B427" t="s">
        <v>38</v>
      </c>
      <c r="C427" t="s">
        <v>9</v>
      </c>
      <c r="D427" t="s">
        <v>12</v>
      </c>
      <c r="F427" s="5">
        <v>44078</v>
      </c>
      <c r="G427" s="5">
        <v>44104</v>
      </c>
      <c r="H427" s="2">
        <v>1</v>
      </c>
      <c r="I427" s="6"/>
      <c r="J427" s="6"/>
      <c r="K427" s="7">
        <v>0.5</v>
      </c>
      <c r="L427" s="7">
        <v>150</v>
      </c>
      <c r="M427" t="s">
        <v>19</v>
      </c>
      <c r="N427" s="9"/>
      <c r="O427" s="8">
        <f t="array" ref="O427">INDEX(TechRate,MATCH(H427,TechNum,0))</f>
        <v>80</v>
      </c>
      <c r="P427" s="10">
        <f>WorkOrders2[[#This Row],[Techs]]*(WorkOrders2[[#This Row],[PartsCost]]*WorkOrders2[[#This Row],[LbrHrs]])</f>
        <v>75</v>
      </c>
      <c r="Q427" s="10">
        <f t="shared" si="36"/>
        <v>75</v>
      </c>
      <c r="R427" s="10">
        <f t="shared" si="37"/>
        <v>150</v>
      </c>
      <c r="S427" s="10">
        <f t="shared" si="38"/>
        <v>225</v>
      </c>
      <c r="T427" s="10">
        <f t="shared" si="39"/>
        <v>225</v>
      </c>
      <c r="U427" s="8" t="str">
        <f t="shared" si="40"/>
        <v>Fri</v>
      </c>
      <c r="V427" s="8" t="str">
        <f t="shared" si="41"/>
        <v>Wed</v>
      </c>
    </row>
    <row r="428" spans="1:22" hidden="1" x14ac:dyDescent="0.25">
      <c r="A428" t="s">
        <v>63</v>
      </c>
      <c r="B428" t="s">
        <v>38</v>
      </c>
      <c r="C428" t="s">
        <v>9</v>
      </c>
      <c r="D428" t="s">
        <v>12</v>
      </c>
      <c r="F428" s="5">
        <v>44079</v>
      </c>
      <c r="G428" s="5">
        <v>44096</v>
      </c>
      <c r="H428" s="2">
        <v>1</v>
      </c>
      <c r="I428" s="6"/>
      <c r="J428" s="6"/>
      <c r="K428" s="7">
        <v>1.5</v>
      </c>
      <c r="L428" s="7">
        <v>48</v>
      </c>
      <c r="M428" t="s">
        <v>18</v>
      </c>
      <c r="N428" s="9"/>
      <c r="O428" s="8">
        <f t="array" ref="O428">INDEX(TechRate,MATCH(H428,TechNum,0))</f>
        <v>80</v>
      </c>
      <c r="P428" s="10">
        <f>WorkOrders2[[#This Row],[Techs]]*(WorkOrders2[[#This Row],[PartsCost]]*WorkOrders2[[#This Row],[LbrHrs]])</f>
        <v>72</v>
      </c>
      <c r="Q428" s="10">
        <f t="shared" si="36"/>
        <v>72</v>
      </c>
      <c r="R428" s="10">
        <f t="shared" si="37"/>
        <v>48</v>
      </c>
      <c r="S428" s="10">
        <f t="shared" si="38"/>
        <v>120</v>
      </c>
      <c r="T428" s="10">
        <f t="shared" si="39"/>
        <v>120</v>
      </c>
      <c r="U428" s="8" t="str">
        <f t="shared" si="40"/>
        <v>Sat</v>
      </c>
      <c r="V428" s="8" t="str">
        <f t="shared" si="41"/>
        <v>Tue</v>
      </c>
    </row>
    <row r="429" spans="1:22" hidden="1" x14ac:dyDescent="0.25">
      <c r="A429" t="s">
        <v>75</v>
      </c>
      <c r="B429" t="s">
        <v>38</v>
      </c>
      <c r="C429" t="s">
        <v>8</v>
      </c>
      <c r="D429" t="s">
        <v>12</v>
      </c>
      <c r="F429" s="5">
        <v>44084</v>
      </c>
      <c r="G429" s="5">
        <v>44102</v>
      </c>
      <c r="H429" s="2">
        <v>1</v>
      </c>
      <c r="I429" s="6"/>
      <c r="J429" s="6"/>
      <c r="K429" s="7">
        <v>0.5</v>
      </c>
      <c r="L429" s="7">
        <v>120</v>
      </c>
      <c r="M429" t="s">
        <v>19</v>
      </c>
      <c r="N429" s="9"/>
      <c r="O429" s="8">
        <f t="array" ref="O429">INDEX(TechRate,MATCH(H429,TechNum,0))</f>
        <v>80</v>
      </c>
      <c r="P429" s="10">
        <f>WorkOrders2[[#This Row],[Techs]]*(WorkOrders2[[#This Row],[PartsCost]]*WorkOrders2[[#This Row],[LbrHrs]])</f>
        <v>60</v>
      </c>
      <c r="Q429" s="10">
        <f t="shared" si="36"/>
        <v>60</v>
      </c>
      <c r="R429" s="10">
        <f t="shared" si="37"/>
        <v>120</v>
      </c>
      <c r="S429" s="10">
        <f t="shared" si="38"/>
        <v>180</v>
      </c>
      <c r="T429" s="10">
        <f t="shared" si="39"/>
        <v>180</v>
      </c>
      <c r="U429" s="8" t="str">
        <f t="shared" si="40"/>
        <v>Thu</v>
      </c>
      <c r="V429" s="8" t="str">
        <f t="shared" si="41"/>
        <v>Mon</v>
      </c>
    </row>
    <row r="430" spans="1:22" hidden="1" x14ac:dyDescent="0.25">
      <c r="A430" t="s">
        <v>80</v>
      </c>
      <c r="B430" t="s">
        <v>38</v>
      </c>
      <c r="C430" t="s">
        <v>8</v>
      </c>
      <c r="D430" t="s">
        <v>12</v>
      </c>
      <c r="F430" s="5">
        <v>44085</v>
      </c>
      <c r="G430" s="5">
        <v>44110</v>
      </c>
      <c r="H430" s="2">
        <v>1</v>
      </c>
      <c r="I430" s="6"/>
      <c r="J430" s="6"/>
      <c r="K430" s="7">
        <v>0.25</v>
      </c>
      <c r="L430" s="7">
        <v>21.33</v>
      </c>
      <c r="M430" t="s">
        <v>17</v>
      </c>
      <c r="N430" s="9"/>
      <c r="O430" s="8">
        <f t="array" ref="O430">INDEX(TechRate,MATCH(H430,TechNum,0))</f>
        <v>80</v>
      </c>
      <c r="P430" s="10">
        <f>WorkOrders2[[#This Row],[Techs]]*(WorkOrders2[[#This Row],[PartsCost]]*WorkOrders2[[#This Row],[LbrHrs]])</f>
        <v>5.3324999999999996</v>
      </c>
      <c r="Q430" s="10">
        <f t="shared" si="36"/>
        <v>5.3324999999999996</v>
      </c>
      <c r="R430" s="10">
        <f t="shared" si="37"/>
        <v>21.33</v>
      </c>
      <c r="S430" s="10">
        <f t="shared" si="38"/>
        <v>26.662499999999998</v>
      </c>
      <c r="T430" s="10">
        <f t="shared" si="39"/>
        <v>26.662499999999998</v>
      </c>
      <c r="U430" s="8" t="str">
        <f t="shared" si="40"/>
        <v>Fri</v>
      </c>
      <c r="V430" s="8" t="str">
        <f t="shared" si="41"/>
        <v>Tue</v>
      </c>
    </row>
    <row r="431" spans="1:22" hidden="1" x14ac:dyDescent="0.25">
      <c r="A431" t="s">
        <v>81</v>
      </c>
      <c r="B431" t="s">
        <v>38</v>
      </c>
      <c r="C431" t="s">
        <v>8</v>
      </c>
      <c r="D431" t="s">
        <v>13</v>
      </c>
      <c r="F431" s="5">
        <v>44086</v>
      </c>
      <c r="G431" s="5">
        <v>44102</v>
      </c>
      <c r="H431" s="2">
        <v>1</v>
      </c>
      <c r="I431" s="6"/>
      <c r="J431" s="6"/>
      <c r="K431" s="7">
        <v>1</v>
      </c>
      <c r="L431" s="7">
        <v>0.45600000000000002</v>
      </c>
      <c r="M431" t="s">
        <v>18</v>
      </c>
      <c r="N431" s="9"/>
      <c r="O431" s="8">
        <f t="array" ref="O431">INDEX(TechRate,MATCH(H431,TechNum,0))</f>
        <v>80</v>
      </c>
      <c r="P431" s="10">
        <f>WorkOrders2[[#This Row],[Techs]]*(WorkOrders2[[#This Row],[PartsCost]]*WorkOrders2[[#This Row],[LbrHrs]])</f>
        <v>0.45600000000000002</v>
      </c>
      <c r="Q431" s="10">
        <f t="shared" si="36"/>
        <v>0.45600000000000002</v>
      </c>
      <c r="R431" s="10">
        <f t="shared" si="37"/>
        <v>0.45600000000000002</v>
      </c>
      <c r="S431" s="10">
        <f t="shared" si="38"/>
        <v>0.91200000000000003</v>
      </c>
      <c r="T431" s="10">
        <f t="shared" si="39"/>
        <v>0.91200000000000003</v>
      </c>
      <c r="U431" s="8" t="str">
        <f t="shared" si="40"/>
        <v>Sat</v>
      </c>
      <c r="V431" s="8" t="str">
        <f t="shared" si="41"/>
        <v>Mon</v>
      </c>
    </row>
    <row r="432" spans="1:22" hidden="1" x14ac:dyDescent="0.25">
      <c r="A432" t="s">
        <v>83</v>
      </c>
      <c r="B432" t="s">
        <v>38</v>
      </c>
      <c r="C432" t="s">
        <v>8</v>
      </c>
      <c r="D432" t="s">
        <v>13</v>
      </c>
      <c r="F432" s="5">
        <v>44088</v>
      </c>
      <c r="G432" s="5">
        <v>44102</v>
      </c>
      <c r="H432" s="2">
        <v>1</v>
      </c>
      <c r="I432" s="6"/>
      <c r="J432" s="6"/>
      <c r="K432" s="7">
        <v>1.5</v>
      </c>
      <c r="L432" s="7">
        <v>251.0033</v>
      </c>
      <c r="M432" t="s">
        <v>17</v>
      </c>
      <c r="N432" s="9"/>
      <c r="O432" s="8">
        <f t="array" ref="O432">INDEX(TechRate,MATCH(H432,TechNum,0))</f>
        <v>80</v>
      </c>
      <c r="P432" s="10">
        <f>WorkOrders2[[#This Row],[Techs]]*(WorkOrders2[[#This Row],[PartsCost]]*WorkOrders2[[#This Row],[LbrHrs]])</f>
        <v>376.50495000000001</v>
      </c>
      <c r="Q432" s="10">
        <f t="shared" si="36"/>
        <v>376.50495000000001</v>
      </c>
      <c r="R432" s="10">
        <f t="shared" si="37"/>
        <v>251.0033</v>
      </c>
      <c r="S432" s="10">
        <f t="shared" si="38"/>
        <v>627.50824999999998</v>
      </c>
      <c r="T432" s="10">
        <f t="shared" si="39"/>
        <v>627.50824999999998</v>
      </c>
      <c r="U432" s="8" t="str">
        <f t="shared" si="40"/>
        <v>Mon</v>
      </c>
      <c r="V432" s="8" t="str">
        <f t="shared" si="41"/>
        <v>Mon</v>
      </c>
    </row>
    <row r="433" spans="1:22" hidden="1" x14ac:dyDescent="0.25">
      <c r="A433" t="s">
        <v>88</v>
      </c>
      <c r="B433" t="s">
        <v>38</v>
      </c>
      <c r="C433" t="s">
        <v>8</v>
      </c>
      <c r="D433" t="s">
        <v>13</v>
      </c>
      <c r="F433" s="5">
        <v>44090</v>
      </c>
      <c r="G433" s="5">
        <v>44102</v>
      </c>
      <c r="H433" s="2">
        <v>1</v>
      </c>
      <c r="I433" s="6"/>
      <c r="J433" s="6"/>
      <c r="K433" s="7">
        <v>1</v>
      </c>
      <c r="L433" s="7">
        <v>5.4720000000000004</v>
      </c>
      <c r="M433" t="s">
        <v>18</v>
      </c>
      <c r="N433" s="9"/>
      <c r="O433" s="8">
        <f t="array" ref="O433">INDEX(TechRate,MATCH(H433,TechNum,0))</f>
        <v>80</v>
      </c>
      <c r="P433" s="10">
        <f>WorkOrders2[[#This Row],[Techs]]*(WorkOrders2[[#This Row],[PartsCost]]*WorkOrders2[[#This Row],[LbrHrs]])</f>
        <v>5.4720000000000004</v>
      </c>
      <c r="Q433" s="10">
        <f t="shared" si="36"/>
        <v>5.4720000000000004</v>
      </c>
      <c r="R433" s="10">
        <f t="shared" si="37"/>
        <v>5.4720000000000004</v>
      </c>
      <c r="S433" s="10">
        <f t="shared" si="38"/>
        <v>10.944000000000001</v>
      </c>
      <c r="T433" s="10">
        <f t="shared" si="39"/>
        <v>10.944000000000001</v>
      </c>
      <c r="U433" s="8" t="str">
        <f t="shared" si="40"/>
        <v>Wed</v>
      </c>
      <c r="V433" s="8" t="str">
        <f t="shared" si="41"/>
        <v>Mon</v>
      </c>
    </row>
    <row r="434" spans="1:22" hidden="1" x14ac:dyDescent="0.25">
      <c r="A434" t="s">
        <v>96</v>
      </c>
      <c r="B434" t="s">
        <v>38</v>
      </c>
      <c r="C434" t="s">
        <v>8</v>
      </c>
      <c r="D434" t="s">
        <v>13</v>
      </c>
      <c r="F434" s="5">
        <v>44095</v>
      </c>
      <c r="G434" s="5">
        <v>44102</v>
      </c>
      <c r="H434" s="2">
        <v>1</v>
      </c>
      <c r="I434" s="6"/>
      <c r="J434" s="6"/>
      <c r="K434" s="7">
        <v>0.5</v>
      </c>
      <c r="L434" s="7">
        <v>30</v>
      </c>
      <c r="M434" t="s">
        <v>18</v>
      </c>
      <c r="N434" s="9"/>
      <c r="O434" s="8">
        <f t="array" ref="O434">INDEX(TechRate,MATCH(H434,TechNum,0))</f>
        <v>80</v>
      </c>
      <c r="P434" s="10">
        <f>WorkOrders2[[#This Row],[Techs]]*(WorkOrders2[[#This Row],[PartsCost]]*WorkOrders2[[#This Row],[LbrHrs]])</f>
        <v>15</v>
      </c>
      <c r="Q434" s="10">
        <f t="shared" si="36"/>
        <v>15</v>
      </c>
      <c r="R434" s="10">
        <f t="shared" si="37"/>
        <v>30</v>
      </c>
      <c r="S434" s="10">
        <f t="shared" si="38"/>
        <v>45</v>
      </c>
      <c r="T434" s="10">
        <f t="shared" si="39"/>
        <v>45</v>
      </c>
      <c r="U434" s="8" t="str">
        <f t="shared" si="40"/>
        <v>Mon</v>
      </c>
      <c r="V434" s="8" t="str">
        <f t="shared" si="41"/>
        <v>Mon</v>
      </c>
    </row>
    <row r="435" spans="1:22" hidden="1" x14ac:dyDescent="0.25">
      <c r="A435" t="s">
        <v>98</v>
      </c>
      <c r="B435" t="s">
        <v>38</v>
      </c>
      <c r="C435" t="s">
        <v>8</v>
      </c>
      <c r="D435" t="s">
        <v>13</v>
      </c>
      <c r="E435" t="s">
        <v>3</v>
      </c>
      <c r="F435" s="5">
        <v>44095</v>
      </c>
      <c r="G435" s="5">
        <v>44139</v>
      </c>
      <c r="H435" s="2">
        <v>1</v>
      </c>
      <c r="I435" s="6"/>
      <c r="J435" s="6"/>
      <c r="K435" s="7">
        <v>0.75</v>
      </c>
      <c r="L435" s="7">
        <v>297.51229999999998</v>
      </c>
      <c r="M435" t="s">
        <v>17</v>
      </c>
      <c r="N435" s="9"/>
      <c r="O435" s="8">
        <f t="array" ref="O435">INDEX(TechRate,MATCH(H435,TechNum,0))</f>
        <v>80</v>
      </c>
      <c r="P435" s="10">
        <f>WorkOrders2[[#This Row],[Techs]]*(WorkOrders2[[#This Row],[PartsCost]]*WorkOrders2[[#This Row],[LbrHrs]])</f>
        <v>223.13422499999999</v>
      </c>
      <c r="Q435" s="10">
        <f t="shared" si="36"/>
        <v>223.13422499999999</v>
      </c>
      <c r="R435" s="10">
        <f t="shared" si="37"/>
        <v>297.51229999999998</v>
      </c>
      <c r="S435" s="10">
        <f t="shared" si="38"/>
        <v>520.646525</v>
      </c>
      <c r="T435" s="10">
        <f t="shared" si="39"/>
        <v>520.646525</v>
      </c>
      <c r="U435" s="8" t="str">
        <f t="shared" si="40"/>
        <v>Mon</v>
      </c>
      <c r="V435" s="8" t="str">
        <f t="shared" si="41"/>
        <v>Wed</v>
      </c>
    </row>
    <row r="436" spans="1:22" hidden="1" x14ac:dyDescent="0.25">
      <c r="A436" t="s">
        <v>99</v>
      </c>
      <c r="B436" t="s">
        <v>38</v>
      </c>
      <c r="C436" t="s">
        <v>6</v>
      </c>
      <c r="D436" t="s">
        <v>12</v>
      </c>
      <c r="F436" s="5">
        <v>44095</v>
      </c>
      <c r="G436" s="5">
        <v>44160</v>
      </c>
      <c r="H436" s="2">
        <v>1</v>
      </c>
      <c r="I436" s="6"/>
      <c r="J436" s="6"/>
      <c r="K436" s="7">
        <v>0.5</v>
      </c>
      <c r="L436" s="7">
        <v>64.171000000000006</v>
      </c>
      <c r="M436" t="s">
        <v>19</v>
      </c>
      <c r="N436" s="9"/>
      <c r="O436" s="8">
        <f t="array" ref="O436">INDEX(TechRate,MATCH(H436,TechNum,0))</f>
        <v>80</v>
      </c>
      <c r="P436" s="10">
        <f>WorkOrders2[[#This Row],[Techs]]*(WorkOrders2[[#This Row],[PartsCost]]*WorkOrders2[[#This Row],[LbrHrs]])</f>
        <v>32.085500000000003</v>
      </c>
      <c r="Q436" s="10">
        <f t="shared" si="36"/>
        <v>32.085500000000003</v>
      </c>
      <c r="R436" s="10">
        <f t="shared" si="37"/>
        <v>64.171000000000006</v>
      </c>
      <c r="S436" s="10">
        <f t="shared" si="38"/>
        <v>96.256500000000017</v>
      </c>
      <c r="T436" s="10">
        <f t="shared" si="39"/>
        <v>96.256500000000017</v>
      </c>
      <c r="U436" s="8" t="str">
        <f t="shared" si="40"/>
        <v>Mon</v>
      </c>
      <c r="V436" s="8" t="str">
        <f t="shared" si="41"/>
        <v>Wed</v>
      </c>
    </row>
    <row r="437" spans="1:22" x14ac:dyDescent="0.25">
      <c r="A437" t="s">
        <v>101</v>
      </c>
      <c r="B437" t="s">
        <v>38</v>
      </c>
      <c r="C437" t="s">
        <v>8</v>
      </c>
      <c r="D437" t="s">
        <v>2</v>
      </c>
      <c r="F437" s="5">
        <v>44097</v>
      </c>
      <c r="G437" s="5">
        <v>44111</v>
      </c>
      <c r="H437" s="2">
        <v>1</v>
      </c>
      <c r="I437" s="6"/>
      <c r="J437" s="6"/>
      <c r="K437" s="7">
        <v>1</v>
      </c>
      <c r="L437" s="7">
        <v>200</v>
      </c>
      <c r="M437" t="s">
        <v>18</v>
      </c>
      <c r="N437" s="9"/>
      <c r="O437" s="8">
        <f t="array" ref="O437">INDEX(TechRate,MATCH(H437,TechNum,0))</f>
        <v>80</v>
      </c>
      <c r="P437" s="10">
        <f>WorkOrders2[[#This Row],[Techs]]*(WorkOrders2[[#This Row],[PartsCost]]*WorkOrders2[[#This Row],[LbrHrs]])</f>
        <v>200</v>
      </c>
      <c r="Q437" s="10">
        <f t="shared" si="36"/>
        <v>200</v>
      </c>
      <c r="R437" s="10">
        <f t="shared" si="37"/>
        <v>200</v>
      </c>
      <c r="S437" s="10">
        <f t="shared" si="38"/>
        <v>400</v>
      </c>
      <c r="T437" s="10">
        <f t="shared" si="39"/>
        <v>400</v>
      </c>
      <c r="U437" s="8" t="str">
        <f t="shared" si="40"/>
        <v>Wed</v>
      </c>
      <c r="V437" s="8" t="str">
        <f t="shared" si="41"/>
        <v>Wed</v>
      </c>
    </row>
    <row r="438" spans="1:22" hidden="1" x14ac:dyDescent="0.25">
      <c r="A438" t="s">
        <v>114</v>
      </c>
      <c r="B438" t="s">
        <v>38</v>
      </c>
      <c r="C438" t="s">
        <v>43</v>
      </c>
      <c r="D438" t="s">
        <v>12</v>
      </c>
      <c r="F438" s="5">
        <v>44103</v>
      </c>
      <c r="G438" s="5">
        <v>44123</v>
      </c>
      <c r="H438" s="2">
        <v>1</v>
      </c>
      <c r="I438" s="6"/>
      <c r="J438" s="6"/>
      <c r="K438" s="7">
        <v>1.5</v>
      </c>
      <c r="L438" s="7">
        <v>139.035</v>
      </c>
      <c r="M438" t="s">
        <v>17</v>
      </c>
      <c r="N438" s="9"/>
      <c r="O438" s="8">
        <f t="array" ref="O438">INDEX(TechRate,MATCH(H438,TechNum,0))</f>
        <v>80</v>
      </c>
      <c r="P438" s="10">
        <f>WorkOrders2[[#This Row],[Techs]]*(WorkOrders2[[#This Row],[PartsCost]]*WorkOrders2[[#This Row],[LbrHrs]])</f>
        <v>208.55250000000001</v>
      </c>
      <c r="Q438" s="10">
        <f t="shared" si="36"/>
        <v>208.55250000000001</v>
      </c>
      <c r="R438" s="10">
        <f t="shared" si="37"/>
        <v>139.035</v>
      </c>
      <c r="S438" s="10">
        <f t="shared" si="38"/>
        <v>347.58749999999998</v>
      </c>
      <c r="T438" s="10">
        <f t="shared" si="39"/>
        <v>347.58749999999998</v>
      </c>
      <c r="U438" s="8" t="str">
        <f t="shared" si="40"/>
        <v>Tue</v>
      </c>
      <c r="V438" s="8" t="str">
        <f t="shared" si="41"/>
        <v>Mon</v>
      </c>
    </row>
    <row r="439" spans="1:22" hidden="1" x14ac:dyDescent="0.25">
      <c r="A439" t="s">
        <v>115</v>
      </c>
      <c r="B439" t="s">
        <v>38</v>
      </c>
      <c r="C439" t="s">
        <v>8</v>
      </c>
      <c r="D439" t="s">
        <v>13</v>
      </c>
      <c r="F439" s="5">
        <v>44103</v>
      </c>
      <c r="G439" s="5">
        <v>44131</v>
      </c>
      <c r="H439" s="2">
        <v>1</v>
      </c>
      <c r="I439" s="6"/>
      <c r="J439" s="6"/>
      <c r="K439" s="7">
        <v>0.5</v>
      </c>
      <c r="L439" s="7">
        <v>50.317</v>
      </c>
      <c r="M439" t="s">
        <v>19</v>
      </c>
      <c r="N439" s="9"/>
      <c r="O439" s="8">
        <f t="array" ref="O439">INDEX(TechRate,MATCH(H439,TechNum,0))</f>
        <v>80</v>
      </c>
      <c r="P439" s="10">
        <f>WorkOrders2[[#This Row],[Techs]]*(WorkOrders2[[#This Row],[PartsCost]]*WorkOrders2[[#This Row],[LbrHrs]])</f>
        <v>25.1585</v>
      </c>
      <c r="Q439" s="10">
        <f t="shared" si="36"/>
        <v>25.1585</v>
      </c>
      <c r="R439" s="10">
        <f t="shared" si="37"/>
        <v>50.317</v>
      </c>
      <c r="S439" s="10">
        <f t="shared" si="38"/>
        <v>75.475499999999997</v>
      </c>
      <c r="T439" s="10">
        <f t="shared" si="39"/>
        <v>75.475499999999997</v>
      </c>
      <c r="U439" s="8" t="str">
        <f t="shared" si="40"/>
        <v>Tue</v>
      </c>
      <c r="V439" s="8" t="str">
        <f t="shared" si="41"/>
        <v>Tue</v>
      </c>
    </row>
    <row r="440" spans="1:22" hidden="1" x14ac:dyDescent="0.25">
      <c r="A440" t="s">
        <v>117</v>
      </c>
      <c r="B440" t="s">
        <v>38</v>
      </c>
      <c r="C440" t="s">
        <v>8</v>
      </c>
      <c r="D440" t="s">
        <v>12</v>
      </c>
      <c r="F440" s="5">
        <v>44103</v>
      </c>
      <c r="G440" s="5">
        <v>44167</v>
      </c>
      <c r="H440" s="2">
        <v>1</v>
      </c>
      <c r="I440" s="6"/>
      <c r="J440" s="6"/>
      <c r="K440" s="7">
        <v>1</v>
      </c>
      <c r="L440" s="7">
        <v>78.5535</v>
      </c>
      <c r="M440" t="s">
        <v>19</v>
      </c>
      <c r="N440" s="9"/>
      <c r="O440" s="8">
        <f t="array" ref="O440">INDEX(TechRate,MATCH(H440,TechNum,0))</f>
        <v>80</v>
      </c>
      <c r="P440" s="10">
        <f>WorkOrders2[[#This Row],[Techs]]*(WorkOrders2[[#This Row],[PartsCost]]*WorkOrders2[[#This Row],[LbrHrs]])</f>
        <v>78.5535</v>
      </c>
      <c r="Q440" s="10">
        <f t="shared" si="36"/>
        <v>78.5535</v>
      </c>
      <c r="R440" s="10">
        <f t="shared" si="37"/>
        <v>78.5535</v>
      </c>
      <c r="S440" s="10">
        <f t="shared" si="38"/>
        <v>157.107</v>
      </c>
      <c r="T440" s="10">
        <f t="shared" si="39"/>
        <v>157.107</v>
      </c>
      <c r="U440" s="8" t="str">
        <f t="shared" si="40"/>
        <v>Tue</v>
      </c>
      <c r="V440" s="8" t="str">
        <f t="shared" si="41"/>
        <v>Wed</v>
      </c>
    </row>
    <row r="441" spans="1:22" hidden="1" x14ac:dyDescent="0.25">
      <c r="A441" t="s">
        <v>124</v>
      </c>
      <c r="B441" t="s">
        <v>38</v>
      </c>
      <c r="C441" t="s">
        <v>9</v>
      </c>
      <c r="D441" t="s">
        <v>12</v>
      </c>
      <c r="F441" s="5">
        <v>44109</v>
      </c>
      <c r="G441" s="5">
        <v>44117</v>
      </c>
      <c r="H441" s="2">
        <v>1</v>
      </c>
      <c r="I441" s="6"/>
      <c r="J441" s="6"/>
      <c r="K441" s="7">
        <v>0.5</v>
      </c>
      <c r="L441" s="7">
        <v>26.582599999999999</v>
      </c>
      <c r="M441" t="s">
        <v>17</v>
      </c>
      <c r="N441" s="9"/>
      <c r="O441" s="8">
        <f t="array" ref="O441">INDEX(TechRate,MATCH(H441,TechNum,0))</f>
        <v>80</v>
      </c>
      <c r="P441" s="10">
        <f>WorkOrders2[[#This Row],[Techs]]*(WorkOrders2[[#This Row],[PartsCost]]*WorkOrders2[[#This Row],[LbrHrs]])</f>
        <v>13.2913</v>
      </c>
      <c r="Q441" s="10">
        <f t="shared" si="36"/>
        <v>13.2913</v>
      </c>
      <c r="R441" s="10">
        <f t="shared" si="37"/>
        <v>26.582599999999999</v>
      </c>
      <c r="S441" s="10">
        <f t="shared" si="38"/>
        <v>39.873899999999999</v>
      </c>
      <c r="T441" s="10">
        <f t="shared" si="39"/>
        <v>39.873899999999999</v>
      </c>
      <c r="U441" s="8" t="str">
        <f t="shared" si="40"/>
        <v>Mon</v>
      </c>
      <c r="V441" s="8" t="str">
        <f t="shared" si="41"/>
        <v>Tue</v>
      </c>
    </row>
    <row r="442" spans="1:22" hidden="1" x14ac:dyDescent="0.25">
      <c r="A442" t="s">
        <v>127</v>
      </c>
      <c r="B442" t="s">
        <v>38</v>
      </c>
      <c r="C442" t="s">
        <v>43</v>
      </c>
      <c r="D442" t="s">
        <v>12</v>
      </c>
      <c r="F442" s="5">
        <v>44110</v>
      </c>
      <c r="G442" s="5">
        <v>44123</v>
      </c>
      <c r="H442" s="2">
        <v>1</v>
      </c>
      <c r="I442" s="6"/>
      <c r="J442" s="6"/>
      <c r="K442" s="7">
        <v>0.25</v>
      </c>
      <c r="L442" s="7">
        <v>332.39699999999999</v>
      </c>
      <c r="M442" t="s">
        <v>19</v>
      </c>
      <c r="N442" s="9"/>
      <c r="O442" s="8">
        <f t="array" ref="O442">INDEX(TechRate,MATCH(H442,TechNum,0))</f>
        <v>80</v>
      </c>
      <c r="P442" s="10">
        <f>WorkOrders2[[#This Row],[Techs]]*(WorkOrders2[[#This Row],[PartsCost]]*WorkOrders2[[#This Row],[LbrHrs]])</f>
        <v>83.099249999999998</v>
      </c>
      <c r="Q442" s="10">
        <f t="shared" si="36"/>
        <v>83.099249999999998</v>
      </c>
      <c r="R442" s="10">
        <f t="shared" si="37"/>
        <v>332.39699999999999</v>
      </c>
      <c r="S442" s="10">
        <f t="shared" si="38"/>
        <v>415.49624999999997</v>
      </c>
      <c r="T442" s="10">
        <f t="shared" si="39"/>
        <v>415.49624999999997</v>
      </c>
      <c r="U442" s="8" t="str">
        <f t="shared" si="40"/>
        <v>Tue</v>
      </c>
      <c r="V442" s="8" t="str">
        <f t="shared" si="41"/>
        <v>Mon</v>
      </c>
    </row>
    <row r="443" spans="1:22" hidden="1" x14ac:dyDescent="0.25">
      <c r="A443" t="s">
        <v>136</v>
      </c>
      <c r="B443" t="s">
        <v>38</v>
      </c>
      <c r="C443" t="s">
        <v>8</v>
      </c>
      <c r="D443" t="s">
        <v>13</v>
      </c>
      <c r="F443" s="5">
        <v>44112</v>
      </c>
      <c r="G443" s="5">
        <v>44153</v>
      </c>
      <c r="H443" s="2">
        <v>1</v>
      </c>
      <c r="I443" s="6"/>
      <c r="J443" s="6"/>
      <c r="K443" s="7">
        <v>0.5</v>
      </c>
      <c r="L443" s="7">
        <v>21.33</v>
      </c>
      <c r="M443" t="s">
        <v>19</v>
      </c>
      <c r="N443" s="9"/>
      <c r="O443" s="8">
        <f t="array" ref="O443">INDEX(TechRate,MATCH(H443,TechNum,0))</f>
        <v>80</v>
      </c>
      <c r="P443" s="10">
        <f>WorkOrders2[[#This Row],[Techs]]*(WorkOrders2[[#This Row],[PartsCost]]*WorkOrders2[[#This Row],[LbrHrs]])</f>
        <v>10.664999999999999</v>
      </c>
      <c r="Q443" s="10">
        <f t="shared" si="36"/>
        <v>10.664999999999999</v>
      </c>
      <c r="R443" s="10">
        <f t="shared" si="37"/>
        <v>21.33</v>
      </c>
      <c r="S443" s="10">
        <f t="shared" si="38"/>
        <v>31.994999999999997</v>
      </c>
      <c r="T443" s="10">
        <f t="shared" si="39"/>
        <v>31.994999999999997</v>
      </c>
      <c r="U443" s="8" t="str">
        <f t="shared" si="40"/>
        <v>Thu</v>
      </c>
      <c r="V443" s="8" t="str">
        <f t="shared" si="41"/>
        <v>Wed</v>
      </c>
    </row>
    <row r="444" spans="1:22" hidden="1" x14ac:dyDescent="0.25">
      <c r="A444" t="s">
        <v>140</v>
      </c>
      <c r="B444" t="s">
        <v>38</v>
      </c>
      <c r="C444" t="s">
        <v>8</v>
      </c>
      <c r="D444" t="s">
        <v>13</v>
      </c>
      <c r="F444" s="5">
        <v>44116</v>
      </c>
      <c r="G444" s="5">
        <v>44139</v>
      </c>
      <c r="H444" s="2">
        <v>1</v>
      </c>
      <c r="I444" s="6"/>
      <c r="J444" s="6"/>
      <c r="K444" s="7">
        <v>0.5</v>
      </c>
      <c r="L444" s="7">
        <v>144</v>
      </c>
      <c r="M444" t="s">
        <v>19</v>
      </c>
      <c r="N444" s="9"/>
      <c r="O444" s="8">
        <f t="array" ref="O444">INDEX(TechRate,MATCH(H444,TechNum,0))</f>
        <v>80</v>
      </c>
      <c r="P444" s="10">
        <f>WorkOrders2[[#This Row],[Techs]]*(WorkOrders2[[#This Row],[PartsCost]]*WorkOrders2[[#This Row],[LbrHrs]])</f>
        <v>72</v>
      </c>
      <c r="Q444" s="10">
        <f t="shared" si="36"/>
        <v>72</v>
      </c>
      <c r="R444" s="10">
        <f t="shared" si="37"/>
        <v>144</v>
      </c>
      <c r="S444" s="10">
        <f t="shared" si="38"/>
        <v>216</v>
      </c>
      <c r="T444" s="10">
        <f t="shared" si="39"/>
        <v>216</v>
      </c>
      <c r="U444" s="8" t="str">
        <f t="shared" si="40"/>
        <v>Mon</v>
      </c>
      <c r="V444" s="8" t="str">
        <f t="shared" si="41"/>
        <v>Wed</v>
      </c>
    </row>
    <row r="445" spans="1:22" x14ac:dyDescent="0.25">
      <c r="A445" t="s">
        <v>145</v>
      </c>
      <c r="B445" t="s">
        <v>38</v>
      </c>
      <c r="C445" t="s">
        <v>8</v>
      </c>
      <c r="D445" t="s">
        <v>2</v>
      </c>
      <c r="F445" s="5">
        <v>44117</v>
      </c>
      <c r="G445" s="5">
        <v>44131</v>
      </c>
      <c r="H445" s="2">
        <v>1</v>
      </c>
      <c r="I445" s="6"/>
      <c r="J445" s="6"/>
      <c r="K445" s="7">
        <v>2</v>
      </c>
      <c r="L445" s="7">
        <v>77.165099999999995</v>
      </c>
      <c r="M445" t="s">
        <v>17</v>
      </c>
      <c r="N445" s="9"/>
      <c r="O445" s="8">
        <f t="array" ref="O445">INDEX(TechRate,MATCH(H445,TechNum,0))</f>
        <v>80</v>
      </c>
      <c r="P445" s="10">
        <f>WorkOrders2[[#This Row],[Techs]]*(WorkOrders2[[#This Row],[PartsCost]]*WorkOrders2[[#This Row],[LbrHrs]])</f>
        <v>154.33019999999999</v>
      </c>
      <c r="Q445" s="10">
        <f t="shared" si="36"/>
        <v>154.33019999999999</v>
      </c>
      <c r="R445" s="10">
        <f t="shared" si="37"/>
        <v>77.165099999999995</v>
      </c>
      <c r="S445" s="10">
        <f t="shared" si="38"/>
        <v>231.49529999999999</v>
      </c>
      <c r="T445" s="10">
        <f t="shared" si="39"/>
        <v>231.49529999999999</v>
      </c>
      <c r="U445" s="8" t="str">
        <f t="shared" si="40"/>
        <v>Tue</v>
      </c>
      <c r="V445" s="8" t="str">
        <f t="shared" si="41"/>
        <v>Tue</v>
      </c>
    </row>
    <row r="446" spans="1:22" hidden="1" x14ac:dyDescent="0.25">
      <c r="A446" t="s">
        <v>148</v>
      </c>
      <c r="B446" t="s">
        <v>38</v>
      </c>
      <c r="C446" t="s">
        <v>8</v>
      </c>
      <c r="D446" t="s">
        <v>12</v>
      </c>
      <c r="F446" s="5">
        <v>44118</v>
      </c>
      <c r="G446" s="5">
        <v>44131</v>
      </c>
      <c r="H446" s="2">
        <v>1</v>
      </c>
      <c r="I446" s="6"/>
      <c r="J446" s="6"/>
      <c r="K446" s="7">
        <v>1</v>
      </c>
      <c r="L446" s="7">
        <v>216.3125</v>
      </c>
      <c r="M446" t="s">
        <v>18</v>
      </c>
      <c r="N446" s="9"/>
      <c r="O446" s="8">
        <f t="array" ref="O446">INDEX(TechRate,MATCH(H446,TechNum,0))</f>
        <v>80</v>
      </c>
      <c r="P446" s="10">
        <f>WorkOrders2[[#This Row],[Techs]]*(WorkOrders2[[#This Row],[PartsCost]]*WorkOrders2[[#This Row],[LbrHrs]])</f>
        <v>216.3125</v>
      </c>
      <c r="Q446" s="10">
        <f t="shared" si="36"/>
        <v>216.3125</v>
      </c>
      <c r="R446" s="10">
        <f t="shared" si="37"/>
        <v>216.3125</v>
      </c>
      <c r="S446" s="10">
        <f t="shared" si="38"/>
        <v>432.625</v>
      </c>
      <c r="T446" s="10">
        <f t="shared" si="39"/>
        <v>432.625</v>
      </c>
      <c r="U446" s="8" t="str">
        <f t="shared" si="40"/>
        <v>Wed</v>
      </c>
      <c r="V446" s="8" t="str">
        <f t="shared" si="41"/>
        <v>Tue</v>
      </c>
    </row>
    <row r="447" spans="1:22" hidden="1" x14ac:dyDescent="0.25">
      <c r="A447" t="s">
        <v>150</v>
      </c>
      <c r="B447" t="s">
        <v>38</v>
      </c>
      <c r="C447" t="s">
        <v>6</v>
      </c>
      <c r="D447" t="s">
        <v>13</v>
      </c>
      <c r="F447" s="5">
        <v>44118</v>
      </c>
      <c r="G447" s="5">
        <v>44145</v>
      </c>
      <c r="H447" s="2">
        <v>1</v>
      </c>
      <c r="I447" s="6"/>
      <c r="J447" s="6"/>
      <c r="K447" s="7">
        <v>0.5</v>
      </c>
      <c r="L447" s="7">
        <v>3.12</v>
      </c>
      <c r="M447" t="s">
        <v>18</v>
      </c>
      <c r="N447" s="9"/>
      <c r="O447" s="8">
        <f t="array" ref="O447">INDEX(TechRate,MATCH(H447,TechNum,0))</f>
        <v>80</v>
      </c>
      <c r="P447" s="10">
        <f>WorkOrders2[[#This Row],[Techs]]*(WorkOrders2[[#This Row],[PartsCost]]*WorkOrders2[[#This Row],[LbrHrs]])</f>
        <v>1.56</v>
      </c>
      <c r="Q447" s="10">
        <f t="shared" si="36"/>
        <v>1.56</v>
      </c>
      <c r="R447" s="10">
        <f t="shared" si="37"/>
        <v>3.12</v>
      </c>
      <c r="S447" s="10">
        <f t="shared" si="38"/>
        <v>4.68</v>
      </c>
      <c r="T447" s="10">
        <f t="shared" si="39"/>
        <v>4.68</v>
      </c>
      <c r="U447" s="8" t="str">
        <f t="shared" si="40"/>
        <v>Wed</v>
      </c>
      <c r="V447" s="8" t="str">
        <f t="shared" si="41"/>
        <v>Tue</v>
      </c>
    </row>
    <row r="448" spans="1:22" hidden="1" x14ac:dyDescent="0.25">
      <c r="A448" t="s">
        <v>153</v>
      </c>
      <c r="B448" t="s">
        <v>38</v>
      </c>
      <c r="C448" t="s">
        <v>6</v>
      </c>
      <c r="D448" t="s">
        <v>11</v>
      </c>
      <c r="F448" s="5">
        <v>44119</v>
      </c>
      <c r="G448" s="5">
        <v>44145</v>
      </c>
      <c r="H448" s="2">
        <v>1</v>
      </c>
      <c r="I448" s="6"/>
      <c r="J448" s="6"/>
      <c r="K448" s="7">
        <v>0.25</v>
      </c>
      <c r="L448" s="7">
        <v>30</v>
      </c>
      <c r="M448" t="s">
        <v>19</v>
      </c>
      <c r="N448" s="9"/>
      <c r="O448" s="8">
        <f t="array" ref="O448">INDEX(TechRate,MATCH(H448,TechNum,0))</f>
        <v>80</v>
      </c>
      <c r="P448" s="10">
        <f>WorkOrders2[[#This Row],[Techs]]*(WorkOrders2[[#This Row],[PartsCost]]*WorkOrders2[[#This Row],[LbrHrs]])</f>
        <v>7.5</v>
      </c>
      <c r="Q448" s="10">
        <f t="shared" si="36"/>
        <v>7.5</v>
      </c>
      <c r="R448" s="10">
        <f t="shared" si="37"/>
        <v>30</v>
      </c>
      <c r="S448" s="10">
        <f t="shared" si="38"/>
        <v>37.5</v>
      </c>
      <c r="T448" s="10">
        <f t="shared" si="39"/>
        <v>37.5</v>
      </c>
      <c r="U448" s="8" t="str">
        <f t="shared" si="40"/>
        <v>Thu</v>
      </c>
      <c r="V448" s="8" t="str">
        <f t="shared" si="41"/>
        <v>Tue</v>
      </c>
    </row>
    <row r="449" spans="1:22" hidden="1" x14ac:dyDescent="0.25">
      <c r="A449" t="s">
        <v>154</v>
      </c>
      <c r="B449" t="s">
        <v>38</v>
      </c>
      <c r="C449" t="s">
        <v>6</v>
      </c>
      <c r="D449" t="s">
        <v>13</v>
      </c>
      <c r="F449" s="5">
        <v>44119</v>
      </c>
      <c r="G449" s="5">
        <v>44145</v>
      </c>
      <c r="H449" s="2">
        <v>1</v>
      </c>
      <c r="I449" s="6"/>
      <c r="J449" s="6"/>
      <c r="K449" s="7">
        <v>0.5</v>
      </c>
      <c r="L449" s="7">
        <v>105.8442</v>
      </c>
      <c r="M449" t="s">
        <v>17</v>
      </c>
      <c r="N449" s="9"/>
      <c r="O449" s="8">
        <f t="array" ref="O449">INDEX(TechRate,MATCH(H449,TechNum,0))</f>
        <v>80</v>
      </c>
      <c r="P449" s="10">
        <f>WorkOrders2[[#This Row],[Techs]]*(WorkOrders2[[#This Row],[PartsCost]]*WorkOrders2[[#This Row],[LbrHrs]])</f>
        <v>52.9221</v>
      </c>
      <c r="Q449" s="10">
        <f t="shared" si="36"/>
        <v>52.9221</v>
      </c>
      <c r="R449" s="10">
        <f t="shared" si="37"/>
        <v>105.8442</v>
      </c>
      <c r="S449" s="10">
        <f t="shared" si="38"/>
        <v>158.7663</v>
      </c>
      <c r="T449" s="10">
        <f t="shared" si="39"/>
        <v>158.7663</v>
      </c>
      <c r="U449" s="8" t="str">
        <f t="shared" si="40"/>
        <v>Thu</v>
      </c>
      <c r="V449" s="8" t="str">
        <f t="shared" si="41"/>
        <v>Tue</v>
      </c>
    </row>
    <row r="450" spans="1:22" hidden="1" x14ac:dyDescent="0.25">
      <c r="A450" t="s">
        <v>156</v>
      </c>
      <c r="B450" t="s">
        <v>38</v>
      </c>
      <c r="C450" t="s">
        <v>6</v>
      </c>
      <c r="D450" t="s">
        <v>13</v>
      </c>
      <c r="F450" s="5">
        <v>44123</v>
      </c>
      <c r="G450" s="5">
        <v>44160</v>
      </c>
      <c r="H450" s="2">
        <v>1</v>
      </c>
      <c r="I450" s="6"/>
      <c r="J450" s="6"/>
      <c r="K450" s="7">
        <v>1</v>
      </c>
      <c r="L450" s="7">
        <v>120</v>
      </c>
      <c r="M450" t="s">
        <v>19</v>
      </c>
      <c r="N450" s="9"/>
      <c r="O450" s="8">
        <f t="array" ref="O450">INDEX(TechRate,MATCH(H450,TechNum,0))</f>
        <v>80</v>
      </c>
      <c r="P450" s="10">
        <f>WorkOrders2[[#This Row],[Techs]]*(WorkOrders2[[#This Row],[PartsCost]]*WorkOrders2[[#This Row],[LbrHrs]])</f>
        <v>120</v>
      </c>
      <c r="Q450" s="10">
        <f t="shared" ref="Q450:Q513" si="42">IF(I450="Yes",0,P450)</f>
        <v>120</v>
      </c>
      <c r="R450" s="10">
        <f t="shared" ref="R450:R500" si="43">IF(J450="Yes",0,L450)</f>
        <v>120</v>
      </c>
      <c r="S450" s="10">
        <f t="shared" ref="S450:S500" si="44">SUM(L450,P450)</f>
        <v>240</v>
      </c>
      <c r="T450" s="10">
        <f t="shared" ref="T450:T500" si="45">SUM(Q450,R450)</f>
        <v>240</v>
      </c>
      <c r="U450" s="8" t="str">
        <f t="shared" ref="U450:U500" si="46">TEXT(F450,"ddd")</f>
        <v>Mon</v>
      </c>
      <c r="V450" s="8" t="str">
        <f t="shared" ref="V450:V500" si="47">TEXT(G450,"ddd")</f>
        <v>Wed</v>
      </c>
    </row>
    <row r="451" spans="1:22" hidden="1" x14ac:dyDescent="0.25">
      <c r="A451" t="s">
        <v>162</v>
      </c>
      <c r="B451" t="s">
        <v>38</v>
      </c>
      <c r="C451" t="s">
        <v>6</v>
      </c>
      <c r="D451" t="s">
        <v>12</v>
      </c>
      <c r="F451" s="5">
        <v>44125</v>
      </c>
      <c r="G451" s="5">
        <v>44145</v>
      </c>
      <c r="H451" s="2">
        <v>1</v>
      </c>
      <c r="I451" s="6"/>
      <c r="J451" s="6"/>
      <c r="K451" s="7">
        <v>0.75</v>
      </c>
      <c r="L451" s="7">
        <v>126</v>
      </c>
      <c r="M451" t="s">
        <v>19</v>
      </c>
      <c r="N451" s="9"/>
      <c r="O451" s="8">
        <f t="array" ref="O451">INDEX(TechRate,MATCH(H451,TechNum,0))</f>
        <v>80</v>
      </c>
      <c r="P451" s="10">
        <f>WorkOrders2[[#This Row],[Techs]]*(WorkOrders2[[#This Row],[PartsCost]]*WorkOrders2[[#This Row],[LbrHrs]])</f>
        <v>94.5</v>
      </c>
      <c r="Q451" s="10">
        <f t="shared" si="42"/>
        <v>94.5</v>
      </c>
      <c r="R451" s="10">
        <f t="shared" si="43"/>
        <v>126</v>
      </c>
      <c r="S451" s="10">
        <f t="shared" si="44"/>
        <v>220.5</v>
      </c>
      <c r="T451" s="10">
        <f t="shared" si="45"/>
        <v>220.5</v>
      </c>
      <c r="U451" s="8" t="str">
        <f t="shared" si="46"/>
        <v>Wed</v>
      </c>
      <c r="V451" s="8" t="str">
        <f t="shared" si="47"/>
        <v>Tue</v>
      </c>
    </row>
    <row r="452" spans="1:22" hidden="1" x14ac:dyDescent="0.25">
      <c r="A452" t="s">
        <v>166</v>
      </c>
      <c r="B452" t="s">
        <v>38</v>
      </c>
      <c r="C452" t="s">
        <v>8</v>
      </c>
      <c r="D452" t="s">
        <v>12</v>
      </c>
      <c r="F452" s="5">
        <v>44128</v>
      </c>
      <c r="G452" s="5">
        <v>44159</v>
      </c>
      <c r="H452" s="2">
        <v>1</v>
      </c>
      <c r="I452" s="6"/>
      <c r="J452" s="6"/>
      <c r="K452" s="7">
        <v>0.5</v>
      </c>
      <c r="L452" s="7">
        <v>28.5868</v>
      </c>
      <c r="M452" t="s">
        <v>17</v>
      </c>
      <c r="N452" s="9"/>
      <c r="O452" s="8">
        <f t="array" ref="O452">INDEX(TechRate,MATCH(H452,TechNum,0))</f>
        <v>80</v>
      </c>
      <c r="P452" s="10">
        <f>WorkOrders2[[#This Row],[Techs]]*(WorkOrders2[[#This Row],[PartsCost]]*WorkOrders2[[#This Row],[LbrHrs]])</f>
        <v>14.2934</v>
      </c>
      <c r="Q452" s="10">
        <f t="shared" si="42"/>
        <v>14.2934</v>
      </c>
      <c r="R452" s="10">
        <f t="shared" si="43"/>
        <v>28.5868</v>
      </c>
      <c r="S452" s="10">
        <f t="shared" si="44"/>
        <v>42.880200000000002</v>
      </c>
      <c r="T452" s="10">
        <f t="shared" si="45"/>
        <v>42.880200000000002</v>
      </c>
      <c r="U452" s="8" t="str">
        <f t="shared" si="46"/>
        <v>Sat</v>
      </c>
      <c r="V452" s="8" t="str">
        <f t="shared" si="47"/>
        <v>Tue</v>
      </c>
    </row>
    <row r="453" spans="1:22" hidden="1" x14ac:dyDescent="0.25">
      <c r="A453" t="s">
        <v>167</v>
      </c>
      <c r="B453" t="s">
        <v>38</v>
      </c>
      <c r="C453" t="s">
        <v>9</v>
      </c>
      <c r="D453" t="s">
        <v>13</v>
      </c>
      <c r="F453" s="5">
        <v>44128</v>
      </c>
      <c r="G453" s="5">
        <v>44179</v>
      </c>
      <c r="H453" s="2">
        <v>2</v>
      </c>
      <c r="I453" s="6"/>
      <c r="J453" s="6"/>
      <c r="K453" s="7">
        <v>2.5</v>
      </c>
      <c r="L453" s="7">
        <v>213.48050000000001</v>
      </c>
      <c r="M453" t="s">
        <v>17</v>
      </c>
      <c r="N453" s="9"/>
      <c r="O453" s="8">
        <f t="array" ref="O453">INDEX(TechRate,MATCH(H453,TechNum,0))</f>
        <v>140</v>
      </c>
      <c r="P453" s="10">
        <f>WorkOrders2[[#This Row],[Techs]]*(WorkOrders2[[#This Row],[PartsCost]]*WorkOrders2[[#This Row],[LbrHrs]])</f>
        <v>1067.4025000000001</v>
      </c>
      <c r="Q453" s="10">
        <f t="shared" si="42"/>
        <v>1067.4025000000001</v>
      </c>
      <c r="R453" s="10">
        <f t="shared" si="43"/>
        <v>213.48050000000001</v>
      </c>
      <c r="S453" s="10">
        <f t="shared" si="44"/>
        <v>1280.8830000000003</v>
      </c>
      <c r="T453" s="10">
        <f t="shared" si="45"/>
        <v>1280.8830000000003</v>
      </c>
      <c r="U453" s="8" t="str">
        <f t="shared" si="46"/>
        <v>Sat</v>
      </c>
      <c r="V453" s="8" t="str">
        <f t="shared" si="47"/>
        <v>Mon</v>
      </c>
    </row>
    <row r="454" spans="1:22" hidden="1" x14ac:dyDescent="0.25">
      <c r="A454" t="s">
        <v>168</v>
      </c>
      <c r="B454" t="s">
        <v>38</v>
      </c>
      <c r="C454" t="s">
        <v>8</v>
      </c>
      <c r="D454" t="s">
        <v>12</v>
      </c>
      <c r="F454" s="5">
        <v>44130</v>
      </c>
      <c r="G454" s="5">
        <v>44131</v>
      </c>
      <c r="H454" s="2">
        <v>1</v>
      </c>
      <c r="I454" s="6"/>
      <c r="J454" s="6"/>
      <c r="K454" s="7">
        <v>0.5</v>
      </c>
      <c r="L454" s="7">
        <v>83.441299999999998</v>
      </c>
      <c r="M454" t="s">
        <v>17</v>
      </c>
      <c r="N454" s="9"/>
      <c r="O454" s="8">
        <f t="array" ref="O454">INDEX(TechRate,MATCH(H454,TechNum,0))</f>
        <v>80</v>
      </c>
      <c r="P454" s="10">
        <f>WorkOrders2[[#This Row],[Techs]]*(WorkOrders2[[#This Row],[PartsCost]]*WorkOrders2[[#This Row],[LbrHrs]])</f>
        <v>41.720649999999999</v>
      </c>
      <c r="Q454" s="10">
        <f t="shared" si="42"/>
        <v>41.720649999999999</v>
      </c>
      <c r="R454" s="10">
        <f t="shared" si="43"/>
        <v>83.441299999999998</v>
      </c>
      <c r="S454" s="10">
        <f t="shared" si="44"/>
        <v>125.16194999999999</v>
      </c>
      <c r="T454" s="10">
        <f t="shared" si="45"/>
        <v>125.16194999999999</v>
      </c>
      <c r="U454" s="8" t="str">
        <f t="shared" si="46"/>
        <v>Mon</v>
      </c>
      <c r="V454" s="8" t="str">
        <f t="shared" si="47"/>
        <v>Tue</v>
      </c>
    </row>
    <row r="455" spans="1:22" hidden="1" x14ac:dyDescent="0.25">
      <c r="A455" t="s">
        <v>171</v>
      </c>
      <c r="B455" t="s">
        <v>38</v>
      </c>
      <c r="C455" t="s">
        <v>8</v>
      </c>
      <c r="D455" t="s">
        <v>13</v>
      </c>
      <c r="F455" s="5">
        <v>44131</v>
      </c>
      <c r="G455" s="5">
        <v>44181</v>
      </c>
      <c r="H455" s="2">
        <v>1</v>
      </c>
      <c r="I455" s="6"/>
      <c r="J455" s="6"/>
      <c r="K455" s="7">
        <v>0.5</v>
      </c>
      <c r="L455" s="7">
        <v>172.02</v>
      </c>
      <c r="M455" t="s">
        <v>19</v>
      </c>
      <c r="N455" s="9"/>
      <c r="O455" s="8">
        <f t="array" ref="O455">INDEX(TechRate,MATCH(H455,TechNum,0))</f>
        <v>80</v>
      </c>
      <c r="P455" s="10">
        <f>WorkOrders2[[#This Row],[Techs]]*(WorkOrders2[[#This Row],[PartsCost]]*WorkOrders2[[#This Row],[LbrHrs]])</f>
        <v>86.01</v>
      </c>
      <c r="Q455" s="10">
        <f t="shared" si="42"/>
        <v>86.01</v>
      </c>
      <c r="R455" s="10">
        <f t="shared" si="43"/>
        <v>172.02</v>
      </c>
      <c r="S455" s="10">
        <f t="shared" si="44"/>
        <v>258.03000000000003</v>
      </c>
      <c r="T455" s="10">
        <f t="shared" si="45"/>
        <v>258.03000000000003</v>
      </c>
      <c r="U455" s="8" t="str">
        <f t="shared" si="46"/>
        <v>Tue</v>
      </c>
      <c r="V455" s="8" t="str">
        <f t="shared" si="47"/>
        <v>Wed</v>
      </c>
    </row>
    <row r="456" spans="1:22" hidden="1" x14ac:dyDescent="0.25">
      <c r="A456" t="s">
        <v>177</v>
      </c>
      <c r="B456" t="s">
        <v>38</v>
      </c>
      <c r="C456" t="s">
        <v>8</v>
      </c>
      <c r="D456" t="s">
        <v>13</v>
      </c>
      <c r="F456" s="5">
        <v>44137</v>
      </c>
      <c r="G456" s="5">
        <v>44139</v>
      </c>
      <c r="H456" s="2">
        <v>2</v>
      </c>
      <c r="I456" s="6"/>
      <c r="J456" s="6"/>
      <c r="K456" s="7">
        <v>1</v>
      </c>
      <c r="L456" s="7">
        <v>228.6335</v>
      </c>
      <c r="M456" t="s">
        <v>18</v>
      </c>
      <c r="N456" s="9"/>
      <c r="O456" s="8">
        <f t="array" ref="O456">INDEX(TechRate,MATCH(H456,TechNum,0))</f>
        <v>140</v>
      </c>
      <c r="P456" s="10">
        <f>WorkOrders2[[#This Row],[Techs]]*(WorkOrders2[[#This Row],[PartsCost]]*WorkOrders2[[#This Row],[LbrHrs]])</f>
        <v>457.267</v>
      </c>
      <c r="Q456" s="10">
        <f t="shared" si="42"/>
        <v>457.267</v>
      </c>
      <c r="R456" s="10">
        <f t="shared" si="43"/>
        <v>228.6335</v>
      </c>
      <c r="S456" s="10">
        <f t="shared" si="44"/>
        <v>685.90049999999997</v>
      </c>
      <c r="T456" s="10">
        <f t="shared" si="45"/>
        <v>685.90049999999997</v>
      </c>
      <c r="U456" s="8" t="str">
        <f t="shared" si="46"/>
        <v>Mon</v>
      </c>
      <c r="V456" s="8" t="str">
        <f t="shared" si="47"/>
        <v>Wed</v>
      </c>
    </row>
    <row r="457" spans="1:22" hidden="1" x14ac:dyDescent="0.25">
      <c r="A457" t="s">
        <v>178</v>
      </c>
      <c r="B457" t="s">
        <v>38</v>
      </c>
      <c r="C457" t="s">
        <v>6</v>
      </c>
      <c r="D457" t="s">
        <v>12</v>
      </c>
      <c r="F457" s="5">
        <v>44137</v>
      </c>
      <c r="G457" s="5">
        <v>44160</v>
      </c>
      <c r="H457" s="2">
        <v>1</v>
      </c>
      <c r="I457" s="6"/>
      <c r="J457" s="6"/>
      <c r="K457" s="7">
        <v>0.5</v>
      </c>
      <c r="L457" s="7">
        <v>26.582599999999999</v>
      </c>
      <c r="M457" t="s">
        <v>17</v>
      </c>
      <c r="N457" s="9"/>
      <c r="O457" s="8">
        <f t="array" ref="O457">INDEX(TechRate,MATCH(H457,TechNum,0))</f>
        <v>80</v>
      </c>
      <c r="P457" s="10">
        <f>WorkOrders2[[#This Row],[Techs]]*(WorkOrders2[[#This Row],[PartsCost]]*WorkOrders2[[#This Row],[LbrHrs]])</f>
        <v>13.2913</v>
      </c>
      <c r="Q457" s="10">
        <f t="shared" si="42"/>
        <v>13.2913</v>
      </c>
      <c r="R457" s="10">
        <f t="shared" si="43"/>
        <v>26.582599999999999</v>
      </c>
      <c r="S457" s="10">
        <f t="shared" si="44"/>
        <v>39.873899999999999</v>
      </c>
      <c r="T457" s="10">
        <f t="shared" si="45"/>
        <v>39.873899999999999</v>
      </c>
      <c r="U457" s="8" t="str">
        <f t="shared" si="46"/>
        <v>Mon</v>
      </c>
      <c r="V457" s="8" t="str">
        <f t="shared" si="47"/>
        <v>Wed</v>
      </c>
    </row>
    <row r="458" spans="1:22" hidden="1" x14ac:dyDescent="0.25">
      <c r="A458" t="s">
        <v>185</v>
      </c>
      <c r="B458" t="s">
        <v>38</v>
      </c>
      <c r="C458" t="s">
        <v>8</v>
      </c>
      <c r="D458" t="s">
        <v>13</v>
      </c>
      <c r="F458" s="5">
        <v>44139</v>
      </c>
      <c r="G458" s="5">
        <v>44144</v>
      </c>
      <c r="H458" s="2">
        <v>1</v>
      </c>
      <c r="I458" s="6"/>
      <c r="J458" s="6"/>
      <c r="K458" s="7">
        <v>0.5</v>
      </c>
      <c r="L458" s="7">
        <v>748.44</v>
      </c>
      <c r="M458" t="s">
        <v>17</v>
      </c>
      <c r="N458" s="9"/>
      <c r="O458" s="8">
        <f t="array" ref="O458">INDEX(TechRate,MATCH(H458,TechNum,0))</f>
        <v>80</v>
      </c>
      <c r="P458" s="10">
        <f>WorkOrders2[[#This Row],[Techs]]*(WorkOrders2[[#This Row],[PartsCost]]*WorkOrders2[[#This Row],[LbrHrs]])</f>
        <v>374.22</v>
      </c>
      <c r="Q458" s="10">
        <f t="shared" si="42"/>
        <v>374.22</v>
      </c>
      <c r="R458" s="10">
        <f t="shared" si="43"/>
        <v>748.44</v>
      </c>
      <c r="S458" s="10">
        <f t="shared" si="44"/>
        <v>1122.6600000000001</v>
      </c>
      <c r="T458" s="10">
        <f t="shared" si="45"/>
        <v>1122.6600000000001</v>
      </c>
      <c r="U458" s="8" t="str">
        <f t="shared" si="46"/>
        <v>Wed</v>
      </c>
      <c r="V458" s="8" t="str">
        <f t="shared" si="47"/>
        <v>Mon</v>
      </c>
    </row>
    <row r="459" spans="1:22" hidden="1" x14ac:dyDescent="0.25">
      <c r="A459" t="s">
        <v>186</v>
      </c>
      <c r="B459" t="s">
        <v>38</v>
      </c>
      <c r="C459" t="s">
        <v>6</v>
      </c>
      <c r="D459" t="s">
        <v>1</v>
      </c>
      <c r="F459" s="5">
        <v>44139</v>
      </c>
      <c r="G459" s="5">
        <v>44152</v>
      </c>
      <c r="H459" s="2">
        <v>1</v>
      </c>
      <c r="I459" s="6"/>
      <c r="J459" s="6"/>
      <c r="K459" s="7">
        <v>1</v>
      </c>
      <c r="L459" s="7">
        <v>86.356300000000005</v>
      </c>
      <c r="M459" t="s">
        <v>19</v>
      </c>
      <c r="N459" s="9"/>
      <c r="O459" s="8">
        <f t="array" ref="O459">INDEX(TechRate,MATCH(H459,TechNum,0))</f>
        <v>80</v>
      </c>
      <c r="P459" s="10">
        <f>WorkOrders2[[#This Row],[Techs]]*(WorkOrders2[[#This Row],[PartsCost]]*WorkOrders2[[#This Row],[LbrHrs]])</f>
        <v>86.356300000000005</v>
      </c>
      <c r="Q459" s="10">
        <f t="shared" si="42"/>
        <v>86.356300000000005</v>
      </c>
      <c r="R459" s="10">
        <f t="shared" si="43"/>
        <v>86.356300000000005</v>
      </c>
      <c r="S459" s="10">
        <f t="shared" si="44"/>
        <v>172.71260000000001</v>
      </c>
      <c r="T459" s="10">
        <f t="shared" si="45"/>
        <v>172.71260000000001</v>
      </c>
      <c r="U459" s="8" t="str">
        <f t="shared" si="46"/>
        <v>Wed</v>
      </c>
      <c r="V459" s="8" t="str">
        <f t="shared" si="47"/>
        <v>Tue</v>
      </c>
    </row>
    <row r="460" spans="1:22" hidden="1" x14ac:dyDescent="0.25">
      <c r="A460" t="s">
        <v>189</v>
      </c>
      <c r="B460" t="s">
        <v>38</v>
      </c>
      <c r="C460" t="s">
        <v>8</v>
      </c>
      <c r="D460" t="s">
        <v>12</v>
      </c>
      <c r="F460" s="5">
        <v>44139</v>
      </c>
      <c r="G460" s="5">
        <v>44167</v>
      </c>
      <c r="H460" s="2">
        <v>1</v>
      </c>
      <c r="I460" s="6"/>
      <c r="J460" s="6"/>
      <c r="K460" s="7">
        <v>0.5</v>
      </c>
      <c r="L460" s="7">
        <v>25.26</v>
      </c>
      <c r="M460" t="s">
        <v>17</v>
      </c>
      <c r="N460" s="9"/>
      <c r="O460" s="8">
        <f t="array" ref="O460">INDEX(TechRate,MATCH(H460,TechNum,0))</f>
        <v>80</v>
      </c>
      <c r="P460" s="10">
        <f>WorkOrders2[[#This Row],[Techs]]*(WorkOrders2[[#This Row],[PartsCost]]*WorkOrders2[[#This Row],[LbrHrs]])</f>
        <v>12.63</v>
      </c>
      <c r="Q460" s="10">
        <f t="shared" si="42"/>
        <v>12.63</v>
      </c>
      <c r="R460" s="10">
        <f t="shared" si="43"/>
        <v>25.26</v>
      </c>
      <c r="S460" s="10">
        <f t="shared" si="44"/>
        <v>37.89</v>
      </c>
      <c r="T460" s="10">
        <f t="shared" si="45"/>
        <v>37.89</v>
      </c>
      <c r="U460" s="8" t="str">
        <f t="shared" si="46"/>
        <v>Wed</v>
      </c>
      <c r="V460" s="8" t="str">
        <f t="shared" si="47"/>
        <v>Wed</v>
      </c>
    </row>
    <row r="461" spans="1:22" hidden="1" x14ac:dyDescent="0.25">
      <c r="A461" t="s">
        <v>191</v>
      </c>
      <c r="B461" t="s">
        <v>38</v>
      </c>
      <c r="C461" t="s">
        <v>6</v>
      </c>
      <c r="D461" t="s">
        <v>13</v>
      </c>
      <c r="F461" s="5">
        <v>44140</v>
      </c>
      <c r="G461" s="5">
        <v>44160</v>
      </c>
      <c r="H461" s="2">
        <v>1</v>
      </c>
      <c r="I461" s="6"/>
      <c r="J461" s="6"/>
      <c r="K461" s="7">
        <v>0.5</v>
      </c>
      <c r="L461" s="7">
        <v>27.953900000000001</v>
      </c>
      <c r="M461" t="s">
        <v>17</v>
      </c>
      <c r="N461" s="9"/>
      <c r="O461" s="8">
        <f t="array" ref="O461">INDEX(TechRate,MATCH(H461,TechNum,0))</f>
        <v>80</v>
      </c>
      <c r="P461" s="10">
        <f>WorkOrders2[[#This Row],[Techs]]*(WorkOrders2[[#This Row],[PartsCost]]*WorkOrders2[[#This Row],[LbrHrs]])</f>
        <v>13.97695</v>
      </c>
      <c r="Q461" s="10">
        <f t="shared" si="42"/>
        <v>13.97695</v>
      </c>
      <c r="R461" s="10">
        <f t="shared" si="43"/>
        <v>27.953900000000001</v>
      </c>
      <c r="S461" s="10">
        <f t="shared" si="44"/>
        <v>41.93085</v>
      </c>
      <c r="T461" s="10">
        <f t="shared" si="45"/>
        <v>41.93085</v>
      </c>
      <c r="U461" s="8" t="str">
        <f t="shared" si="46"/>
        <v>Thu</v>
      </c>
      <c r="V461" s="8" t="str">
        <f t="shared" si="47"/>
        <v>Wed</v>
      </c>
    </row>
    <row r="462" spans="1:22" hidden="1" x14ac:dyDescent="0.25">
      <c r="A462" t="s">
        <v>195</v>
      </c>
      <c r="B462" t="s">
        <v>38</v>
      </c>
      <c r="C462" t="s">
        <v>8</v>
      </c>
      <c r="D462" t="s">
        <v>13</v>
      </c>
      <c r="F462" s="5">
        <v>44145</v>
      </c>
      <c r="G462" s="5">
        <v>44174</v>
      </c>
      <c r="H462" s="2">
        <v>1</v>
      </c>
      <c r="I462" s="6"/>
      <c r="J462" s="6"/>
      <c r="K462" s="7">
        <v>0.5</v>
      </c>
      <c r="L462" s="7">
        <v>163.36609999999999</v>
      </c>
      <c r="M462" t="s">
        <v>19</v>
      </c>
      <c r="N462" s="9"/>
      <c r="O462" s="8">
        <f t="array" ref="O462">INDEX(TechRate,MATCH(H462,TechNum,0))</f>
        <v>80</v>
      </c>
      <c r="P462" s="10">
        <f>WorkOrders2[[#This Row],[Techs]]*(WorkOrders2[[#This Row],[PartsCost]]*WorkOrders2[[#This Row],[LbrHrs]])</f>
        <v>81.683049999999994</v>
      </c>
      <c r="Q462" s="10">
        <f t="shared" si="42"/>
        <v>81.683049999999994</v>
      </c>
      <c r="R462" s="10">
        <f t="shared" si="43"/>
        <v>163.36609999999999</v>
      </c>
      <c r="S462" s="10">
        <f t="shared" si="44"/>
        <v>245.04915</v>
      </c>
      <c r="T462" s="10">
        <f t="shared" si="45"/>
        <v>245.04915</v>
      </c>
      <c r="U462" s="8" t="str">
        <f t="shared" si="46"/>
        <v>Tue</v>
      </c>
      <c r="V462" s="8" t="str">
        <f t="shared" si="47"/>
        <v>Wed</v>
      </c>
    </row>
    <row r="463" spans="1:22" hidden="1" x14ac:dyDescent="0.25">
      <c r="A463" t="s">
        <v>201</v>
      </c>
      <c r="B463" t="s">
        <v>38</v>
      </c>
      <c r="C463" t="s">
        <v>8</v>
      </c>
      <c r="D463" t="s">
        <v>12</v>
      </c>
      <c r="F463" s="5">
        <v>44147</v>
      </c>
      <c r="G463" s="5">
        <v>44161</v>
      </c>
      <c r="H463" s="2">
        <v>1</v>
      </c>
      <c r="I463" s="6"/>
      <c r="J463" s="6"/>
      <c r="K463" s="7">
        <v>0.5</v>
      </c>
      <c r="L463" s="7">
        <v>12</v>
      </c>
      <c r="M463" t="s">
        <v>17</v>
      </c>
      <c r="N463" s="9"/>
      <c r="O463" s="8">
        <f t="array" ref="O463">INDEX(TechRate,MATCH(H463,TechNum,0))</f>
        <v>80</v>
      </c>
      <c r="P463" s="10">
        <f>WorkOrders2[[#This Row],[Techs]]*(WorkOrders2[[#This Row],[PartsCost]]*WorkOrders2[[#This Row],[LbrHrs]])</f>
        <v>6</v>
      </c>
      <c r="Q463" s="10">
        <f t="shared" si="42"/>
        <v>6</v>
      </c>
      <c r="R463" s="10">
        <f t="shared" si="43"/>
        <v>12</v>
      </c>
      <c r="S463" s="10">
        <f t="shared" si="44"/>
        <v>18</v>
      </c>
      <c r="T463" s="10">
        <f t="shared" si="45"/>
        <v>18</v>
      </c>
      <c r="U463" s="8" t="str">
        <f t="shared" si="46"/>
        <v>Thu</v>
      </c>
      <c r="V463" s="8" t="str">
        <f t="shared" si="47"/>
        <v>Thu</v>
      </c>
    </row>
    <row r="464" spans="1:22" hidden="1" x14ac:dyDescent="0.25">
      <c r="A464" t="s">
        <v>204</v>
      </c>
      <c r="B464" t="s">
        <v>38</v>
      </c>
      <c r="C464" t="s">
        <v>8</v>
      </c>
      <c r="D464" t="s">
        <v>12</v>
      </c>
      <c r="E464" t="s">
        <v>3</v>
      </c>
      <c r="F464" s="5">
        <v>44149</v>
      </c>
      <c r="G464" s="5">
        <v>44167</v>
      </c>
      <c r="H464" s="2">
        <v>1</v>
      </c>
      <c r="I464" s="6"/>
      <c r="J464" s="6"/>
      <c r="K464" s="7">
        <v>0.25</v>
      </c>
      <c r="L464" s="7">
        <v>26.582599999999999</v>
      </c>
      <c r="M464" t="s">
        <v>19</v>
      </c>
      <c r="N464" s="9"/>
      <c r="O464" s="8">
        <f t="array" ref="O464">INDEX(TechRate,MATCH(H464,TechNum,0))</f>
        <v>80</v>
      </c>
      <c r="P464" s="10">
        <f>WorkOrders2[[#This Row],[Techs]]*(WorkOrders2[[#This Row],[PartsCost]]*WorkOrders2[[#This Row],[LbrHrs]])</f>
        <v>6.6456499999999998</v>
      </c>
      <c r="Q464" s="10">
        <f t="shared" si="42"/>
        <v>6.6456499999999998</v>
      </c>
      <c r="R464" s="10">
        <f t="shared" si="43"/>
        <v>26.582599999999999</v>
      </c>
      <c r="S464" s="10">
        <f t="shared" si="44"/>
        <v>33.228250000000003</v>
      </c>
      <c r="T464" s="10">
        <f t="shared" si="45"/>
        <v>33.228250000000003</v>
      </c>
      <c r="U464" s="8" t="str">
        <f t="shared" si="46"/>
        <v>Sat</v>
      </c>
      <c r="V464" s="8" t="str">
        <f t="shared" si="47"/>
        <v>Wed</v>
      </c>
    </row>
    <row r="465" spans="1:22" hidden="1" x14ac:dyDescent="0.25">
      <c r="A465" t="s">
        <v>205</v>
      </c>
      <c r="B465" t="s">
        <v>38</v>
      </c>
      <c r="C465" t="s">
        <v>8</v>
      </c>
      <c r="D465" t="s">
        <v>12</v>
      </c>
      <c r="F465" s="5">
        <v>44151</v>
      </c>
      <c r="G465" s="5">
        <v>44167</v>
      </c>
      <c r="H465" s="2">
        <v>1</v>
      </c>
      <c r="I465" s="6"/>
      <c r="J465" s="6"/>
      <c r="K465" s="7">
        <v>0.5</v>
      </c>
      <c r="L465" s="7">
        <v>13.42</v>
      </c>
      <c r="M465" t="s">
        <v>18</v>
      </c>
      <c r="N465" s="9"/>
      <c r="O465" s="8">
        <f t="array" ref="O465">INDEX(TechRate,MATCH(H465,TechNum,0))</f>
        <v>80</v>
      </c>
      <c r="P465" s="10">
        <f>WorkOrders2[[#This Row],[Techs]]*(WorkOrders2[[#This Row],[PartsCost]]*WorkOrders2[[#This Row],[LbrHrs]])</f>
        <v>6.71</v>
      </c>
      <c r="Q465" s="10">
        <f t="shared" si="42"/>
        <v>6.71</v>
      </c>
      <c r="R465" s="10">
        <f t="shared" si="43"/>
        <v>13.42</v>
      </c>
      <c r="S465" s="10">
        <f t="shared" si="44"/>
        <v>20.13</v>
      </c>
      <c r="T465" s="10">
        <f t="shared" si="45"/>
        <v>20.13</v>
      </c>
      <c r="U465" s="8" t="str">
        <f t="shared" si="46"/>
        <v>Mon</v>
      </c>
      <c r="V465" s="8" t="str">
        <f t="shared" si="47"/>
        <v>Wed</v>
      </c>
    </row>
    <row r="466" spans="1:22" hidden="1" x14ac:dyDescent="0.25">
      <c r="A466" t="s">
        <v>206</v>
      </c>
      <c r="B466" t="s">
        <v>38</v>
      </c>
      <c r="C466" t="s">
        <v>8</v>
      </c>
      <c r="D466" t="s">
        <v>1</v>
      </c>
      <c r="F466" s="5">
        <v>44151</v>
      </c>
      <c r="G466" s="5">
        <v>44168</v>
      </c>
      <c r="H466" s="2">
        <v>1</v>
      </c>
      <c r="I466" s="6"/>
      <c r="J466" s="6"/>
      <c r="K466" s="7">
        <v>1</v>
      </c>
      <c r="L466" s="7">
        <v>324</v>
      </c>
      <c r="M466" t="s">
        <v>19</v>
      </c>
      <c r="N466" s="9"/>
      <c r="O466" s="8">
        <f t="array" ref="O466">INDEX(TechRate,MATCH(H466,TechNum,0))</f>
        <v>80</v>
      </c>
      <c r="P466" s="10">
        <f>WorkOrders2[[#This Row],[Techs]]*(WorkOrders2[[#This Row],[PartsCost]]*WorkOrders2[[#This Row],[LbrHrs]])</f>
        <v>324</v>
      </c>
      <c r="Q466" s="10">
        <f t="shared" si="42"/>
        <v>324</v>
      </c>
      <c r="R466" s="10">
        <f t="shared" si="43"/>
        <v>324</v>
      </c>
      <c r="S466" s="10">
        <f t="shared" si="44"/>
        <v>648</v>
      </c>
      <c r="T466" s="10">
        <f t="shared" si="45"/>
        <v>648</v>
      </c>
      <c r="U466" s="8" t="str">
        <f t="shared" si="46"/>
        <v>Mon</v>
      </c>
      <c r="V466" s="8" t="str">
        <f t="shared" si="47"/>
        <v>Thu</v>
      </c>
    </row>
    <row r="467" spans="1:22" hidden="1" x14ac:dyDescent="0.25">
      <c r="A467" t="s">
        <v>227</v>
      </c>
      <c r="B467" t="s">
        <v>38</v>
      </c>
      <c r="C467" t="s">
        <v>8</v>
      </c>
      <c r="D467" t="s">
        <v>12</v>
      </c>
      <c r="F467" s="5">
        <v>44160</v>
      </c>
      <c r="G467" s="5">
        <v>44200</v>
      </c>
      <c r="H467" s="2">
        <v>1</v>
      </c>
      <c r="I467" s="6"/>
      <c r="J467" s="6"/>
      <c r="K467" s="7">
        <v>0.5</v>
      </c>
      <c r="L467" s="7">
        <v>66.864900000000006</v>
      </c>
      <c r="M467" t="s">
        <v>17</v>
      </c>
      <c r="N467" s="9"/>
      <c r="O467" s="8">
        <f t="array" ref="O467">INDEX(TechRate,MATCH(H467,TechNum,0))</f>
        <v>80</v>
      </c>
      <c r="P467" s="10">
        <f>WorkOrders2[[#This Row],[Techs]]*(WorkOrders2[[#This Row],[PartsCost]]*WorkOrders2[[#This Row],[LbrHrs]])</f>
        <v>33.432450000000003</v>
      </c>
      <c r="Q467" s="10">
        <f t="shared" si="42"/>
        <v>33.432450000000003</v>
      </c>
      <c r="R467" s="10">
        <f t="shared" si="43"/>
        <v>66.864900000000006</v>
      </c>
      <c r="S467" s="10">
        <f t="shared" si="44"/>
        <v>100.29735000000001</v>
      </c>
      <c r="T467" s="10">
        <f t="shared" si="45"/>
        <v>100.29735000000001</v>
      </c>
      <c r="U467" s="8" t="str">
        <f t="shared" si="46"/>
        <v>Wed</v>
      </c>
      <c r="V467" s="8" t="str">
        <f t="shared" si="47"/>
        <v>Mon</v>
      </c>
    </row>
    <row r="468" spans="1:22" hidden="1" x14ac:dyDescent="0.25">
      <c r="A468" t="s">
        <v>228</v>
      </c>
      <c r="B468" t="s">
        <v>38</v>
      </c>
      <c r="C468" t="s">
        <v>8</v>
      </c>
      <c r="D468" t="s">
        <v>12</v>
      </c>
      <c r="F468" s="5">
        <v>44160</v>
      </c>
      <c r="G468" s="5">
        <v>44200</v>
      </c>
      <c r="H468" s="2">
        <v>1</v>
      </c>
      <c r="I468" s="6"/>
      <c r="J468" s="6"/>
      <c r="K468" s="7">
        <v>0.75</v>
      </c>
      <c r="L468" s="7">
        <v>94.26</v>
      </c>
      <c r="M468" t="s">
        <v>19</v>
      </c>
      <c r="N468" s="9"/>
      <c r="O468" s="8">
        <f t="array" ref="O468">INDEX(TechRate,MATCH(H468,TechNum,0))</f>
        <v>80</v>
      </c>
      <c r="P468" s="10">
        <f>WorkOrders2[[#This Row],[Techs]]*(WorkOrders2[[#This Row],[PartsCost]]*WorkOrders2[[#This Row],[LbrHrs]])</f>
        <v>70.695000000000007</v>
      </c>
      <c r="Q468" s="10">
        <f t="shared" si="42"/>
        <v>70.695000000000007</v>
      </c>
      <c r="R468" s="10">
        <f t="shared" si="43"/>
        <v>94.26</v>
      </c>
      <c r="S468" s="10">
        <f t="shared" si="44"/>
        <v>164.95500000000001</v>
      </c>
      <c r="T468" s="10">
        <f t="shared" si="45"/>
        <v>164.95500000000001</v>
      </c>
      <c r="U468" s="8" t="str">
        <f t="shared" si="46"/>
        <v>Wed</v>
      </c>
      <c r="V468" s="8" t="str">
        <f t="shared" si="47"/>
        <v>Mon</v>
      </c>
    </row>
    <row r="469" spans="1:22" hidden="1" x14ac:dyDescent="0.25">
      <c r="A469" t="s">
        <v>229</v>
      </c>
      <c r="B469" t="s">
        <v>38</v>
      </c>
      <c r="C469" t="s">
        <v>8</v>
      </c>
      <c r="D469" t="s">
        <v>12</v>
      </c>
      <c r="F469" s="5">
        <v>44160</v>
      </c>
      <c r="G469" s="5">
        <v>44200</v>
      </c>
      <c r="H469" s="2">
        <v>1</v>
      </c>
      <c r="I469" s="6"/>
      <c r="J469" s="6"/>
      <c r="K469" s="7">
        <v>0.25</v>
      </c>
      <c r="L469" s="7">
        <v>120</v>
      </c>
      <c r="M469" t="s">
        <v>18</v>
      </c>
      <c r="N469" s="9"/>
      <c r="O469" s="8">
        <f t="array" ref="O469">INDEX(TechRate,MATCH(H469,TechNum,0))</f>
        <v>80</v>
      </c>
      <c r="P469" s="10">
        <f>WorkOrders2[[#This Row],[Techs]]*(WorkOrders2[[#This Row],[PartsCost]]*WorkOrders2[[#This Row],[LbrHrs]])</f>
        <v>30</v>
      </c>
      <c r="Q469" s="10">
        <f t="shared" si="42"/>
        <v>30</v>
      </c>
      <c r="R469" s="10">
        <f t="shared" si="43"/>
        <v>120</v>
      </c>
      <c r="S469" s="10">
        <f t="shared" si="44"/>
        <v>150</v>
      </c>
      <c r="T469" s="10">
        <f t="shared" si="45"/>
        <v>150</v>
      </c>
      <c r="U469" s="8" t="str">
        <f t="shared" si="46"/>
        <v>Wed</v>
      </c>
      <c r="V469" s="8" t="str">
        <f t="shared" si="47"/>
        <v>Mon</v>
      </c>
    </row>
    <row r="470" spans="1:22" hidden="1" x14ac:dyDescent="0.25">
      <c r="A470" t="s">
        <v>230</v>
      </c>
      <c r="B470" t="s">
        <v>38</v>
      </c>
      <c r="C470" t="s">
        <v>8</v>
      </c>
      <c r="D470" t="s">
        <v>11</v>
      </c>
      <c r="F470" s="5">
        <v>44161</v>
      </c>
      <c r="G470" s="5">
        <v>44167</v>
      </c>
      <c r="H470" s="2">
        <v>1</v>
      </c>
      <c r="I470" s="6"/>
      <c r="J470" s="6"/>
      <c r="K470" s="7">
        <v>0.25</v>
      </c>
      <c r="L470" s="7">
        <v>120</v>
      </c>
      <c r="M470" t="s">
        <v>17</v>
      </c>
      <c r="N470" s="9"/>
      <c r="O470" s="8">
        <f t="array" ref="O470">INDEX(TechRate,MATCH(H470,TechNum,0))</f>
        <v>80</v>
      </c>
      <c r="P470" s="10">
        <f>WorkOrders2[[#This Row],[Techs]]*(WorkOrders2[[#This Row],[PartsCost]]*WorkOrders2[[#This Row],[LbrHrs]])</f>
        <v>30</v>
      </c>
      <c r="Q470" s="10">
        <f t="shared" si="42"/>
        <v>30</v>
      </c>
      <c r="R470" s="10">
        <f t="shared" si="43"/>
        <v>120</v>
      </c>
      <c r="S470" s="10">
        <f t="shared" si="44"/>
        <v>150</v>
      </c>
      <c r="T470" s="10">
        <f t="shared" si="45"/>
        <v>150</v>
      </c>
      <c r="U470" s="8" t="str">
        <f t="shared" si="46"/>
        <v>Thu</v>
      </c>
      <c r="V470" s="8" t="str">
        <f t="shared" si="47"/>
        <v>Wed</v>
      </c>
    </row>
    <row r="471" spans="1:22" hidden="1" x14ac:dyDescent="0.25">
      <c r="A471" t="s">
        <v>240</v>
      </c>
      <c r="B471" t="s">
        <v>38</v>
      </c>
      <c r="C471" t="s">
        <v>8</v>
      </c>
      <c r="D471" t="s">
        <v>12</v>
      </c>
      <c r="F471" s="5">
        <v>44165</v>
      </c>
      <c r="G471" s="5">
        <v>44200</v>
      </c>
      <c r="H471" s="2">
        <v>1</v>
      </c>
      <c r="I471" s="6"/>
      <c r="J471" s="6"/>
      <c r="K471" s="7">
        <v>0.25</v>
      </c>
      <c r="L471" s="7">
        <v>21.21</v>
      </c>
      <c r="M471" t="s">
        <v>19</v>
      </c>
      <c r="N471" s="9"/>
      <c r="O471" s="8">
        <f t="array" ref="O471">INDEX(TechRate,MATCH(H471,TechNum,0))</f>
        <v>80</v>
      </c>
      <c r="P471" s="10">
        <f>WorkOrders2[[#This Row],[Techs]]*(WorkOrders2[[#This Row],[PartsCost]]*WorkOrders2[[#This Row],[LbrHrs]])</f>
        <v>5.3025000000000002</v>
      </c>
      <c r="Q471" s="10">
        <f t="shared" si="42"/>
        <v>5.3025000000000002</v>
      </c>
      <c r="R471" s="10">
        <f t="shared" si="43"/>
        <v>21.21</v>
      </c>
      <c r="S471" s="10">
        <f t="shared" si="44"/>
        <v>26.512500000000003</v>
      </c>
      <c r="T471" s="10">
        <f t="shared" si="45"/>
        <v>26.512500000000003</v>
      </c>
      <c r="U471" s="8" t="str">
        <f t="shared" si="46"/>
        <v>Mon</v>
      </c>
      <c r="V471" s="8" t="str">
        <f t="shared" si="47"/>
        <v>Mon</v>
      </c>
    </row>
    <row r="472" spans="1:22" hidden="1" x14ac:dyDescent="0.25">
      <c r="A472" t="s">
        <v>254</v>
      </c>
      <c r="B472" t="s">
        <v>38</v>
      </c>
      <c r="C472" t="s">
        <v>9</v>
      </c>
      <c r="D472" t="s">
        <v>1</v>
      </c>
      <c r="F472" s="5">
        <v>44172</v>
      </c>
      <c r="G472" s="5">
        <v>44201</v>
      </c>
      <c r="H472" s="2">
        <v>2</v>
      </c>
      <c r="I472" s="6"/>
      <c r="J472" s="6"/>
      <c r="K472" s="7">
        <v>1</v>
      </c>
      <c r="L472" s="7">
        <v>51.45</v>
      </c>
      <c r="M472" t="s">
        <v>19</v>
      </c>
      <c r="N472" s="9"/>
      <c r="O472" s="8">
        <f t="array" ref="O472">INDEX(TechRate,MATCH(H472,TechNum,0))</f>
        <v>140</v>
      </c>
      <c r="P472" s="10">
        <f>WorkOrders2[[#This Row],[Techs]]*(WorkOrders2[[#This Row],[PartsCost]]*WorkOrders2[[#This Row],[LbrHrs]])</f>
        <v>102.9</v>
      </c>
      <c r="Q472" s="10">
        <f t="shared" si="42"/>
        <v>102.9</v>
      </c>
      <c r="R472" s="10">
        <f t="shared" si="43"/>
        <v>51.45</v>
      </c>
      <c r="S472" s="10">
        <f t="shared" si="44"/>
        <v>154.35000000000002</v>
      </c>
      <c r="T472" s="10">
        <f t="shared" si="45"/>
        <v>154.35000000000002</v>
      </c>
      <c r="U472" s="8" t="str">
        <f t="shared" si="46"/>
        <v>Mon</v>
      </c>
      <c r="V472" s="8" t="str">
        <f t="shared" si="47"/>
        <v>Tue</v>
      </c>
    </row>
    <row r="473" spans="1:22" hidden="1" x14ac:dyDescent="0.25">
      <c r="A473" t="s">
        <v>259</v>
      </c>
      <c r="B473" t="s">
        <v>38</v>
      </c>
      <c r="C473" t="s">
        <v>44</v>
      </c>
      <c r="D473" t="s">
        <v>13</v>
      </c>
      <c r="F473" s="5">
        <v>44173</v>
      </c>
      <c r="G473" s="5">
        <v>44181</v>
      </c>
      <c r="H473" s="2">
        <v>2</v>
      </c>
      <c r="I473" s="6"/>
      <c r="J473" s="6"/>
      <c r="K473" s="7">
        <v>1.5</v>
      </c>
      <c r="L473" s="7">
        <v>318.72519999999997</v>
      </c>
      <c r="M473" t="s">
        <v>17</v>
      </c>
      <c r="N473" s="9"/>
      <c r="O473" s="8">
        <f t="array" ref="O473">INDEX(TechRate,MATCH(H473,TechNum,0))</f>
        <v>140</v>
      </c>
      <c r="P473" s="10">
        <f>WorkOrders2[[#This Row],[Techs]]*(WorkOrders2[[#This Row],[PartsCost]]*WorkOrders2[[#This Row],[LbrHrs]])</f>
        <v>956.17559999999992</v>
      </c>
      <c r="Q473" s="10">
        <f t="shared" si="42"/>
        <v>956.17559999999992</v>
      </c>
      <c r="R473" s="10">
        <f t="shared" si="43"/>
        <v>318.72519999999997</v>
      </c>
      <c r="S473" s="10">
        <f t="shared" si="44"/>
        <v>1274.9007999999999</v>
      </c>
      <c r="T473" s="10">
        <f t="shared" si="45"/>
        <v>1274.9007999999999</v>
      </c>
      <c r="U473" s="8" t="str">
        <f t="shared" si="46"/>
        <v>Tue</v>
      </c>
      <c r="V473" s="8" t="str">
        <f t="shared" si="47"/>
        <v>Wed</v>
      </c>
    </row>
    <row r="474" spans="1:22" hidden="1" x14ac:dyDescent="0.25">
      <c r="A474" t="s">
        <v>267</v>
      </c>
      <c r="B474" t="s">
        <v>38</v>
      </c>
      <c r="C474" t="s">
        <v>43</v>
      </c>
      <c r="D474" t="s">
        <v>12</v>
      </c>
      <c r="F474" s="5">
        <v>44175</v>
      </c>
      <c r="G474" s="5">
        <v>44210</v>
      </c>
      <c r="H474" s="2">
        <v>1</v>
      </c>
      <c r="I474" s="6"/>
      <c r="J474" s="6"/>
      <c r="K474" s="7">
        <v>0.5</v>
      </c>
      <c r="L474" s="7">
        <v>32.226999999999997</v>
      </c>
      <c r="M474" t="s">
        <v>19</v>
      </c>
      <c r="N474" s="9"/>
      <c r="O474" s="8">
        <f t="array" ref="O474">INDEX(TechRate,MATCH(H474,TechNum,0))</f>
        <v>80</v>
      </c>
      <c r="P474" s="10">
        <f>WorkOrders2[[#This Row],[Techs]]*(WorkOrders2[[#This Row],[PartsCost]]*WorkOrders2[[#This Row],[LbrHrs]])</f>
        <v>16.113499999999998</v>
      </c>
      <c r="Q474" s="10">
        <f t="shared" si="42"/>
        <v>16.113499999999998</v>
      </c>
      <c r="R474" s="10">
        <f t="shared" si="43"/>
        <v>32.226999999999997</v>
      </c>
      <c r="S474" s="10">
        <f t="shared" si="44"/>
        <v>48.340499999999992</v>
      </c>
      <c r="T474" s="10">
        <f t="shared" si="45"/>
        <v>48.340499999999992</v>
      </c>
      <c r="U474" s="8" t="str">
        <f t="shared" si="46"/>
        <v>Thu</v>
      </c>
      <c r="V474" s="8" t="str">
        <f t="shared" si="47"/>
        <v>Thu</v>
      </c>
    </row>
    <row r="475" spans="1:22" hidden="1" x14ac:dyDescent="0.25">
      <c r="A475" t="s">
        <v>269</v>
      </c>
      <c r="B475" t="s">
        <v>38</v>
      </c>
      <c r="C475" t="s">
        <v>8</v>
      </c>
      <c r="D475" t="s">
        <v>12</v>
      </c>
      <c r="E475" t="s">
        <v>3</v>
      </c>
      <c r="F475" s="5">
        <v>44177</v>
      </c>
      <c r="G475" s="5">
        <v>44224</v>
      </c>
      <c r="H475" s="2">
        <v>1</v>
      </c>
      <c r="I475" s="6"/>
      <c r="J475" s="6"/>
      <c r="K475" s="7">
        <v>1</v>
      </c>
      <c r="L475" s="7">
        <v>337.9237</v>
      </c>
      <c r="M475" t="s">
        <v>17</v>
      </c>
      <c r="N475" s="9"/>
      <c r="O475" s="8">
        <f t="array" ref="O475">INDEX(TechRate,MATCH(H475,TechNum,0))</f>
        <v>80</v>
      </c>
      <c r="P475" s="10">
        <f>WorkOrders2[[#This Row],[Techs]]*(WorkOrders2[[#This Row],[PartsCost]]*WorkOrders2[[#This Row],[LbrHrs]])</f>
        <v>337.9237</v>
      </c>
      <c r="Q475" s="10">
        <f t="shared" si="42"/>
        <v>337.9237</v>
      </c>
      <c r="R475" s="10">
        <f t="shared" si="43"/>
        <v>337.9237</v>
      </c>
      <c r="S475" s="10">
        <f t="shared" si="44"/>
        <v>675.84739999999999</v>
      </c>
      <c r="T475" s="10">
        <f t="shared" si="45"/>
        <v>675.84739999999999</v>
      </c>
      <c r="U475" s="8" t="str">
        <f t="shared" si="46"/>
        <v>Sat</v>
      </c>
      <c r="V475" s="8" t="str">
        <f t="shared" si="47"/>
        <v>Thu</v>
      </c>
    </row>
    <row r="476" spans="1:22" hidden="1" x14ac:dyDescent="0.25">
      <c r="A476" t="s">
        <v>271</v>
      </c>
      <c r="B476" t="s">
        <v>38</v>
      </c>
      <c r="C476" t="s">
        <v>8</v>
      </c>
      <c r="D476" t="s">
        <v>12</v>
      </c>
      <c r="F476" s="5">
        <v>44179</v>
      </c>
      <c r="G476" s="5">
        <v>44181</v>
      </c>
      <c r="H476" s="2">
        <v>1</v>
      </c>
      <c r="I476" s="6"/>
      <c r="J476" s="6"/>
      <c r="K476" s="7">
        <v>0.5</v>
      </c>
      <c r="L476" s="7">
        <v>145.88999999999999</v>
      </c>
      <c r="M476" t="s">
        <v>19</v>
      </c>
      <c r="N476" s="9"/>
      <c r="O476" s="8">
        <f t="array" ref="O476">INDEX(TechRate,MATCH(H476,TechNum,0))</f>
        <v>80</v>
      </c>
      <c r="P476" s="10">
        <f>WorkOrders2[[#This Row],[Techs]]*(WorkOrders2[[#This Row],[PartsCost]]*WorkOrders2[[#This Row],[LbrHrs]])</f>
        <v>72.944999999999993</v>
      </c>
      <c r="Q476" s="10">
        <f t="shared" si="42"/>
        <v>72.944999999999993</v>
      </c>
      <c r="R476" s="10">
        <f t="shared" si="43"/>
        <v>145.88999999999999</v>
      </c>
      <c r="S476" s="10">
        <f t="shared" si="44"/>
        <v>218.83499999999998</v>
      </c>
      <c r="T476" s="10">
        <f t="shared" si="45"/>
        <v>218.83499999999998</v>
      </c>
      <c r="U476" s="8" t="str">
        <f t="shared" si="46"/>
        <v>Mon</v>
      </c>
      <c r="V476" s="8" t="str">
        <f t="shared" si="47"/>
        <v>Wed</v>
      </c>
    </row>
    <row r="477" spans="1:22" hidden="1" x14ac:dyDescent="0.25">
      <c r="A477" t="s">
        <v>272</v>
      </c>
      <c r="B477" t="s">
        <v>38</v>
      </c>
      <c r="C477" t="s">
        <v>8</v>
      </c>
      <c r="D477" t="s">
        <v>11</v>
      </c>
      <c r="F477" s="5">
        <v>44179</v>
      </c>
      <c r="G477" s="5">
        <v>44200</v>
      </c>
      <c r="H477" s="2">
        <v>1</v>
      </c>
      <c r="I477" s="6"/>
      <c r="J477" s="6"/>
      <c r="K477" s="7">
        <v>0.25</v>
      </c>
      <c r="L477" s="7">
        <v>30</v>
      </c>
      <c r="M477" t="s">
        <v>19</v>
      </c>
      <c r="N477" s="9"/>
      <c r="O477" s="8">
        <f t="array" ref="O477">INDEX(TechRate,MATCH(H477,TechNum,0))</f>
        <v>80</v>
      </c>
      <c r="P477" s="10">
        <f>WorkOrders2[[#This Row],[Techs]]*(WorkOrders2[[#This Row],[PartsCost]]*WorkOrders2[[#This Row],[LbrHrs]])</f>
        <v>7.5</v>
      </c>
      <c r="Q477" s="10">
        <f t="shared" si="42"/>
        <v>7.5</v>
      </c>
      <c r="R477" s="10">
        <f t="shared" si="43"/>
        <v>30</v>
      </c>
      <c r="S477" s="10">
        <f t="shared" si="44"/>
        <v>37.5</v>
      </c>
      <c r="T477" s="10">
        <f t="shared" si="45"/>
        <v>37.5</v>
      </c>
      <c r="U477" s="8" t="str">
        <f t="shared" si="46"/>
        <v>Mon</v>
      </c>
      <c r="V477" s="8" t="str">
        <f t="shared" si="47"/>
        <v>Mon</v>
      </c>
    </row>
    <row r="478" spans="1:22" hidden="1" x14ac:dyDescent="0.25">
      <c r="A478" t="s">
        <v>273</v>
      </c>
      <c r="B478" t="s">
        <v>38</v>
      </c>
      <c r="C478" t="s">
        <v>8</v>
      </c>
      <c r="D478" t="s">
        <v>13</v>
      </c>
      <c r="F478" s="5">
        <v>44179</v>
      </c>
      <c r="G478" s="5">
        <v>44200</v>
      </c>
      <c r="H478" s="2">
        <v>1</v>
      </c>
      <c r="I478" s="6"/>
      <c r="J478" s="6"/>
      <c r="K478" s="7">
        <v>0.5</v>
      </c>
      <c r="L478" s="7">
        <v>57.098199999999999</v>
      </c>
      <c r="M478" t="s">
        <v>17</v>
      </c>
      <c r="N478" s="9"/>
      <c r="O478" s="8">
        <f t="array" ref="O478">INDEX(TechRate,MATCH(H478,TechNum,0))</f>
        <v>80</v>
      </c>
      <c r="P478" s="10">
        <f>WorkOrders2[[#This Row],[Techs]]*(WorkOrders2[[#This Row],[PartsCost]]*WorkOrders2[[#This Row],[LbrHrs]])</f>
        <v>28.549099999999999</v>
      </c>
      <c r="Q478" s="10">
        <f t="shared" si="42"/>
        <v>28.549099999999999</v>
      </c>
      <c r="R478" s="10">
        <f t="shared" si="43"/>
        <v>57.098199999999999</v>
      </c>
      <c r="S478" s="10">
        <f t="shared" si="44"/>
        <v>85.647300000000001</v>
      </c>
      <c r="T478" s="10">
        <f t="shared" si="45"/>
        <v>85.647300000000001</v>
      </c>
      <c r="U478" s="8" t="str">
        <f t="shared" si="46"/>
        <v>Mon</v>
      </c>
      <c r="V478" s="8" t="str">
        <f t="shared" si="47"/>
        <v>Mon</v>
      </c>
    </row>
    <row r="479" spans="1:22" hidden="1" x14ac:dyDescent="0.25">
      <c r="A479" t="s">
        <v>275</v>
      </c>
      <c r="B479" t="s">
        <v>38</v>
      </c>
      <c r="C479" t="s">
        <v>8</v>
      </c>
      <c r="D479" t="s">
        <v>12</v>
      </c>
      <c r="F479" s="5">
        <v>44179</v>
      </c>
      <c r="G479" s="5">
        <v>44215</v>
      </c>
      <c r="H479" s="2">
        <v>1</v>
      </c>
      <c r="I479" s="6"/>
      <c r="J479" s="6"/>
      <c r="K479" s="7">
        <v>0.5</v>
      </c>
      <c r="L479" s="7">
        <v>21.33</v>
      </c>
      <c r="M479" t="s">
        <v>19</v>
      </c>
      <c r="N479" s="9"/>
      <c r="O479" s="8">
        <f t="array" ref="O479">INDEX(TechRate,MATCH(H479,TechNum,0))</f>
        <v>80</v>
      </c>
      <c r="P479" s="10">
        <f>WorkOrders2[[#This Row],[Techs]]*(WorkOrders2[[#This Row],[PartsCost]]*WorkOrders2[[#This Row],[LbrHrs]])</f>
        <v>10.664999999999999</v>
      </c>
      <c r="Q479" s="10">
        <f t="shared" si="42"/>
        <v>10.664999999999999</v>
      </c>
      <c r="R479" s="10">
        <f t="shared" si="43"/>
        <v>21.33</v>
      </c>
      <c r="S479" s="10">
        <f t="shared" si="44"/>
        <v>31.994999999999997</v>
      </c>
      <c r="T479" s="10">
        <f t="shared" si="45"/>
        <v>31.994999999999997</v>
      </c>
      <c r="U479" s="8" t="str">
        <f t="shared" si="46"/>
        <v>Mon</v>
      </c>
      <c r="V479" s="8" t="str">
        <f t="shared" si="47"/>
        <v>Tue</v>
      </c>
    </row>
    <row r="480" spans="1:22" hidden="1" x14ac:dyDescent="0.25">
      <c r="A480" t="s">
        <v>285</v>
      </c>
      <c r="B480" t="s">
        <v>38</v>
      </c>
      <c r="C480" t="s">
        <v>43</v>
      </c>
      <c r="D480" t="s">
        <v>11</v>
      </c>
      <c r="F480" s="5">
        <v>44200</v>
      </c>
      <c r="G480" s="5">
        <v>44209</v>
      </c>
      <c r="H480" s="2">
        <v>1</v>
      </c>
      <c r="I480" s="6"/>
      <c r="J480" s="6"/>
      <c r="K480" s="7">
        <v>0.25</v>
      </c>
      <c r="L480" s="7">
        <v>39</v>
      </c>
      <c r="M480" t="s">
        <v>17</v>
      </c>
      <c r="N480" s="9"/>
      <c r="O480" s="8">
        <f t="array" ref="O480">INDEX(TechRate,MATCH(H480,TechNum,0))</f>
        <v>80</v>
      </c>
      <c r="P480" s="10">
        <f>WorkOrders2[[#This Row],[Techs]]*(WorkOrders2[[#This Row],[PartsCost]]*WorkOrders2[[#This Row],[LbrHrs]])</f>
        <v>9.75</v>
      </c>
      <c r="Q480" s="10">
        <f t="shared" si="42"/>
        <v>9.75</v>
      </c>
      <c r="R480" s="10">
        <f t="shared" si="43"/>
        <v>39</v>
      </c>
      <c r="S480" s="10">
        <f t="shared" si="44"/>
        <v>48.75</v>
      </c>
      <c r="T480" s="10">
        <f t="shared" si="45"/>
        <v>48.75</v>
      </c>
      <c r="U480" s="8" t="str">
        <f t="shared" si="46"/>
        <v>Mon</v>
      </c>
      <c r="V480" s="8" t="str">
        <f t="shared" si="47"/>
        <v>Wed</v>
      </c>
    </row>
    <row r="481" spans="1:22" hidden="1" x14ac:dyDescent="0.25">
      <c r="A481" t="s">
        <v>322</v>
      </c>
      <c r="B481" t="s">
        <v>38</v>
      </c>
      <c r="C481" t="s">
        <v>8</v>
      </c>
      <c r="D481" t="s">
        <v>12</v>
      </c>
      <c r="F481" s="5">
        <v>44212</v>
      </c>
      <c r="G481" s="5">
        <v>44230</v>
      </c>
      <c r="H481" s="2">
        <v>1</v>
      </c>
      <c r="I481" s="6"/>
      <c r="J481" s="6"/>
      <c r="K481" s="7">
        <v>1</v>
      </c>
      <c r="L481" s="7">
        <v>9.92</v>
      </c>
      <c r="M481" t="s">
        <v>19</v>
      </c>
      <c r="N481" s="9"/>
      <c r="O481" s="8">
        <f t="array" ref="O481">INDEX(TechRate,MATCH(H481,TechNum,0))</f>
        <v>80</v>
      </c>
      <c r="P481" s="10">
        <f>WorkOrders2[[#This Row],[Techs]]*(WorkOrders2[[#This Row],[PartsCost]]*WorkOrders2[[#This Row],[LbrHrs]])</f>
        <v>9.92</v>
      </c>
      <c r="Q481" s="10">
        <f t="shared" si="42"/>
        <v>9.92</v>
      </c>
      <c r="R481" s="10">
        <f t="shared" si="43"/>
        <v>9.92</v>
      </c>
      <c r="S481" s="10">
        <f t="shared" si="44"/>
        <v>19.84</v>
      </c>
      <c r="T481" s="10">
        <f t="shared" si="45"/>
        <v>19.84</v>
      </c>
      <c r="U481" s="8" t="str">
        <f t="shared" si="46"/>
        <v>Sat</v>
      </c>
      <c r="V481" s="8" t="str">
        <f t="shared" si="47"/>
        <v>Wed</v>
      </c>
    </row>
    <row r="482" spans="1:22" hidden="1" x14ac:dyDescent="0.25">
      <c r="A482" t="s">
        <v>326</v>
      </c>
      <c r="B482" t="s">
        <v>38</v>
      </c>
      <c r="C482" t="s">
        <v>8</v>
      </c>
      <c r="D482" t="s">
        <v>12</v>
      </c>
      <c r="F482" s="5">
        <v>44214</v>
      </c>
      <c r="G482" s="5">
        <v>44256</v>
      </c>
      <c r="H482" s="2">
        <v>1</v>
      </c>
      <c r="I482" s="6"/>
      <c r="J482" s="6"/>
      <c r="K482" s="7">
        <v>0.5</v>
      </c>
      <c r="L482" s="7">
        <v>180</v>
      </c>
      <c r="M482" t="s">
        <v>19</v>
      </c>
      <c r="N482" s="9"/>
      <c r="O482" s="8">
        <f t="array" ref="O482">INDEX(TechRate,MATCH(H482,TechNum,0))</f>
        <v>80</v>
      </c>
      <c r="P482" s="10">
        <f>WorkOrders2[[#This Row],[Techs]]*(WorkOrders2[[#This Row],[PartsCost]]*WorkOrders2[[#This Row],[LbrHrs]])</f>
        <v>90</v>
      </c>
      <c r="Q482" s="10">
        <f t="shared" si="42"/>
        <v>90</v>
      </c>
      <c r="R482" s="10">
        <f t="shared" si="43"/>
        <v>180</v>
      </c>
      <c r="S482" s="10">
        <f t="shared" si="44"/>
        <v>270</v>
      </c>
      <c r="T482" s="10">
        <f t="shared" si="45"/>
        <v>270</v>
      </c>
      <c r="U482" s="8" t="str">
        <f t="shared" si="46"/>
        <v>Mon</v>
      </c>
      <c r="V482" s="8" t="str">
        <f t="shared" si="47"/>
        <v>Mon</v>
      </c>
    </row>
    <row r="483" spans="1:22" hidden="1" x14ac:dyDescent="0.25">
      <c r="A483" t="s">
        <v>350</v>
      </c>
      <c r="B483" t="s">
        <v>38</v>
      </c>
      <c r="C483" t="s">
        <v>43</v>
      </c>
      <c r="D483" t="s">
        <v>13</v>
      </c>
      <c r="F483" s="5">
        <v>44228</v>
      </c>
      <c r="G483" s="5">
        <v>44252</v>
      </c>
      <c r="H483" s="2">
        <v>1</v>
      </c>
      <c r="I483" s="6"/>
      <c r="J483" s="6"/>
      <c r="K483" s="7">
        <v>0.5</v>
      </c>
      <c r="L483" s="7">
        <v>42.9</v>
      </c>
      <c r="M483" t="s">
        <v>17</v>
      </c>
      <c r="N483" s="9"/>
      <c r="O483" s="8">
        <f t="array" ref="O483">INDEX(TechRate,MATCH(H483,TechNum,0))</f>
        <v>80</v>
      </c>
      <c r="P483" s="10">
        <f>WorkOrders2[[#This Row],[Techs]]*(WorkOrders2[[#This Row],[PartsCost]]*WorkOrders2[[#This Row],[LbrHrs]])</f>
        <v>21.45</v>
      </c>
      <c r="Q483" s="10">
        <f t="shared" si="42"/>
        <v>21.45</v>
      </c>
      <c r="R483" s="10">
        <f t="shared" si="43"/>
        <v>42.9</v>
      </c>
      <c r="S483" s="10">
        <f t="shared" si="44"/>
        <v>64.349999999999994</v>
      </c>
      <c r="T483" s="10">
        <f t="shared" si="45"/>
        <v>64.349999999999994</v>
      </c>
      <c r="U483" s="8" t="str">
        <f t="shared" si="46"/>
        <v>Mon</v>
      </c>
      <c r="V483" s="8" t="str">
        <f t="shared" si="47"/>
        <v>Thu</v>
      </c>
    </row>
    <row r="484" spans="1:22" hidden="1" x14ac:dyDescent="0.25">
      <c r="A484" t="s">
        <v>359</v>
      </c>
      <c r="B484" t="s">
        <v>38</v>
      </c>
      <c r="C484" t="s">
        <v>8</v>
      </c>
      <c r="D484" t="s">
        <v>11</v>
      </c>
      <c r="F484" s="5">
        <v>44229</v>
      </c>
      <c r="G484" s="5">
        <v>44341</v>
      </c>
      <c r="H484" s="2">
        <v>1</v>
      </c>
      <c r="I484" s="6"/>
      <c r="J484" s="6"/>
      <c r="K484" s="7">
        <v>0.25</v>
      </c>
      <c r="L484" s="7">
        <v>40</v>
      </c>
      <c r="M484" t="s">
        <v>19</v>
      </c>
      <c r="N484" s="9"/>
      <c r="O484" s="8">
        <f t="array" ref="O484">INDEX(TechRate,MATCH(H484,TechNum,0))</f>
        <v>80</v>
      </c>
      <c r="P484" s="10">
        <f>WorkOrders2[[#This Row],[Techs]]*(WorkOrders2[[#This Row],[PartsCost]]*WorkOrders2[[#This Row],[LbrHrs]])</f>
        <v>10</v>
      </c>
      <c r="Q484" s="10">
        <f t="shared" si="42"/>
        <v>10</v>
      </c>
      <c r="R484" s="10">
        <f t="shared" si="43"/>
        <v>40</v>
      </c>
      <c r="S484" s="10">
        <f t="shared" si="44"/>
        <v>50</v>
      </c>
      <c r="T484" s="10">
        <f t="shared" si="45"/>
        <v>50</v>
      </c>
      <c r="U484" s="8" t="str">
        <f t="shared" si="46"/>
        <v>Tue</v>
      </c>
      <c r="V484" s="8" t="str">
        <f t="shared" si="47"/>
        <v>Tue</v>
      </c>
    </row>
    <row r="485" spans="1:22" hidden="1" x14ac:dyDescent="0.25">
      <c r="A485" t="s">
        <v>361</v>
      </c>
      <c r="B485" t="s">
        <v>38</v>
      </c>
      <c r="C485" t="s">
        <v>9</v>
      </c>
      <c r="D485" t="s">
        <v>12</v>
      </c>
      <c r="F485" s="5">
        <v>44231</v>
      </c>
      <c r="G485" s="5">
        <v>44247</v>
      </c>
      <c r="H485" s="2">
        <v>2</v>
      </c>
      <c r="I485" s="6"/>
      <c r="J485" s="6"/>
      <c r="K485" s="7">
        <v>0.25</v>
      </c>
      <c r="L485" s="7">
        <v>33.8611</v>
      </c>
      <c r="M485" t="s">
        <v>17</v>
      </c>
      <c r="N485" s="9"/>
      <c r="O485" s="8">
        <f t="array" ref="O485">INDEX(TechRate,MATCH(H485,TechNum,0))</f>
        <v>140</v>
      </c>
      <c r="P485" s="10">
        <f>WorkOrders2[[#This Row],[Techs]]*(WorkOrders2[[#This Row],[PartsCost]]*WorkOrders2[[#This Row],[LbrHrs]])</f>
        <v>16.93055</v>
      </c>
      <c r="Q485" s="10">
        <f t="shared" si="42"/>
        <v>16.93055</v>
      </c>
      <c r="R485" s="10">
        <f t="shared" si="43"/>
        <v>33.8611</v>
      </c>
      <c r="S485" s="10">
        <f t="shared" si="44"/>
        <v>50.791650000000004</v>
      </c>
      <c r="T485" s="10">
        <f t="shared" si="45"/>
        <v>50.791650000000004</v>
      </c>
      <c r="U485" s="8" t="str">
        <f t="shared" si="46"/>
        <v>Thu</v>
      </c>
      <c r="V485" s="8" t="str">
        <f t="shared" si="47"/>
        <v>Sat</v>
      </c>
    </row>
    <row r="486" spans="1:22" hidden="1" x14ac:dyDescent="0.25">
      <c r="A486" t="s">
        <v>363</v>
      </c>
      <c r="B486" t="s">
        <v>38</v>
      </c>
      <c r="C486" t="s">
        <v>8</v>
      </c>
      <c r="D486" t="s">
        <v>12</v>
      </c>
      <c r="F486" s="5">
        <v>44231</v>
      </c>
      <c r="G486" s="5">
        <v>44260</v>
      </c>
      <c r="H486" s="2">
        <v>1</v>
      </c>
      <c r="I486" s="6"/>
      <c r="J486" s="6"/>
      <c r="K486" s="7">
        <v>0.5</v>
      </c>
      <c r="L486" s="7">
        <v>36.890099999999997</v>
      </c>
      <c r="M486" t="s">
        <v>18</v>
      </c>
      <c r="N486" s="9"/>
      <c r="O486" s="8">
        <f t="array" ref="O486">INDEX(TechRate,MATCH(H486,TechNum,0))</f>
        <v>80</v>
      </c>
      <c r="P486" s="10">
        <f>WorkOrders2[[#This Row],[Techs]]*(WorkOrders2[[#This Row],[PartsCost]]*WorkOrders2[[#This Row],[LbrHrs]])</f>
        <v>18.445049999999998</v>
      </c>
      <c r="Q486" s="10">
        <f t="shared" si="42"/>
        <v>18.445049999999998</v>
      </c>
      <c r="R486" s="10">
        <f t="shared" si="43"/>
        <v>36.890099999999997</v>
      </c>
      <c r="S486" s="10">
        <f t="shared" si="44"/>
        <v>55.335149999999999</v>
      </c>
      <c r="T486" s="10">
        <f t="shared" si="45"/>
        <v>55.335149999999999</v>
      </c>
      <c r="U486" s="8" t="str">
        <f t="shared" si="46"/>
        <v>Thu</v>
      </c>
      <c r="V486" s="8" t="str">
        <f t="shared" si="47"/>
        <v>Fri</v>
      </c>
    </row>
    <row r="487" spans="1:22" hidden="1" x14ac:dyDescent="0.25">
      <c r="A487" t="s">
        <v>368</v>
      </c>
      <c r="B487" t="s">
        <v>38</v>
      </c>
      <c r="C487" t="s">
        <v>8</v>
      </c>
      <c r="D487" t="s">
        <v>12</v>
      </c>
      <c r="F487" s="5">
        <v>44233</v>
      </c>
      <c r="G487" s="5">
        <v>44278</v>
      </c>
      <c r="H487" s="2">
        <v>1</v>
      </c>
      <c r="I487" s="6"/>
      <c r="J487" s="6"/>
      <c r="K487" s="7">
        <v>0.5</v>
      </c>
      <c r="L487" s="7">
        <v>15.542999999999999</v>
      </c>
      <c r="M487" t="s">
        <v>19</v>
      </c>
      <c r="N487" s="9"/>
      <c r="O487" s="8">
        <f t="array" ref="O487">INDEX(TechRate,MATCH(H487,TechNum,0))</f>
        <v>80</v>
      </c>
      <c r="P487" s="10">
        <f>WorkOrders2[[#This Row],[Techs]]*(WorkOrders2[[#This Row],[PartsCost]]*WorkOrders2[[#This Row],[LbrHrs]])</f>
        <v>7.7714999999999996</v>
      </c>
      <c r="Q487" s="10">
        <f t="shared" si="42"/>
        <v>7.7714999999999996</v>
      </c>
      <c r="R487" s="10">
        <f t="shared" si="43"/>
        <v>15.542999999999999</v>
      </c>
      <c r="S487" s="10">
        <f t="shared" si="44"/>
        <v>23.314499999999999</v>
      </c>
      <c r="T487" s="10">
        <f t="shared" si="45"/>
        <v>23.314499999999999</v>
      </c>
      <c r="U487" s="8" t="str">
        <f t="shared" si="46"/>
        <v>Sat</v>
      </c>
      <c r="V487" s="8" t="str">
        <f t="shared" si="47"/>
        <v>Tue</v>
      </c>
    </row>
    <row r="488" spans="1:22" hidden="1" x14ac:dyDescent="0.25">
      <c r="A488" t="s">
        <v>369</v>
      </c>
      <c r="B488" t="s">
        <v>38</v>
      </c>
      <c r="C488" t="s">
        <v>8</v>
      </c>
      <c r="D488" t="s">
        <v>11</v>
      </c>
      <c r="F488" s="5">
        <v>44233</v>
      </c>
      <c r="G488" s="5">
        <v>44286</v>
      </c>
      <c r="H488" s="2">
        <v>1</v>
      </c>
      <c r="I488" s="6"/>
      <c r="J488" s="6"/>
      <c r="K488" s="7">
        <v>0.25</v>
      </c>
      <c r="L488" s="7">
        <v>72.350099999999998</v>
      </c>
      <c r="M488" t="s">
        <v>17</v>
      </c>
      <c r="N488" s="9"/>
      <c r="O488" s="8">
        <f t="array" ref="O488">INDEX(TechRate,MATCH(H488,TechNum,0))</f>
        <v>80</v>
      </c>
      <c r="P488" s="10">
        <f>WorkOrders2[[#This Row],[Techs]]*(WorkOrders2[[#This Row],[PartsCost]]*WorkOrders2[[#This Row],[LbrHrs]])</f>
        <v>18.087524999999999</v>
      </c>
      <c r="Q488" s="10">
        <f t="shared" si="42"/>
        <v>18.087524999999999</v>
      </c>
      <c r="R488" s="10">
        <f t="shared" si="43"/>
        <v>72.350099999999998</v>
      </c>
      <c r="S488" s="10">
        <f t="shared" si="44"/>
        <v>90.437624999999997</v>
      </c>
      <c r="T488" s="10">
        <f t="shared" si="45"/>
        <v>90.437624999999997</v>
      </c>
      <c r="U488" s="8" t="str">
        <f t="shared" si="46"/>
        <v>Sat</v>
      </c>
      <c r="V488" s="8" t="str">
        <f t="shared" si="47"/>
        <v>Wed</v>
      </c>
    </row>
    <row r="489" spans="1:22" hidden="1" x14ac:dyDescent="0.25">
      <c r="A489" t="s">
        <v>388</v>
      </c>
      <c r="B489" t="s">
        <v>38</v>
      </c>
      <c r="C489" t="s">
        <v>8</v>
      </c>
      <c r="D489" t="s">
        <v>11</v>
      </c>
      <c r="F489" s="5">
        <v>44243</v>
      </c>
      <c r="G489" s="5">
        <v>44258</v>
      </c>
      <c r="H489" s="2">
        <v>1</v>
      </c>
      <c r="I489" s="6"/>
      <c r="J489" s="6"/>
      <c r="K489" s="7">
        <v>0.25</v>
      </c>
      <c r="L489" s="7">
        <v>17.420000000000002</v>
      </c>
      <c r="M489" t="s">
        <v>17</v>
      </c>
      <c r="N489" s="9"/>
      <c r="O489" s="8">
        <f t="array" ref="O489">INDEX(TechRate,MATCH(H489,TechNum,0))</f>
        <v>80</v>
      </c>
      <c r="P489" s="10">
        <f>WorkOrders2[[#This Row],[Techs]]*(WorkOrders2[[#This Row],[PartsCost]]*WorkOrders2[[#This Row],[LbrHrs]])</f>
        <v>4.3550000000000004</v>
      </c>
      <c r="Q489" s="10">
        <f t="shared" si="42"/>
        <v>4.3550000000000004</v>
      </c>
      <c r="R489" s="10">
        <f t="shared" si="43"/>
        <v>17.420000000000002</v>
      </c>
      <c r="S489" s="10">
        <f t="shared" si="44"/>
        <v>21.775000000000002</v>
      </c>
      <c r="T489" s="10">
        <f t="shared" si="45"/>
        <v>21.775000000000002</v>
      </c>
      <c r="U489" s="8" t="str">
        <f t="shared" si="46"/>
        <v>Tue</v>
      </c>
      <c r="V489" s="8" t="str">
        <f t="shared" si="47"/>
        <v>Wed</v>
      </c>
    </row>
    <row r="490" spans="1:22" hidden="1" x14ac:dyDescent="0.25">
      <c r="A490" t="s">
        <v>391</v>
      </c>
      <c r="B490" t="s">
        <v>38</v>
      </c>
      <c r="C490" t="s">
        <v>8</v>
      </c>
      <c r="D490" t="s">
        <v>12</v>
      </c>
      <c r="F490" s="5">
        <v>44244</v>
      </c>
      <c r="G490" s="5">
        <v>44256</v>
      </c>
      <c r="H490" s="2">
        <v>1</v>
      </c>
      <c r="I490" s="6"/>
      <c r="J490" s="6"/>
      <c r="K490" s="7">
        <v>0.5</v>
      </c>
      <c r="L490" s="7">
        <v>180</v>
      </c>
      <c r="M490" t="s">
        <v>18</v>
      </c>
      <c r="N490" s="9"/>
      <c r="O490" s="8">
        <f t="array" ref="O490">INDEX(TechRate,MATCH(H490,TechNum,0))</f>
        <v>80</v>
      </c>
      <c r="P490" s="10">
        <f>WorkOrders2[[#This Row],[Techs]]*(WorkOrders2[[#This Row],[PartsCost]]*WorkOrders2[[#This Row],[LbrHrs]])</f>
        <v>90</v>
      </c>
      <c r="Q490" s="10">
        <f t="shared" si="42"/>
        <v>90</v>
      </c>
      <c r="R490" s="10">
        <f t="shared" si="43"/>
        <v>180</v>
      </c>
      <c r="S490" s="10">
        <f t="shared" si="44"/>
        <v>270</v>
      </c>
      <c r="T490" s="10">
        <f t="shared" si="45"/>
        <v>270</v>
      </c>
      <c r="U490" s="8" t="str">
        <f t="shared" si="46"/>
        <v>Wed</v>
      </c>
      <c r="V490" s="8" t="str">
        <f t="shared" si="47"/>
        <v>Mon</v>
      </c>
    </row>
    <row r="491" spans="1:22" hidden="1" x14ac:dyDescent="0.25">
      <c r="A491" t="s">
        <v>407</v>
      </c>
      <c r="B491" t="s">
        <v>38</v>
      </c>
      <c r="C491" t="s">
        <v>8</v>
      </c>
      <c r="D491" t="s">
        <v>13</v>
      </c>
      <c r="F491" s="5">
        <v>44252</v>
      </c>
      <c r="G491" s="5">
        <v>44279</v>
      </c>
      <c r="H491" s="2">
        <v>1</v>
      </c>
      <c r="I491" s="6"/>
      <c r="J491" s="6"/>
      <c r="K491" s="7">
        <v>1</v>
      </c>
      <c r="L491" s="7">
        <v>42.66</v>
      </c>
      <c r="M491" t="s">
        <v>18</v>
      </c>
      <c r="N491" s="9"/>
      <c r="O491" s="8">
        <f t="array" ref="O491">INDEX(TechRate,MATCH(H491,TechNum,0))</f>
        <v>80</v>
      </c>
      <c r="P491" s="10">
        <f>WorkOrders2[[#This Row],[Techs]]*(WorkOrders2[[#This Row],[PartsCost]]*WorkOrders2[[#This Row],[LbrHrs]])</f>
        <v>42.66</v>
      </c>
      <c r="Q491" s="10">
        <f t="shared" si="42"/>
        <v>42.66</v>
      </c>
      <c r="R491" s="10">
        <f t="shared" si="43"/>
        <v>42.66</v>
      </c>
      <c r="S491" s="10">
        <f t="shared" si="44"/>
        <v>85.32</v>
      </c>
      <c r="T491" s="10">
        <f t="shared" si="45"/>
        <v>85.32</v>
      </c>
      <c r="U491" s="8" t="str">
        <f t="shared" si="46"/>
        <v>Thu</v>
      </c>
      <c r="V491" s="8" t="str">
        <f t="shared" si="47"/>
        <v>Wed</v>
      </c>
    </row>
    <row r="492" spans="1:22" hidden="1" x14ac:dyDescent="0.25">
      <c r="A492" t="s">
        <v>410</v>
      </c>
      <c r="B492" t="s">
        <v>38</v>
      </c>
      <c r="C492" t="s">
        <v>8</v>
      </c>
      <c r="D492" t="s">
        <v>13</v>
      </c>
      <c r="F492" s="5">
        <v>44256</v>
      </c>
      <c r="G492" s="5">
        <v>44270</v>
      </c>
      <c r="H492" s="2">
        <v>2</v>
      </c>
      <c r="I492" s="6"/>
      <c r="J492" s="6"/>
      <c r="K492" s="7">
        <v>0.5</v>
      </c>
      <c r="L492" s="7">
        <v>24.38</v>
      </c>
      <c r="M492" t="s">
        <v>17</v>
      </c>
      <c r="N492" s="9"/>
      <c r="O492" s="8">
        <f t="array" ref="O492">INDEX(TechRate,MATCH(H492,TechNum,0))</f>
        <v>140</v>
      </c>
      <c r="P492" s="10">
        <f>WorkOrders2[[#This Row],[Techs]]*(WorkOrders2[[#This Row],[PartsCost]]*WorkOrders2[[#This Row],[LbrHrs]])</f>
        <v>24.38</v>
      </c>
      <c r="Q492" s="10">
        <f t="shared" si="42"/>
        <v>24.38</v>
      </c>
      <c r="R492" s="10">
        <f t="shared" si="43"/>
        <v>24.38</v>
      </c>
      <c r="S492" s="10">
        <f t="shared" si="44"/>
        <v>48.76</v>
      </c>
      <c r="T492" s="10">
        <f t="shared" si="45"/>
        <v>48.76</v>
      </c>
      <c r="U492" s="8" t="str">
        <f t="shared" si="46"/>
        <v>Mon</v>
      </c>
      <c r="V492" s="8" t="str">
        <f t="shared" si="47"/>
        <v>Mon</v>
      </c>
    </row>
    <row r="493" spans="1:22" hidden="1" x14ac:dyDescent="0.25">
      <c r="A493" t="s">
        <v>425</v>
      </c>
      <c r="B493" t="s">
        <v>38</v>
      </c>
      <c r="C493" t="s">
        <v>8</v>
      </c>
      <c r="D493" t="s">
        <v>12</v>
      </c>
      <c r="F493" s="5">
        <v>44258</v>
      </c>
      <c r="G493" s="5">
        <v>44312</v>
      </c>
      <c r="H493" s="2">
        <v>1</v>
      </c>
      <c r="I493" s="6"/>
      <c r="J493" s="6"/>
      <c r="K493" s="7">
        <v>0.5</v>
      </c>
      <c r="L493" s="7">
        <v>25.24</v>
      </c>
      <c r="M493" t="s">
        <v>19</v>
      </c>
      <c r="N493" s="9"/>
      <c r="O493" s="8">
        <f t="array" ref="O493">INDEX(TechRate,MATCH(H493,TechNum,0))</f>
        <v>80</v>
      </c>
      <c r="P493" s="10">
        <f>WorkOrders2[[#This Row],[Techs]]*(WorkOrders2[[#This Row],[PartsCost]]*WorkOrders2[[#This Row],[LbrHrs]])</f>
        <v>12.62</v>
      </c>
      <c r="Q493" s="10">
        <f t="shared" si="42"/>
        <v>12.62</v>
      </c>
      <c r="R493" s="10">
        <f t="shared" si="43"/>
        <v>25.24</v>
      </c>
      <c r="S493" s="10">
        <f t="shared" si="44"/>
        <v>37.86</v>
      </c>
      <c r="T493" s="10">
        <f t="shared" si="45"/>
        <v>37.86</v>
      </c>
      <c r="U493" s="8" t="str">
        <f t="shared" si="46"/>
        <v>Wed</v>
      </c>
      <c r="V493" s="8" t="str">
        <f t="shared" si="47"/>
        <v>Mon</v>
      </c>
    </row>
    <row r="494" spans="1:22" hidden="1" x14ac:dyDescent="0.25">
      <c r="A494" t="s">
        <v>431</v>
      </c>
      <c r="B494" t="s">
        <v>38</v>
      </c>
      <c r="C494" t="s">
        <v>8</v>
      </c>
      <c r="D494" t="s">
        <v>1</v>
      </c>
      <c r="F494" s="5">
        <v>44259</v>
      </c>
      <c r="G494" s="5">
        <v>44279</v>
      </c>
      <c r="H494" s="2">
        <v>1</v>
      </c>
      <c r="I494" s="6"/>
      <c r="J494" s="6"/>
      <c r="K494" s="7">
        <v>1.25</v>
      </c>
      <c r="L494" s="7">
        <v>294.77999999999997</v>
      </c>
      <c r="M494" t="s">
        <v>19</v>
      </c>
      <c r="N494" s="9"/>
      <c r="O494" s="8">
        <f t="array" ref="O494">INDEX(TechRate,MATCH(H494,TechNum,0))</f>
        <v>80</v>
      </c>
      <c r="P494" s="10">
        <f>WorkOrders2[[#This Row],[Techs]]*(WorkOrders2[[#This Row],[PartsCost]]*WorkOrders2[[#This Row],[LbrHrs]])</f>
        <v>368.47499999999997</v>
      </c>
      <c r="Q494" s="10">
        <f t="shared" si="42"/>
        <v>368.47499999999997</v>
      </c>
      <c r="R494" s="10">
        <f t="shared" si="43"/>
        <v>294.77999999999997</v>
      </c>
      <c r="S494" s="10">
        <f t="shared" si="44"/>
        <v>663.25499999999988</v>
      </c>
      <c r="T494" s="10">
        <f t="shared" si="45"/>
        <v>663.25499999999988</v>
      </c>
      <c r="U494" s="8" t="str">
        <f t="shared" si="46"/>
        <v>Thu</v>
      </c>
      <c r="V494" s="8" t="str">
        <f t="shared" si="47"/>
        <v>Wed</v>
      </c>
    </row>
    <row r="495" spans="1:22" hidden="1" x14ac:dyDescent="0.25">
      <c r="A495" t="s">
        <v>440</v>
      </c>
      <c r="B495" t="s">
        <v>38</v>
      </c>
      <c r="C495" t="s">
        <v>8</v>
      </c>
      <c r="D495" t="s">
        <v>13</v>
      </c>
      <c r="F495" s="5">
        <v>44264</v>
      </c>
      <c r="G495" s="5">
        <v>44341</v>
      </c>
      <c r="H495" s="2">
        <v>2</v>
      </c>
      <c r="I495" s="6"/>
      <c r="J495" s="6"/>
      <c r="K495" s="7">
        <v>1</v>
      </c>
      <c r="L495" s="7">
        <v>28.5</v>
      </c>
      <c r="M495" t="s">
        <v>19</v>
      </c>
      <c r="N495" s="9"/>
      <c r="O495" s="8">
        <f t="array" ref="O495">INDEX(TechRate,MATCH(H495,TechNum,0))</f>
        <v>140</v>
      </c>
      <c r="P495" s="10">
        <f>WorkOrders2[[#This Row],[Techs]]*(WorkOrders2[[#This Row],[PartsCost]]*WorkOrders2[[#This Row],[LbrHrs]])</f>
        <v>57</v>
      </c>
      <c r="Q495" s="10">
        <f t="shared" si="42"/>
        <v>57</v>
      </c>
      <c r="R495" s="10">
        <f t="shared" si="43"/>
        <v>28.5</v>
      </c>
      <c r="S495" s="10">
        <f t="shared" si="44"/>
        <v>85.5</v>
      </c>
      <c r="T495" s="10">
        <f t="shared" si="45"/>
        <v>85.5</v>
      </c>
      <c r="U495" s="8" t="str">
        <f t="shared" si="46"/>
        <v>Tue</v>
      </c>
      <c r="V495" s="8" t="str">
        <f t="shared" si="47"/>
        <v>Tue</v>
      </c>
    </row>
    <row r="496" spans="1:22" hidden="1" x14ac:dyDescent="0.25">
      <c r="A496" t="s">
        <v>445</v>
      </c>
      <c r="B496" t="s">
        <v>38</v>
      </c>
      <c r="C496" t="s">
        <v>8</v>
      </c>
      <c r="D496" t="s">
        <v>13</v>
      </c>
      <c r="F496" s="5">
        <v>44265</v>
      </c>
      <c r="G496" s="5">
        <v>44272</v>
      </c>
      <c r="H496" s="2">
        <v>2</v>
      </c>
      <c r="I496" s="6"/>
      <c r="J496" s="6"/>
      <c r="K496" s="7">
        <v>0.5</v>
      </c>
      <c r="L496" s="7">
        <v>24.186499999999999</v>
      </c>
      <c r="M496" t="s">
        <v>18</v>
      </c>
      <c r="N496" s="9"/>
      <c r="O496" s="8">
        <f t="array" ref="O496">INDEX(TechRate,MATCH(H496,TechNum,0))</f>
        <v>140</v>
      </c>
      <c r="P496" s="10">
        <f>WorkOrders2[[#This Row],[Techs]]*(WorkOrders2[[#This Row],[PartsCost]]*WorkOrders2[[#This Row],[LbrHrs]])</f>
        <v>24.186499999999999</v>
      </c>
      <c r="Q496" s="10">
        <f t="shared" si="42"/>
        <v>24.186499999999999</v>
      </c>
      <c r="R496" s="10">
        <f t="shared" si="43"/>
        <v>24.186499999999999</v>
      </c>
      <c r="S496" s="10">
        <f t="shared" si="44"/>
        <v>48.372999999999998</v>
      </c>
      <c r="T496" s="10">
        <f t="shared" si="45"/>
        <v>48.372999999999998</v>
      </c>
      <c r="U496" s="8" t="str">
        <f t="shared" si="46"/>
        <v>Wed</v>
      </c>
      <c r="V496" s="8" t="str">
        <f t="shared" si="47"/>
        <v>Wed</v>
      </c>
    </row>
    <row r="497" spans="1:22" hidden="1" x14ac:dyDescent="0.25">
      <c r="A497" t="s">
        <v>463</v>
      </c>
      <c r="B497" t="s">
        <v>38</v>
      </c>
      <c r="C497" t="s">
        <v>8</v>
      </c>
      <c r="D497" t="s">
        <v>13</v>
      </c>
      <c r="F497" s="5">
        <v>44271</v>
      </c>
      <c r="G497" s="5">
        <v>44272</v>
      </c>
      <c r="H497" s="2">
        <v>1</v>
      </c>
      <c r="I497" s="6"/>
      <c r="J497" s="6"/>
      <c r="K497" s="7">
        <v>0.5</v>
      </c>
      <c r="L497" s="7">
        <v>18</v>
      </c>
      <c r="M497" t="s">
        <v>19</v>
      </c>
      <c r="N497" s="9"/>
      <c r="O497" s="8">
        <f t="array" ref="O497">INDEX(TechRate,MATCH(H497,TechNum,0))</f>
        <v>80</v>
      </c>
      <c r="P497" s="10">
        <f>WorkOrders2[[#This Row],[Techs]]*(WorkOrders2[[#This Row],[PartsCost]]*WorkOrders2[[#This Row],[LbrHrs]])</f>
        <v>9</v>
      </c>
      <c r="Q497" s="10">
        <f t="shared" si="42"/>
        <v>9</v>
      </c>
      <c r="R497" s="10">
        <f t="shared" si="43"/>
        <v>18</v>
      </c>
      <c r="S497" s="10">
        <f t="shared" si="44"/>
        <v>27</v>
      </c>
      <c r="T497" s="10">
        <f t="shared" si="45"/>
        <v>27</v>
      </c>
      <c r="U497" s="8" t="str">
        <f t="shared" si="46"/>
        <v>Tue</v>
      </c>
      <c r="V497" s="8" t="str">
        <f t="shared" si="47"/>
        <v>Wed</v>
      </c>
    </row>
    <row r="498" spans="1:22" hidden="1" x14ac:dyDescent="0.25">
      <c r="A498" t="s">
        <v>476</v>
      </c>
      <c r="B498" t="s">
        <v>38</v>
      </c>
      <c r="C498" t="s">
        <v>8</v>
      </c>
      <c r="D498" t="s">
        <v>12</v>
      </c>
      <c r="F498" s="5">
        <v>44277</v>
      </c>
      <c r="G498" s="5">
        <v>44286</v>
      </c>
      <c r="H498" s="2">
        <v>1</v>
      </c>
      <c r="I498" s="6" t="s">
        <v>3</v>
      </c>
      <c r="J498" s="6" t="s">
        <v>3</v>
      </c>
      <c r="K498" s="7">
        <v>0.5</v>
      </c>
      <c r="L498" s="7">
        <v>50</v>
      </c>
      <c r="M498" t="s">
        <v>20</v>
      </c>
      <c r="N498" s="9"/>
      <c r="O498" s="8">
        <f t="array" ref="O498">INDEX(TechRate,MATCH(H498,TechNum,0))</f>
        <v>80</v>
      </c>
      <c r="P498" s="10">
        <f>WorkOrders2[[#This Row],[Techs]]*(WorkOrders2[[#This Row],[PartsCost]]*WorkOrders2[[#This Row],[LbrHrs]])</f>
        <v>25</v>
      </c>
      <c r="Q498" s="10">
        <f t="shared" si="42"/>
        <v>0</v>
      </c>
      <c r="R498" s="10">
        <f t="shared" si="43"/>
        <v>0</v>
      </c>
      <c r="S498" s="10">
        <f t="shared" si="44"/>
        <v>75</v>
      </c>
      <c r="T498" s="10">
        <f t="shared" si="45"/>
        <v>0</v>
      </c>
      <c r="U498" s="8" t="str">
        <f t="shared" si="46"/>
        <v>Mon</v>
      </c>
      <c r="V498" s="8" t="str">
        <f t="shared" si="47"/>
        <v>Wed</v>
      </c>
    </row>
    <row r="499" spans="1:22" hidden="1" x14ac:dyDescent="0.25">
      <c r="A499" t="s">
        <v>505</v>
      </c>
      <c r="B499" t="s">
        <v>38</v>
      </c>
      <c r="C499" t="s">
        <v>43</v>
      </c>
      <c r="D499" t="s">
        <v>12</v>
      </c>
      <c r="F499" s="5">
        <v>44287</v>
      </c>
      <c r="G499" s="5">
        <v>44315</v>
      </c>
      <c r="H499" s="2">
        <v>1</v>
      </c>
      <c r="I499" s="6"/>
      <c r="J499" s="6"/>
      <c r="K499" s="7">
        <v>0.5</v>
      </c>
      <c r="L499" s="7">
        <v>149.5</v>
      </c>
      <c r="M499" t="s">
        <v>19</v>
      </c>
      <c r="N499" s="9"/>
      <c r="O499" s="8">
        <f t="array" ref="O499">INDEX(TechRate,MATCH(H499,TechNum,0))</f>
        <v>80</v>
      </c>
      <c r="P499" s="10">
        <f>WorkOrders2[[#This Row],[Techs]]*(WorkOrders2[[#This Row],[PartsCost]]*WorkOrders2[[#This Row],[LbrHrs]])</f>
        <v>74.75</v>
      </c>
      <c r="Q499" s="10">
        <f t="shared" si="42"/>
        <v>74.75</v>
      </c>
      <c r="R499" s="10">
        <f t="shared" si="43"/>
        <v>149.5</v>
      </c>
      <c r="S499" s="10">
        <f t="shared" si="44"/>
        <v>224.25</v>
      </c>
      <c r="T499" s="10">
        <f t="shared" si="45"/>
        <v>224.25</v>
      </c>
      <c r="U499" s="8" t="str">
        <f t="shared" si="46"/>
        <v>Thu</v>
      </c>
      <c r="V499" s="8" t="str">
        <f t="shared" si="47"/>
        <v>Thu</v>
      </c>
    </row>
    <row r="500" spans="1:22" hidden="1" x14ac:dyDescent="0.25">
      <c r="A500" t="s">
        <v>520</v>
      </c>
      <c r="B500" t="s">
        <v>38</v>
      </c>
      <c r="C500" t="s">
        <v>8</v>
      </c>
      <c r="D500" t="s">
        <v>11</v>
      </c>
      <c r="F500" s="5">
        <v>44292</v>
      </c>
      <c r="G500" s="5">
        <v>44341</v>
      </c>
      <c r="H500" s="2">
        <v>1</v>
      </c>
      <c r="I500" s="6"/>
      <c r="J500" s="6"/>
      <c r="K500" s="7">
        <v>0.25</v>
      </c>
      <c r="L500" s="7">
        <v>42.66</v>
      </c>
      <c r="M500" t="s">
        <v>19</v>
      </c>
      <c r="N500" s="9"/>
      <c r="O500" s="8">
        <f t="array" ref="O500">INDEX(TechRate,MATCH(H500,TechNum,0))</f>
        <v>80</v>
      </c>
      <c r="P500" s="10">
        <f>WorkOrders2[[#This Row],[Techs]]*(WorkOrders2[[#This Row],[PartsCost]]*WorkOrders2[[#This Row],[LbrHrs]])</f>
        <v>10.664999999999999</v>
      </c>
      <c r="Q500" s="10">
        <f t="shared" si="42"/>
        <v>10.664999999999999</v>
      </c>
      <c r="R500" s="10">
        <f t="shared" si="43"/>
        <v>42.66</v>
      </c>
      <c r="S500" s="10">
        <f t="shared" si="44"/>
        <v>53.324999999999996</v>
      </c>
      <c r="T500" s="10">
        <f t="shared" si="45"/>
        <v>53.324999999999996</v>
      </c>
      <c r="U500" s="8" t="str">
        <f t="shared" si="46"/>
        <v>Tue</v>
      </c>
      <c r="V500" s="8" t="str">
        <f t="shared" si="47"/>
        <v>Tue</v>
      </c>
    </row>
    <row r="502" spans="1:22" x14ac:dyDescent="0.25">
      <c r="A502" s="11" t="s">
        <v>5</v>
      </c>
      <c r="B502" s="11" t="s">
        <v>24</v>
      </c>
      <c r="C502" s="11" t="s">
        <v>10</v>
      </c>
      <c r="D502" s="11" t="s">
        <v>0</v>
      </c>
      <c r="E502" s="11" t="s">
        <v>23</v>
      </c>
      <c r="F502" s="11" t="s">
        <v>14</v>
      </c>
      <c r="G502" s="11" t="s">
        <v>15</v>
      </c>
      <c r="H502" s="11" t="s">
        <v>4</v>
      </c>
      <c r="I502" s="11" t="s">
        <v>25</v>
      </c>
      <c r="J502" s="11" t="s">
        <v>26</v>
      </c>
      <c r="K502" s="12" t="s">
        <v>27</v>
      </c>
      <c r="L502" s="12" t="s">
        <v>28</v>
      </c>
      <c r="M502" s="11" t="s">
        <v>16</v>
      </c>
      <c r="N502" s="13" t="s">
        <v>22</v>
      </c>
      <c r="O502" s="11" t="s">
        <v>546</v>
      </c>
      <c r="P502" s="12" t="s">
        <v>29</v>
      </c>
      <c r="Q502" s="12" t="s">
        <v>30</v>
      </c>
      <c r="R502" s="12" t="s">
        <v>31</v>
      </c>
      <c r="S502" s="12" t="s">
        <v>32</v>
      </c>
      <c r="T502" s="12" t="s">
        <v>33</v>
      </c>
      <c r="U502" s="1" t="s">
        <v>45</v>
      </c>
      <c r="V502" s="1" t="s">
        <v>46</v>
      </c>
    </row>
    <row r="503" spans="1:22" x14ac:dyDescent="0.25">
      <c r="A503" t="s">
        <v>47</v>
      </c>
      <c r="B503" t="s">
        <v>36</v>
      </c>
      <c r="C503" t="s">
        <v>8</v>
      </c>
      <c r="D503" t="s">
        <v>12</v>
      </c>
      <c r="F503" s="5">
        <v>44075</v>
      </c>
      <c r="G503" s="5">
        <v>44089</v>
      </c>
      <c r="H503" s="2">
        <v>2</v>
      </c>
      <c r="I503" s="6"/>
      <c r="J503" s="6"/>
      <c r="K503" s="7">
        <v>0.5</v>
      </c>
      <c r="L503" s="7">
        <v>360</v>
      </c>
      <c r="M503" t="s">
        <v>17</v>
      </c>
      <c r="N503" s="16">
        <f>POWER(SQRT(WorkOrders27[[#This Row],[WorkDate]]-WorkOrders27[[#This Row],[ReqDate]]),2)</f>
        <v>14</v>
      </c>
      <c r="O503" s="8">
        <f t="array" ref="O503">INDEX(TechRate,MATCH(H503,TechNum,0))</f>
        <v>140</v>
      </c>
      <c r="P503" s="10">
        <f>WorkOrders27[[#This Row],[Techs]]*(WorkOrders27[[#This Row],[PartsCost]]*WorkOrders27[[#This Row],[LbrHrs]])</f>
        <v>360</v>
      </c>
      <c r="Q503" s="10">
        <f t="shared" ref="Q503:Q566" si="48">IF(I503="Yes",0,P503)</f>
        <v>360</v>
      </c>
      <c r="R503" s="10">
        <f t="shared" ref="R503:R566" si="49">IF(J503="Yes",0,L503)</f>
        <v>360</v>
      </c>
      <c r="S503" s="10">
        <f t="shared" ref="S503:S566" si="50">SUM(L503,P503)</f>
        <v>720</v>
      </c>
      <c r="T503" s="10">
        <f t="shared" ref="T503:T566" si="51">SUM(Q503,R503)</f>
        <v>720</v>
      </c>
      <c r="U503" s="8" t="str">
        <f t="shared" ref="U503:V518" si="52">TEXT(F503,"ddd")</f>
        <v>Tue</v>
      </c>
      <c r="V503" s="8" t="str">
        <f t="shared" si="52"/>
        <v>Tue</v>
      </c>
    </row>
    <row r="504" spans="1:22" x14ac:dyDescent="0.25">
      <c r="A504" t="s">
        <v>48</v>
      </c>
      <c r="B504" t="s">
        <v>37</v>
      </c>
      <c r="C504" t="s">
        <v>43</v>
      </c>
      <c r="D504" t="s">
        <v>13</v>
      </c>
      <c r="F504" s="5">
        <v>44075</v>
      </c>
      <c r="G504" s="5">
        <v>44078</v>
      </c>
      <c r="H504" s="2">
        <v>1</v>
      </c>
      <c r="I504" s="6"/>
      <c r="J504" s="6"/>
      <c r="K504" s="7">
        <v>0.5</v>
      </c>
      <c r="L504" s="7">
        <v>90.041600000000003</v>
      </c>
      <c r="M504" t="s">
        <v>17</v>
      </c>
      <c r="N504" s="16">
        <f>POWER(SQRT(WorkOrders27[[#This Row],[WorkDate]]-WorkOrders27[[#This Row],[ReqDate]]),2)</f>
        <v>2.9999999999999996</v>
      </c>
      <c r="O504" s="8">
        <f t="array" ref="O504">INDEX(TechRate,MATCH(H504,TechNum,0))</f>
        <v>80</v>
      </c>
      <c r="P504" s="10">
        <f>WorkOrders27[[#This Row],[Techs]]*(WorkOrders27[[#This Row],[PartsCost]]*WorkOrders27[[#This Row],[LbrHrs]])</f>
        <v>45.020800000000001</v>
      </c>
      <c r="Q504" s="10">
        <f t="shared" si="48"/>
        <v>45.020800000000001</v>
      </c>
      <c r="R504" s="10">
        <f t="shared" si="49"/>
        <v>90.041600000000003</v>
      </c>
      <c r="S504" s="10">
        <f t="shared" si="50"/>
        <v>135.0624</v>
      </c>
      <c r="T504" s="10">
        <f t="shared" si="51"/>
        <v>135.0624</v>
      </c>
      <c r="U504" s="8" t="str">
        <f t="shared" si="52"/>
        <v>Tue</v>
      </c>
      <c r="V504" s="8" t="str">
        <f t="shared" si="52"/>
        <v>Fri</v>
      </c>
    </row>
    <row r="505" spans="1:22" x14ac:dyDescent="0.25">
      <c r="A505" t="s">
        <v>49</v>
      </c>
      <c r="B505" t="s">
        <v>34</v>
      </c>
      <c r="C505" t="s">
        <v>44</v>
      </c>
      <c r="D505" t="s">
        <v>11</v>
      </c>
      <c r="F505" s="5">
        <v>44075</v>
      </c>
      <c r="G505" s="5">
        <v>44091</v>
      </c>
      <c r="H505" s="2">
        <v>1</v>
      </c>
      <c r="I505" s="6"/>
      <c r="J505" s="6"/>
      <c r="K505" s="7">
        <v>0.25</v>
      </c>
      <c r="L505" s="7">
        <v>120</v>
      </c>
      <c r="M505" t="s">
        <v>19</v>
      </c>
      <c r="N505" s="16">
        <f>POWER(SQRT(WorkOrders27[[#This Row],[WorkDate]]-WorkOrders27[[#This Row],[ReqDate]]),2)</f>
        <v>16</v>
      </c>
      <c r="O505" s="8">
        <f t="array" ref="O505">INDEX(TechRate,MATCH(H505,TechNum,0))</f>
        <v>80</v>
      </c>
      <c r="P505" s="10">
        <f>WorkOrders27[[#This Row],[Techs]]*(WorkOrders27[[#This Row],[PartsCost]]*WorkOrders27[[#This Row],[LbrHrs]])</f>
        <v>30</v>
      </c>
      <c r="Q505" s="10">
        <f t="shared" si="48"/>
        <v>30</v>
      </c>
      <c r="R505" s="10">
        <f t="shared" si="49"/>
        <v>120</v>
      </c>
      <c r="S505" s="10">
        <f t="shared" si="50"/>
        <v>150</v>
      </c>
      <c r="T505" s="10">
        <f t="shared" si="51"/>
        <v>150</v>
      </c>
      <c r="U505" s="8" t="str">
        <f t="shared" si="52"/>
        <v>Tue</v>
      </c>
      <c r="V505" s="8" t="str">
        <f t="shared" si="52"/>
        <v>Thu</v>
      </c>
    </row>
    <row r="506" spans="1:22" x14ac:dyDescent="0.25">
      <c r="A506" t="s">
        <v>50</v>
      </c>
      <c r="B506" t="s">
        <v>37</v>
      </c>
      <c r="C506" t="s">
        <v>43</v>
      </c>
      <c r="D506" t="s">
        <v>11</v>
      </c>
      <c r="F506" s="5">
        <v>44075</v>
      </c>
      <c r="G506" s="5">
        <v>44091</v>
      </c>
      <c r="H506" s="2">
        <v>1</v>
      </c>
      <c r="I506" s="6"/>
      <c r="J506" s="6"/>
      <c r="K506" s="7">
        <v>0.25</v>
      </c>
      <c r="L506" s="7">
        <v>16.25</v>
      </c>
      <c r="M506" t="s">
        <v>17</v>
      </c>
      <c r="N506" s="16">
        <f>POWER(SQRT(WorkOrders27[[#This Row],[WorkDate]]-WorkOrders27[[#This Row],[ReqDate]]),2)</f>
        <v>16</v>
      </c>
      <c r="O506" s="8">
        <f t="array" ref="O506">INDEX(TechRate,MATCH(H506,TechNum,0))</f>
        <v>80</v>
      </c>
      <c r="P506" s="10">
        <f>WorkOrders27[[#This Row],[Techs]]*(WorkOrders27[[#This Row],[PartsCost]]*WorkOrders27[[#This Row],[LbrHrs]])</f>
        <v>4.0625</v>
      </c>
      <c r="Q506" s="10">
        <f t="shared" si="48"/>
        <v>4.0625</v>
      </c>
      <c r="R506" s="10">
        <f t="shared" si="49"/>
        <v>16.25</v>
      </c>
      <c r="S506" s="10">
        <f t="shared" si="50"/>
        <v>20.3125</v>
      </c>
      <c r="T506" s="10">
        <f t="shared" si="51"/>
        <v>20.3125</v>
      </c>
      <c r="U506" s="8" t="str">
        <f t="shared" si="52"/>
        <v>Tue</v>
      </c>
      <c r="V506" s="8" t="str">
        <f t="shared" si="52"/>
        <v>Thu</v>
      </c>
    </row>
    <row r="507" spans="1:22" x14ac:dyDescent="0.25">
      <c r="A507" t="s">
        <v>51</v>
      </c>
      <c r="B507" t="s">
        <v>35</v>
      </c>
      <c r="C507" t="s">
        <v>44</v>
      </c>
      <c r="D507" t="s">
        <v>11</v>
      </c>
      <c r="E507" t="s">
        <v>3</v>
      </c>
      <c r="F507" s="5">
        <v>44075</v>
      </c>
      <c r="G507" s="5">
        <v>44091</v>
      </c>
      <c r="H507" s="2">
        <v>1</v>
      </c>
      <c r="I507" s="6"/>
      <c r="J507" s="6"/>
      <c r="K507" s="7">
        <v>0.25</v>
      </c>
      <c r="L507" s="7">
        <v>45.237400000000001</v>
      </c>
      <c r="M507" t="s">
        <v>17</v>
      </c>
      <c r="N507" s="16">
        <f>POWER(SQRT(WorkOrders27[[#This Row],[WorkDate]]-WorkOrders27[[#This Row],[ReqDate]]),2)</f>
        <v>16</v>
      </c>
      <c r="O507" s="8">
        <f t="array" ref="O507">INDEX(TechRate,MATCH(H507,TechNum,0))</f>
        <v>80</v>
      </c>
      <c r="P507" s="10">
        <f>WorkOrders27[[#This Row],[Techs]]*(WorkOrders27[[#This Row],[PartsCost]]*WorkOrders27[[#This Row],[LbrHrs]])</f>
        <v>11.30935</v>
      </c>
      <c r="Q507" s="10">
        <f t="shared" si="48"/>
        <v>11.30935</v>
      </c>
      <c r="R507" s="10">
        <f t="shared" si="49"/>
        <v>45.237400000000001</v>
      </c>
      <c r="S507" s="10">
        <f t="shared" si="50"/>
        <v>56.546750000000003</v>
      </c>
      <c r="T507" s="10">
        <f t="shared" si="51"/>
        <v>56.546750000000003</v>
      </c>
      <c r="U507" s="8" t="str">
        <f t="shared" si="52"/>
        <v>Tue</v>
      </c>
      <c r="V507" s="8" t="str">
        <f t="shared" si="52"/>
        <v>Thu</v>
      </c>
    </row>
    <row r="508" spans="1:22" x14ac:dyDescent="0.25">
      <c r="A508" t="s">
        <v>52</v>
      </c>
      <c r="B508" t="s">
        <v>37</v>
      </c>
      <c r="C508" t="s">
        <v>43</v>
      </c>
      <c r="D508" t="s">
        <v>12</v>
      </c>
      <c r="F508" s="5">
        <v>44075</v>
      </c>
      <c r="G508" s="5">
        <v>44089</v>
      </c>
      <c r="H508" s="2">
        <v>1</v>
      </c>
      <c r="I508" s="6"/>
      <c r="J508" s="6"/>
      <c r="K508" s="7">
        <v>0.25</v>
      </c>
      <c r="L508" s="7">
        <v>97.626300000000001</v>
      </c>
      <c r="M508" t="s">
        <v>17</v>
      </c>
      <c r="N508" s="16">
        <f>POWER(SQRT(WorkOrders27[[#This Row],[WorkDate]]-WorkOrders27[[#This Row],[ReqDate]]),2)</f>
        <v>14</v>
      </c>
      <c r="O508" s="8">
        <f t="array" ref="O508">INDEX(TechRate,MATCH(H508,TechNum,0))</f>
        <v>80</v>
      </c>
      <c r="P508" s="10">
        <f>WorkOrders27[[#This Row],[Techs]]*(WorkOrders27[[#This Row],[PartsCost]]*WorkOrders27[[#This Row],[LbrHrs]])</f>
        <v>24.406575</v>
      </c>
      <c r="Q508" s="10">
        <f t="shared" si="48"/>
        <v>24.406575</v>
      </c>
      <c r="R508" s="10">
        <f t="shared" si="49"/>
        <v>97.626300000000001</v>
      </c>
      <c r="S508" s="10">
        <f t="shared" si="50"/>
        <v>122.032875</v>
      </c>
      <c r="T508" s="10">
        <f t="shared" si="51"/>
        <v>122.032875</v>
      </c>
      <c r="U508" s="8" t="str">
        <f t="shared" si="52"/>
        <v>Tue</v>
      </c>
      <c r="V508" s="8" t="str">
        <f t="shared" si="52"/>
        <v>Tue</v>
      </c>
    </row>
    <row r="509" spans="1:22" x14ac:dyDescent="0.25">
      <c r="A509" t="s">
        <v>53</v>
      </c>
      <c r="B509" t="s">
        <v>34</v>
      </c>
      <c r="C509" t="s">
        <v>44</v>
      </c>
      <c r="D509" t="s">
        <v>12</v>
      </c>
      <c r="F509" s="5">
        <v>44076</v>
      </c>
      <c r="G509" s="5">
        <v>44090</v>
      </c>
      <c r="H509" s="2">
        <v>2</v>
      </c>
      <c r="I509" s="6"/>
      <c r="J509" s="6"/>
      <c r="K509" s="7">
        <v>0.25</v>
      </c>
      <c r="L509" s="7">
        <v>29.13</v>
      </c>
      <c r="M509" t="s">
        <v>17</v>
      </c>
      <c r="N509" s="16">
        <f>POWER(SQRT(WorkOrders27[[#This Row],[WorkDate]]-WorkOrders27[[#This Row],[ReqDate]]),2)</f>
        <v>14</v>
      </c>
      <c r="O509" s="8">
        <f t="array" ref="O509">INDEX(TechRate,MATCH(H509,TechNum,0))</f>
        <v>140</v>
      </c>
      <c r="P509" s="10">
        <f>WorkOrders27[[#This Row],[Techs]]*(WorkOrders27[[#This Row],[PartsCost]]*WorkOrders27[[#This Row],[LbrHrs]])</f>
        <v>14.565</v>
      </c>
      <c r="Q509" s="10">
        <f t="shared" si="48"/>
        <v>14.565</v>
      </c>
      <c r="R509" s="10">
        <f t="shared" si="49"/>
        <v>29.13</v>
      </c>
      <c r="S509" s="10">
        <f t="shared" si="50"/>
        <v>43.695</v>
      </c>
      <c r="T509" s="10">
        <f t="shared" si="51"/>
        <v>43.695</v>
      </c>
      <c r="U509" s="8" t="str">
        <f t="shared" si="52"/>
        <v>Wed</v>
      </c>
      <c r="V509" s="8" t="str">
        <f t="shared" si="52"/>
        <v>Wed</v>
      </c>
    </row>
    <row r="510" spans="1:22" x14ac:dyDescent="0.25">
      <c r="A510" t="s">
        <v>54</v>
      </c>
      <c r="B510" t="s">
        <v>37</v>
      </c>
      <c r="C510" t="s">
        <v>43</v>
      </c>
      <c r="D510" t="s">
        <v>13</v>
      </c>
      <c r="F510" s="5">
        <v>44076</v>
      </c>
      <c r="G510" s="5">
        <v>44106</v>
      </c>
      <c r="H510" s="2">
        <v>1</v>
      </c>
      <c r="I510" s="6"/>
      <c r="J510" s="6"/>
      <c r="K510" s="7">
        <v>0.75</v>
      </c>
      <c r="L510" s="7">
        <v>35.1</v>
      </c>
      <c r="M510" t="s">
        <v>17</v>
      </c>
      <c r="N510" s="16">
        <f>POWER(SQRT(WorkOrders27[[#This Row],[WorkDate]]-WorkOrders27[[#This Row],[ReqDate]]),2)</f>
        <v>30</v>
      </c>
      <c r="O510" s="8">
        <f t="array" ref="O510">INDEX(TechRate,MATCH(H510,TechNum,0))</f>
        <v>80</v>
      </c>
      <c r="P510" s="10">
        <f>WorkOrders27[[#This Row],[Techs]]*(WorkOrders27[[#This Row],[PartsCost]]*WorkOrders27[[#This Row],[LbrHrs]])</f>
        <v>26.325000000000003</v>
      </c>
      <c r="Q510" s="10">
        <f t="shared" si="48"/>
        <v>26.325000000000003</v>
      </c>
      <c r="R510" s="10">
        <f t="shared" si="49"/>
        <v>35.1</v>
      </c>
      <c r="S510" s="10">
        <f t="shared" si="50"/>
        <v>61.425000000000004</v>
      </c>
      <c r="T510" s="10">
        <f t="shared" si="51"/>
        <v>61.425000000000004</v>
      </c>
      <c r="U510" s="8" t="str">
        <f t="shared" si="52"/>
        <v>Wed</v>
      </c>
      <c r="V510" s="8" t="str">
        <f t="shared" si="52"/>
        <v>Fri</v>
      </c>
    </row>
    <row r="511" spans="1:22" x14ac:dyDescent="0.25">
      <c r="A511" t="s">
        <v>55</v>
      </c>
      <c r="B511" t="s">
        <v>35</v>
      </c>
      <c r="C511" t="s">
        <v>9</v>
      </c>
      <c r="D511" t="s">
        <v>11</v>
      </c>
      <c r="F511" s="5">
        <v>44076</v>
      </c>
      <c r="G511" s="5">
        <v>44105</v>
      </c>
      <c r="H511" s="2">
        <v>1</v>
      </c>
      <c r="I511" s="6"/>
      <c r="J511" s="6"/>
      <c r="K511" s="7">
        <v>0.25</v>
      </c>
      <c r="L511" s="7">
        <v>76.7</v>
      </c>
      <c r="M511" t="s">
        <v>18</v>
      </c>
      <c r="N511" s="16">
        <f>POWER(SQRT(WorkOrders27[[#This Row],[WorkDate]]-WorkOrders27[[#This Row],[ReqDate]]),2)</f>
        <v>28.999999999999996</v>
      </c>
      <c r="O511" s="8">
        <f t="array" ref="O511">INDEX(TechRate,MATCH(H511,TechNum,0))</f>
        <v>80</v>
      </c>
      <c r="P511" s="10">
        <f>WorkOrders27[[#This Row],[Techs]]*(WorkOrders27[[#This Row],[PartsCost]]*WorkOrders27[[#This Row],[LbrHrs]])</f>
        <v>19.175000000000001</v>
      </c>
      <c r="Q511" s="10">
        <f t="shared" si="48"/>
        <v>19.175000000000001</v>
      </c>
      <c r="R511" s="10">
        <f t="shared" si="49"/>
        <v>76.7</v>
      </c>
      <c r="S511" s="10">
        <f t="shared" si="50"/>
        <v>95.875</v>
      </c>
      <c r="T511" s="10">
        <f t="shared" si="51"/>
        <v>95.875</v>
      </c>
      <c r="U511" s="8" t="str">
        <f t="shared" si="52"/>
        <v>Wed</v>
      </c>
      <c r="V511" s="8" t="str">
        <f t="shared" si="52"/>
        <v>Thu</v>
      </c>
    </row>
    <row r="512" spans="1:22" x14ac:dyDescent="0.25">
      <c r="A512" t="s">
        <v>56</v>
      </c>
      <c r="B512" t="s">
        <v>34</v>
      </c>
      <c r="C512" t="s">
        <v>8</v>
      </c>
      <c r="D512" t="s">
        <v>2</v>
      </c>
      <c r="E512" t="s">
        <v>3</v>
      </c>
      <c r="F512" s="5">
        <v>44076</v>
      </c>
      <c r="G512" s="5">
        <v>44110</v>
      </c>
      <c r="H512" s="2">
        <v>1</v>
      </c>
      <c r="I512" s="6"/>
      <c r="J512" s="6"/>
      <c r="K512" s="7">
        <v>1.5</v>
      </c>
      <c r="L512" s="7">
        <v>374.07940000000002</v>
      </c>
      <c r="M512" t="s">
        <v>18</v>
      </c>
      <c r="N512" s="16">
        <f>POWER(SQRT(WorkOrders27[[#This Row],[WorkDate]]-WorkOrders27[[#This Row],[ReqDate]]),2)</f>
        <v>34</v>
      </c>
      <c r="O512" s="8">
        <f t="array" ref="O512">INDEX(TechRate,MATCH(H512,TechNum,0))</f>
        <v>80</v>
      </c>
      <c r="P512" s="10">
        <f>WorkOrders27[[#This Row],[Techs]]*(WorkOrders27[[#This Row],[PartsCost]]*WorkOrders27[[#This Row],[LbrHrs]])</f>
        <v>561.1191</v>
      </c>
      <c r="Q512" s="10">
        <f t="shared" si="48"/>
        <v>561.1191</v>
      </c>
      <c r="R512" s="10">
        <f t="shared" si="49"/>
        <v>374.07940000000002</v>
      </c>
      <c r="S512" s="10">
        <f t="shared" si="50"/>
        <v>935.19849999999997</v>
      </c>
      <c r="T512" s="10">
        <f t="shared" si="51"/>
        <v>935.19849999999997</v>
      </c>
      <c r="U512" s="8" t="str">
        <f t="shared" si="52"/>
        <v>Wed</v>
      </c>
      <c r="V512" s="8" t="str">
        <f t="shared" si="52"/>
        <v>Tue</v>
      </c>
    </row>
    <row r="513" spans="1:22" x14ac:dyDescent="0.25">
      <c r="A513" t="s">
        <v>57</v>
      </c>
      <c r="B513" t="s">
        <v>38</v>
      </c>
      <c r="C513" t="s">
        <v>9</v>
      </c>
      <c r="D513" t="s">
        <v>13</v>
      </c>
      <c r="F513" s="5">
        <v>44076</v>
      </c>
      <c r="G513" s="5">
        <v>44173</v>
      </c>
      <c r="H513" s="2">
        <v>2</v>
      </c>
      <c r="I513" s="6"/>
      <c r="J513" s="6"/>
      <c r="K513" s="7">
        <v>4.75</v>
      </c>
      <c r="L513" s="7">
        <v>832.15830000000005</v>
      </c>
      <c r="M513" t="s">
        <v>17</v>
      </c>
      <c r="N513" s="16">
        <f>POWER(SQRT(WorkOrders27[[#This Row],[WorkDate]]-WorkOrders27[[#This Row],[ReqDate]]),2)</f>
        <v>96.999999999999986</v>
      </c>
      <c r="O513" s="8">
        <f t="array" ref="O513">INDEX(TechRate,MATCH(H513,TechNum,0))</f>
        <v>140</v>
      </c>
      <c r="P513" s="10">
        <f>WorkOrders27[[#This Row],[Techs]]*(WorkOrders27[[#This Row],[PartsCost]]*WorkOrders27[[#This Row],[LbrHrs]])</f>
        <v>7905.503850000001</v>
      </c>
      <c r="Q513" s="10">
        <f t="shared" si="48"/>
        <v>7905.503850000001</v>
      </c>
      <c r="R513" s="10">
        <f t="shared" si="49"/>
        <v>832.15830000000005</v>
      </c>
      <c r="S513" s="10">
        <f t="shared" si="50"/>
        <v>8737.6621500000001</v>
      </c>
      <c r="T513" s="10">
        <f t="shared" si="51"/>
        <v>8737.6621500000001</v>
      </c>
      <c r="U513" s="8" t="str">
        <f t="shared" si="52"/>
        <v>Wed</v>
      </c>
      <c r="V513" s="8" t="str">
        <f t="shared" si="52"/>
        <v>Tue</v>
      </c>
    </row>
    <row r="514" spans="1:22" x14ac:dyDescent="0.25">
      <c r="A514" t="s">
        <v>58</v>
      </c>
      <c r="B514" t="s">
        <v>37</v>
      </c>
      <c r="C514" t="s">
        <v>43</v>
      </c>
      <c r="D514" t="s">
        <v>11</v>
      </c>
      <c r="E514" t="s">
        <v>3</v>
      </c>
      <c r="F514" s="5">
        <v>44077</v>
      </c>
      <c r="G514" s="5">
        <v>44097</v>
      </c>
      <c r="H514" s="2">
        <v>1</v>
      </c>
      <c r="I514" s="6"/>
      <c r="J514" s="6"/>
      <c r="K514" s="7">
        <v>0.25</v>
      </c>
      <c r="L514" s="7">
        <v>70.212999999999994</v>
      </c>
      <c r="M514" t="s">
        <v>17</v>
      </c>
      <c r="N514" s="16">
        <f>POWER(SQRT(WorkOrders27[[#This Row],[WorkDate]]-WorkOrders27[[#This Row],[ReqDate]]),2)</f>
        <v>20.000000000000004</v>
      </c>
      <c r="O514" s="8">
        <f t="array" ref="O514">INDEX(TechRate,MATCH(H514,TechNum,0))</f>
        <v>80</v>
      </c>
      <c r="P514" s="10">
        <f>WorkOrders27[[#This Row],[Techs]]*(WorkOrders27[[#This Row],[PartsCost]]*WorkOrders27[[#This Row],[LbrHrs]])</f>
        <v>17.553249999999998</v>
      </c>
      <c r="Q514" s="10">
        <f t="shared" si="48"/>
        <v>17.553249999999998</v>
      </c>
      <c r="R514" s="10">
        <f t="shared" si="49"/>
        <v>70.212999999999994</v>
      </c>
      <c r="S514" s="10">
        <f t="shared" si="50"/>
        <v>87.766249999999985</v>
      </c>
      <c r="T514" s="10">
        <f t="shared" si="51"/>
        <v>87.766249999999985</v>
      </c>
      <c r="U514" s="8" t="str">
        <f t="shared" si="52"/>
        <v>Thu</v>
      </c>
      <c r="V514" s="8" t="str">
        <f t="shared" si="52"/>
        <v>Wed</v>
      </c>
    </row>
    <row r="515" spans="1:22" x14ac:dyDescent="0.25">
      <c r="A515" t="s">
        <v>59</v>
      </c>
      <c r="B515" t="s">
        <v>38</v>
      </c>
      <c r="C515" t="s">
        <v>9</v>
      </c>
      <c r="D515" t="s">
        <v>12</v>
      </c>
      <c r="F515" s="5">
        <v>44078</v>
      </c>
      <c r="G515" s="5">
        <v>44104</v>
      </c>
      <c r="H515" s="2">
        <v>1</v>
      </c>
      <c r="I515" s="6"/>
      <c r="J515" s="6"/>
      <c r="K515" s="7">
        <v>0.5</v>
      </c>
      <c r="L515" s="7">
        <v>150</v>
      </c>
      <c r="M515" t="s">
        <v>19</v>
      </c>
      <c r="N515" s="16">
        <f>POWER(SQRT(WorkOrders27[[#This Row],[WorkDate]]-WorkOrders27[[#This Row],[ReqDate]]),2)</f>
        <v>25.999999999999996</v>
      </c>
      <c r="O515" s="8">
        <f t="array" ref="O515">INDEX(TechRate,MATCH(H515,TechNum,0))</f>
        <v>80</v>
      </c>
      <c r="P515" s="10">
        <f>WorkOrders27[[#This Row],[Techs]]*(WorkOrders27[[#This Row],[PartsCost]]*WorkOrders27[[#This Row],[LbrHrs]])</f>
        <v>75</v>
      </c>
      <c r="Q515" s="10">
        <f t="shared" si="48"/>
        <v>75</v>
      </c>
      <c r="R515" s="10">
        <f t="shared" si="49"/>
        <v>150</v>
      </c>
      <c r="S515" s="10">
        <f t="shared" si="50"/>
        <v>225</v>
      </c>
      <c r="T515" s="10">
        <f t="shared" si="51"/>
        <v>225</v>
      </c>
      <c r="U515" s="8" t="str">
        <f t="shared" si="52"/>
        <v>Fri</v>
      </c>
      <c r="V515" s="8" t="str">
        <f t="shared" si="52"/>
        <v>Wed</v>
      </c>
    </row>
    <row r="516" spans="1:22" x14ac:dyDescent="0.25">
      <c r="A516" t="s">
        <v>60</v>
      </c>
      <c r="B516" t="s">
        <v>34</v>
      </c>
      <c r="C516" t="s">
        <v>6</v>
      </c>
      <c r="D516" t="s">
        <v>12</v>
      </c>
      <c r="F516" s="5">
        <v>44078</v>
      </c>
      <c r="G516" s="5">
        <v>44128</v>
      </c>
      <c r="H516" s="2">
        <v>2</v>
      </c>
      <c r="I516" s="6"/>
      <c r="J516" s="6"/>
      <c r="K516" s="7">
        <v>1.5</v>
      </c>
      <c r="L516" s="7">
        <v>275</v>
      </c>
      <c r="M516" t="s">
        <v>18</v>
      </c>
      <c r="N516" s="16">
        <f>POWER(SQRT(WorkOrders27[[#This Row],[WorkDate]]-WorkOrders27[[#This Row],[ReqDate]]),2)</f>
        <v>50.000000000000007</v>
      </c>
      <c r="O516" s="8">
        <f t="array" ref="O516">INDEX(TechRate,MATCH(H516,TechNum,0))</f>
        <v>140</v>
      </c>
      <c r="P516" s="10">
        <f>WorkOrders27[[#This Row],[Techs]]*(WorkOrders27[[#This Row],[PartsCost]]*WorkOrders27[[#This Row],[LbrHrs]])</f>
        <v>825</v>
      </c>
      <c r="Q516" s="10">
        <f t="shared" si="48"/>
        <v>825</v>
      </c>
      <c r="R516" s="10">
        <f t="shared" si="49"/>
        <v>275</v>
      </c>
      <c r="S516" s="10">
        <f t="shared" si="50"/>
        <v>1100</v>
      </c>
      <c r="T516" s="10">
        <f t="shared" si="51"/>
        <v>1100</v>
      </c>
      <c r="U516" s="8" t="str">
        <f t="shared" si="52"/>
        <v>Fri</v>
      </c>
      <c r="V516" s="8" t="str">
        <f t="shared" si="52"/>
        <v>Sat</v>
      </c>
    </row>
    <row r="517" spans="1:22" x14ac:dyDescent="0.25">
      <c r="A517" t="s">
        <v>61</v>
      </c>
      <c r="B517" t="s">
        <v>35</v>
      </c>
      <c r="C517" t="s">
        <v>8</v>
      </c>
      <c r="D517" t="s">
        <v>13</v>
      </c>
      <c r="E517" t="s">
        <v>3</v>
      </c>
      <c r="F517" s="5">
        <v>44078</v>
      </c>
      <c r="G517" s="5">
        <v>44145</v>
      </c>
      <c r="H517" s="2">
        <v>1</v>
      </c>
      <c r="I517" s="6"/>
      <c r="J517" s="6"/>
      <c r="K517" s="7">
        <v>0.75</v>
      </c>
      <c r="L517" s="7">
        <v>938</v>
      </c>
      <c r="M517" t="s">
        <v>18</v>
      </c>
      <c r="N517" s="16">
        <f>POWER(SQRT(WorkOrders27[[#This Row],[WorkDate]]-WorkOrders27[[#This Row],[ReqDate]]),2)</f>
        <v>67</v>
      </c>
      <c r="O517" s="8">
        <f t="array" ref="O517">INDEX(TechRate,MATCH(H517,TechNum,0))</f>
        <v>80</v>
      </c>
      <c r="P517" s="10">
        <f>WorkOrders27[[#This Row],[Techs]]*(WorkOrders27[[#This Row],[PartsCost]]*WorkOrders27[[#This Row],[LbrHrs]])</f>
        <v>703.5</v>
      </c>
      <c r="Q517" s="10">
        <f t="shared" si="48"/>
        <v>703.5</v>
      </c>
      <c r="R517" s="10">
        <f t="shared" si="49"/>
        <v>938</v>
      </c>
      <c r="S517" s="10">
        <f t="shared" si="50"/>
        <v>1641.5</v>
      </c>
      <c r="T517" s="10">
        <f t="shared" si="51"/>
        <v>1641.5</v>
      </c>
      <c r="U517" s="8" t="str">
        <f t="shared" si="52"/>
        <v>Fri</v>
      </c>
      <c r="V517" s="8" t="str">
        <f t="shared" si="52"/>
        <v>Tue</v>
      </c>
    </row>
    <row r="518" spans="1:22" x14ac:dyDescent="0.25">
      <c r="A518" t="s">
        <v>62</v>
      </c>
      <c r="B518" t="s">
        <v>37</v>
      </c>
      <c r="C518" t="s">
        <v>43</v>
      </c>
      <c r="D518" t="s">
        <v>12</v>
      </c>
      <c r="F518" s="5">
        <v>44079</v>
      </c>
      <c r="G518" s="5">
        <v>44095</v>
      </c>
      <c r="H518" s="2">
        <v>1</v>
      </c>
      <c r="I518" s="6"/>
      <c r="J518" s="6"/>
      <c r="K518" s="7">
        <v>0.25</v>
      </c>
      <c r="L518" s="7">
        <v>61.249699999999997</v>
      </c>
      <c r="M518" t="s">
        <v>17</v>
      </c>
      <c r="N518" s="16">
        <f>POWER(SQRT(WorkOrders27[[#This Row],[WorkDate]]-WorkOrders27[[#This Row],[ReqDate]]),2)</f>
        <v>16</v>
      </c>
      <c r="O518" s="8">
        <f t="array" ref="O518">INDEX(TechRate,MATCH(H518,TechNum,0))</f>
        <v>80</v>
      </c>
      <c r="P518" s="10">
        <f>WorkOrders27[[#This Row],[Techs]]*(WorkOrders27[[#This Row],[PartsCost]]*WorkOrders27[[#This Row],[LbrHrs]])</f>
        <v>15.312424999999999</v>
      </c>
      <c r="Q518" s="10">
        <f t="shared" si="48"/>
        <v>15.312424999999999</v>
      </c>
      <c r="R518" s="10">
        <f t="shared" si="49"/>
        <v>61.249699999999997</v>
      </c>
      <c r="S518" s="10">
        <f t="shared" si="50"/>
        <v>76.562124999999995</v>
      </c>
      <c r="T518" s="10">
        <f t="shared" si="51"/>
        <v>76.562124999999995</v>
      </c>
      <c r="U518" s="8" t="str">
        <f t="shared" si="52"/>
        <v>Sat</v>
      </c>
      <c r="V518" s="8" t="str">
        <f t="shared" si="52"/>
        <v>Mon</v>
      </c>
    </row>
    <row r="519" spans="1:22" x14ac:dyDescent="0.25">
      <c r="A519" t="s">
        <v>63</v>
      </c>
      <c r="B519" t="s">
        <v>38</v>
      </c>
      <c r="C519" t="s">
        <v>9</v>
      </c>
      <c r="D519" t="s">
        <v>12</v>
      </c>
      <c r="F519" s="5">
        <v>44079</v>
      </c>
      <c r="G519" s="5">
        <v>44096</v>
      </c>
      <c r="H519" s="2">
        <v>1</v>
      </c>
      <c r="I519" s="6"/>
      <c r="J519" s="6"/>
      <c r="K519" s="7">
        <v>1.5</v>
      </c>
      <c r="L519" s="7">
        <v>48</v>
      </c>
      <c r="M519" t="s">
        <v>18</v>
      </c>
      <c r="N519" s="16">
        <f>POWER(SQRT(WorkOrders27[[#This Row],[WorkDate]]-WorkOrders27[[#This Row],[ReqDate]]),2)</f>
        <v>17</v>
      </c>
      <c r="O519" s="8">
        <f t="array" ref="O519">INDEX(TechRate,MATCH(H519,TechNum,0))</f>
        <v>80</v>
      </c>
      <c r="P519" s="10">
        <f>WorkOrders27[[#This Row],[Techs]]*(WorkOrders27[[#This Row],[PartsCost]]*WorkOrders27[[#This Row],[LbrHrs]])</f>
        <v>72</v>
      </c>
      <c r="Q519" s="10">
        <f t="shared" si="48"/>
        <v>72</v>
      </c>
      <c r="R519" s="10">
        <f t="shared" si="49"/>
        <v>48</v>
      </c>
      <c r="S519" s="10">
        <f t="shared" si="50"/>
        <v>120</v>
      </c>
      <c r="T519" s="10">
        <f t="shared" si="51"/>
        <v>120</v>
      </c>
      <c r="U519" s="8" t="str">
        <f t="shared" ref="U519:V582" si="53">TEXT(F519,"ddd")</f>
        <v>Sat</v>
      </c>
      <c r="V519" s="8" t="str">
        <f t="shared" si="53"/>
        <v>Tue</v>
      </c>
    </row>
    <row r="520" spans="1:22" x14ac:dyDescent="0.25">
      <c r="A520" t="s">
        <v>64</v>
      </c>
      <c r="B520" t="s">
        <v>35</v>
      </c>
      <c r="C520" t="s">
        <v>9</v>
      </c>
      <c r="D520" t="s">
        <v>12</v>
      </c>
      <c r="F520" s="5">
        <v>44081</v>
      </c>
      <c r="G520" s="5">
        <v>44084</v>
      </c>
      <c r="H520" s="2">
        <v>2</v>
      </c>
      <c r="I520" s="6"/>
      <c r="J520" s="6"/>
      <c r="K520" s="7">
        <v>0.25</v>
      </c>
      <c r="L520" s="7">
        <v>204.28399999999999</v>
      </c>
      <c r="M520" t="s">
        <v>17</v>
      </c>
      <c r="N520" s="16">
        <f>POWER(SQRT(WorkOrders27[[#This Row],[WorkDate]]-WorkOrders27[[#This Row],[ReqDate]]),2)</f>
        <v>2.9999999999999996</v>
      </c>
      <c r="O520" s="8">
        <f t="array" ref="O520">INDEX(TechRate,MATCH(H520,TechNum,0))</f>
        <v>140</v>
      </c>
      <c r="P520" s="10">
        <f>WorkOrders27[[#This Row],[Techs]]*(WorkOrders27[[#This Row],[PartsCost]]*WorkOrders27[[#This Row],[LbrHrs]])</f>
        <v>102.142</v>
      </c>
      <c r="Q520" s="10">
        <f t="shared" si="48"/>
        <v>102.142</v>
      </c>
      <c r="R520" s="10">
        <f t="shared" si="49"/>
        <v>204.28399999999999</v>
      </c>
      <c r="S520" s="10">
        <f t="shared" si="50"/>
        <v>306.42599999999999</v>
      </c>
      <c r="T520" s="10">
        <f t="shared" si="51"/>
        <v>306.42599999999999</v>
      </c>
      <c r="U520" s="8" t="str">
        <f t="shared" si="53"/>
        <v>Mon</v>
      </c>
      <c r="V520" s="8" t="str">
        <f t="shared" si="53"/>
        <v>Thu</v>
      </c>
    </row>
    <row r="521" spans="1:22" x14ac:dyDescent="0.25">
      <c r="A521" t="s">
        <v>65</v>
      </c>
      <c r="B521" t="s">
        <v>35</v>
      </c>
      <c r="C521" t="s">
        <v>44</v>
      </c>
      <c r="D521" t="s">
        <v>13</v>
      </c>
      <c r="F521" s="5">
        <v>44082</v>
      </c>
      <c r="G521" s="5">
        <v>44089</v>
      </c>
      <c r="H521" s="2">
        <v>2</v>
      </c>
      <c r="I521" s="6"/>
      <c r="J521" s="6"/>
      <c r="K521" s="7">
        <v>0.5</v>
      </c>
      <c r="L521" s="7">
        <v>240</v>
      </c>
      <c r="M521" t="s">
        <v>17</v>
      </c>
      <c r="N521" s="16">
        <f>POWER(SQRT(WorkOrders27[[#This Row],[WorkDate]]-WorkOrders27[[#This Row],[ReqDate]]),2)</f>
        <v>7.0000000000000009</v>
      </c>
      <c r="O521" s="8">
        <f t="array" ref="O521">INDEX(TechRate,MATCH(H521,TechNum,0))</f>
        <v>140</v>
      </c>
      <c r="P521" s="10">
        <f>WorkOrders27[[#This Row],[Techs]]*(WorkOrders27[[#This Row],[PartsCost]]*WorkOrders27[[#This Row],[LbrHrs]])</f>
        <v>240</v>
      </c>
      <c r="Q521" s="10">
        <f t="shared" si="48"/>
        <v>240</v>
      </c>
      <c r="R521" s="10">
        <f t="shared" si="49"/>
        <v>240</v>
      </c>
      <c r="S521" s="10">
        <f t="shared" si="50"/>
        <v>480</v>
      </c>
      <c r="T521" s="10">
        <f t="shared" si="51"/>
        <v>480</v>
      </c>
      <c r="U521" s="8" t="str">
        <f t="shared" si="53"/>
        <v>Tue</v>
      </c>
      <c r="V521" s="8" t="str">
        <f t="shared" si="53"/>
        <v>Tue</v>
      </c>
    </row>
    <row r="522" spans="1:22" x14ac:dyDescent="0.25">
      <c r="A522" t="s">
        <v>66</v>
      </c>
      <c r="B522" t="s">
        <v>39</v>
      </c>
      <c r="C522" t="s">
        <v>8</v>
      </c>
      <c r="D522" t="s">
        <v>13</v>
      </c>
      <c r="F522" s="5">
        <v>44082</v>
      </c>
      <c r="G522" s="5">
        <v>44091</v>
      </c>
      <c r="H522" s="2">
        <v>2</v>
      </c>
      <c r="I522" s="6"/>
      <c r="J522" s="6"/>
      <c r="K522" s="7">
        <v>0.5</v>
      </c>
      <c r="L522" s="7">
        <v>120</v>
      </c>
      <c r="M522" t="s">
        <v>17</v>
      </c>
      <c r="N522" s="16">
        <f>POWER(SQRT(WorkOrders27[[#This Row],[WorkDate]]-WorkOrders27[[#This Row],[ReqDate]]),2)</f>
        <v>9</v>
      </c>
      <c r="O522" s="8">
        <f t="array" ref="O522">INDEX(TechRate,MATCH(H522,TechNum,0))</f>
        <v>140</v>
      </c>
      <c r="P522" s="10">
        <f>WorkOrders27[[#This Row],[Techs]]*(WorkOrders27[[#This Row],[PartsCost]]*WorkOrders27[[#This Row],[LbrHrs]])</f>
        <v>120</v>
      </c>
      <c r="Q522" s="10">
        <f t="shared" si="48"/>
        <v>120</v>
      </c>
      <c r="R522" s="10">
        <f t="shared" si="49"/>
        <v>120</v>
      </c>
      <c r="S522" s="10">
        <f t="shared" si="50"/>
        <v>240</v>
      </c>
      <c r="T522" s="10">
        <f t="shared" si="51"/>
        <v>240</v>
      </c>
      <c r="U522" s="8" t="str">
        <f t="shared" si="53"/>
        <v>Tue</v>
      </c>
      <c r="V522" s="8" t="str">
        <f t="shared" si="53"/>
        <v>Thu</v>
      </c>
    </row>
    <row r="523" spans="1:22" x14ac:dyDescent="0.25">
      <c r="A523" t="s">
        <v>67</v>
      </c>
      <c r="B523" t="s">
        <v>34</v>
      </c>
      <c r="C523" t="s">
        <v>44</v>
      </c>
      <c r="D523" t="s">
        <v>2</v>
      </c>
      <c r="F523" s="5">
        <v>44082</v>
      </c>
      <c r="G523" s="5">
        <v>44095</v>
      </c>
      <c r="H523" s="2">
        <v>1</v>
      </c>
      <c r="I523" s="6"/>
      <c r="J523" s="6"/>
      <c r="K523" s="7">
        <v>1.75</v>
      </c>
      <c r="L523" s="7">
        <v>475</v>
      </c>
      <c r="M523" t="s">
        <v>17</v>
      </c>
      <c r="N523" s="16">
        <f>POWER(SQRT(WorkOrders27[[#This Row],[WorkDate]]-WorkOrders27[[#This Row],[ReqDate]]),2)</f>
        <v>12.999999999999998</v>
      </c>
      <c r="O523" s="8">
        <f t="array" ref="O523">INDEX(TechRate,MATCH(H523,TechNum,0))</f>
        <v>80</v>
      </c>
      <c r="P523" s="10">
        <f>WorkOrders27[[#This Row],[Techs]]*(WorkOrders27[[#This Row],[PartsCost]]*WorkOrders27[[#This Row],[LbrHrs]])</f>
        <v>831.25</v>
      </c>
      <c r="Q523" s="10">
        <f t="shared" si="48"/>
        <v>831.25</v>
      </c>
      <c r="R523" s="10">
        <f t="shared" si="49"/>
        <v>475</v>
      </c>
      <c r="S523" s="10">
        <f t="shared" si="50"/>
        <v>1306.25</v>
      </c>
      <c r="T523" s="10">
        <f t="shared" si="51"/>
        <v>1306.25</v>
      </c>
      <c r="U523" s="8" t="str">
        <f t="shared" si="53"/>
        <v>Tue</v>
      </c>
      <c r="V523" s="8" t="str">
        <f t="shared" si="53"/>
        <v>Mon</v>
      </c>
    </row>
    <row r="524" spans="1:22" x14ac:dyDescent="0.25">
      <c r="A524" t="s">
        <v>68</v>
      </c>
      <c r="B524" t="s">
        <v>39</v>
      </c>
      <c r="C524" t="s">
        <v>8</v>
      </c>
      <c r="D524" t="s">
        <v>13</v>
      </c>
      <c r="F524" s="5">
        <v>44082</v>
      </c>
      <c r="G524" s="5">
        <v>44096</v>
      </c>
      <c r="H524" s="2">
        <v>1</v>
      </c>
      <c r="I524" s="6"/>
      <c r="J524" s="6"/>
      <c r="K524" s="7">
        <v>1.75</v>
      </c>
      <c r="L524" s="7">
        <v>341</v>
      </c>
      <c r="M524" t="s">
        <v>18</v>
      </c>
      <c r="N524" s="16">
        <f>POWER(SQRT(WorkOrders27[[#This Row],[WorkDate]]-WorkOrders27[[#This Row],[ReqDate]]),2)</f>
        <v>14</v>
      </c>
      <c r="O524" s="8">
        <f t="array" ref="O524">INDEX(TechRate,MATCH(H524,TechNum,0))</f>
        <v>80</v>
      </c>
      <c r="P524" s="10">
        <f>WorkOrders27[[#This Row],[Techs]]*(WorkOrders27[[#This Row],[PartsCost]]*WorkOrders27[[#This Row],[LbrHrs]])</f>
        <v>596.75</v>
      </c>
      <c r="Q524" s="10">
        <f t="shared" si="48"/>
        <v>596.75</v>
      </c>
      <c r="R524" s="10">
        <f t="shared" si="49"/>
        <v>341</v>
      </c>
      <c r="S524" s="10">
        <f t="shared" si="50"/>
        <v>937.75</v>
      </c>
      <c r="T524" s="10">
        <f t="shared" si="51"/>
        <v>937.75</v>
      </c>
      <c r="U524" s="8" t="str">
        <f t="shared" si="53"/>
        <v>Tue</v>
      </c>
      <c r="V524" s="8" t="str">
        <f t="shared" si="53"/>
        <v>Tue</v>
      </c>
    </row>
    <row r="525" spans="1:22" x14ac:dyDescent="0.25">
      <c r="A525" t="s">
        <v>69</v>
      </c>
      <c r="B525" t="s">
        <v>35</v>
      </c>
      <c r="C525" t="s">
        <v>8</v>
      </c>
      <c r="D525" t="s">
        <v>12</v>
      </c>
      <c r="F525" s="5">
        <v>44082</v>
      </c>
      <c r="G525" s="5">
        <v>44132</v>
      </c>
      <c r="H525" s="2">
        <v>1</v>
      </c>
      <c r="I525" s="6"/>
      <c r="J525" s="6"/>
      <c r="K525" s="7">
        <v>0.75</v>
      </c>
      <c r="L525" s="7">
        <v>61.180599999999998</v>
      </c>
      <c r="M525" t="s">
        <v>18</v>
      </c>
      <c r="N525" s="16">
        <f>POWER(SQRT(WorkOrders27[[#This Row],[WorkDate]]-WorkOrders27[[#This Row],[ReqDate]]),2)</f>
        <v>50.000000000000007</v>
      </c>
      <c r="O525" s="8">
        <f t="array" ref="O525">INDEX(TechRate,MATCH(H525,TechNum,0))</f>
        <v>80</v>
      </c>
      <c r="P525" s="10">
        <f>WorkOrders27[[#This Row],[Techs]]*(WorkOrders27[[#This Row],[PartsCost]]*WorkOrders27[[#This Row],[LbrHrs]])</f>
        <v>45.885449999999999</v>
      </c>
      <c r="Q525" s="10">
        <f t="shared" si="48"/>
        <v>45.885449999999999</v>
      </c>
      <c r="R525" s="10">
        <f t="shared" si="49"/>
        <v>61.180599999999998</v>
      </c>
      <c r="S525" s="10">
        <f t="shared" si="50"/>
        <v>107.06604999999999</v>
      </c>
      <c r="T525" s="10">
        <f t="shared" si="51"/>
        <v>107.06604999999999</v>
      </c>
      <c r="U525" s="8" t="str">
        <f t="shared" si="53"/>
        <v>Tue</v>
      </c>
      <c r="V525" s="8" t="str">
        <f t="shared" si="53"/>
        <v>Wed</v>
      </c>
    </row>
    <row r="526" spans="1:22" x14ac:dyDescent="0.25">
      <c r="A526" t="s">
        <v>70</v>
      </c>
      <c r="B526" t="s">
        <v>37</v>
      </c>
      <c r="C526" t="s">
        <v>43</v>
      </c>
      <c r="D526" t="s">
        <v>13</v>
      </c>
      <c r="F526" s="5">
        <v>44082</v>
      </c>
      <c r="G526" s="5">
        <v>44152</v>
      </c>
      <c r="H526" s="2">
        <v>1</v>
      </c>
      <c r="I526" s="6"/>
      <c r="J526" s="6"/>
      <c r="K526" s="7">
        <v>0.5</v>
      </c>
      <c r="L526" s="7">
        <v>155.3931</v>
      </c>
      <c r="M526" t="s">
        <v>17</v>
      </c>
      <c r="N526" s="16">
        <f>POWER(SQRT(WorkOrders27[[#This Row],[WorkDate]]-WorkOrders27[[#This Row],[ReqDate]]),2)</f>
        <v>70</v>
      </c>
      <c r="O526" s="8">
        <f t="array" ref="O526">INDEX(TechRate,MATCH(H526,TechNum,0))</f>
        <v>80</v>
      </c>
      <c r="P526" s="10">
        <f>WorkOrders27[[#This Row],[Techs]]*(WorkOrders27[[#This Row],[PartsCost]]*WorkOrders27[[#This Row],[LbrHrs]])</f>
        <v>77.696550000000002</v>
      </c>
      <c r="Q526" s="10">
        <f t="shared" si="48"/>
        <v>77.696550000000002</v>
      </c>
      <c r="R526" s="10">
        <f t="shared" si="49"/>
        <v>155.3931</v>
      </c>
      <c r="S526" s="10">
        <f t="shared" si="50"/>
        <v>233.08965000000001</v>
      </c>
      <c r="T526" s="10">
        <f t="shared" si="51"/>
        <v>233.08965000000001</v>
      </c>
      <c r="U526" s="8" t="str">
        <f t="shared" si="53"/>
        <v>Tue</v>
      </c>
      <c r="V526" s="8" t="str">
        <f t="shared" si="53"/>
        <v>Tue</v>
      </c>
    </row>
    <row r="527" spans="1:22" x14ac:dyDescent="0.25">
      <c r="A527" t="s">
        <v>71</v>
      </c>
      <c r="B527" t="s">
        <v>35</v>
      </c>
      <c r="C527" t="s">
        <v>6</v>
      </c>
      <c r="D527" t="s">
        <v>13</v>
      </c>
      <c r="E527" t="s">
        <v>3</v>
      </c>
      <c r="F527" s="5">
        <v>44083</v>
      </c>
      <c r="G527" s="5">
        <v>44098</v>
      </c>
      <c r="H527" s="2">
        <v>2</v>
      </c>
      <c r="I527" s="6"/>
      <c r="J527" s="6"/>
      <c r="K527" s="7">
        <v>0.5</v>
      </c>
      <c r="L527" s="7">
        <v>204.28399999999999</v>
      </c>
      <c r="M527" t="s">
        <v>18</v>
      </c>
      <c r="N527" s="16">
        <f>POWER(SQRT(WorkOrders27[[#This Row],[WorkDate]]-WorkOrders27[[#This Row],[ReqDate]]),2)</f>
        <v>15.000000000000002</v>
      </c>
      <c r="O527" s="8">
        <f t="array" ref="O527">INDEX(TechRate,MATCH(H527,TechNum,0))</f>
        <v>140</v>
      </c>
      <c r="P527" s="10">
        <f>WorkOrders27[[#This Row],[Techs]]*(WorkOrders27[[#This Row],[PartsCost]]*WorkOrders27[[#This Row],[LbrHrs]])</f>
        <v>204.28399999999999</v>
      </c>
      <c r="Q527" s="10">
        <f t="shared" si="48"/>
        <v>204.28399999999999</v>
      </c>
      <c r="R527" s="10">
        <f t="shared" si="49"/>
        <v>204.28399999999999</v>
      </c>
      <c r="S527" s="10">
        <f t="shared" si="50"/>
        <v>408.56799999999998</v>
      </c>
      <c r="T527" s="10">
        <f t="shared" si="51"/>
        <v>408.56799999999998</v>
      </c>
      <c r="U527" s="8" t="str">
        <f t="shared" si="53"/>
        <v>Wed</v>
      </c>
      <c r="V527" s="8" t="str">
        <f t="shared" si="53"/>
        <v>Thu</v>
      </c>
    </row>
    <row r="528" spans="1:22" x14ac:dyDescent="0.25">
      <c r="A528" t="s">
        <v>72</v>
      </c>
      <c r="B528" t="s">
        <v>37</v>
      </c>
      <c r="C528" t="s">
        <v>43</v>
      </c>
      <c r="D528" t="s">
        <v>12</v>
      </c>
      <c r="F528" s="5">
        <v>44083</v>
      </c>
      <c r="G528" s="5">
        <v>44103</v>
      </c>
      <c r="H528" s="2">
        <v>1</v>
      </c>
      <c r="I528" s="6"/>
      <c r="J528" s="6"/>
      <c r="K528" s="7">
        <v>0.5</v>
      </c>
      <c r="L528" s="7">
        <v>37.917400000000001</v>
      </c>
      <c r="M528" t="s">
        <v>17</v>
      </c>
      <c r="N528" s="16">
        <f>POWER(SQRT(WorkOrders27[[#This Row],[WorkDate]]-WorkOrders27[[#This Row],[ReqDate]]),2)</f>
        <v>20.000000000000004</v>
      </c>
      <c r="O528" s="8">
        <f t="array" ref="O528">INDEX(TechRate,MATCH(H528,TechNum,0))</f>
        <v>80</v>
      </c>
      <c r="P528" s="10">
        <f>WorkOrders27[[#This Row],[Techs]]*(WorkOrders27[[#This Row],[PartsCost]]*WorkOrders27[[#This Row],[LbrHrs]])</f>
        <v>18.9587</v>
      </c>
      <c r="Q528" s="10">
        <f t="shared" si="48"/>
        <v>18.9587</v>
      </c>
      <c r="R528" s="10">
        <f t="shared" si="49"/>
        <v>37.917400000000001</v>
      </c>
      <c r="S528" s="10">
        <f t="shared" si="50"/>
        <v>56.876100000000001</v>
      </c>
      <c r="T528" s="10">
        <f t="shared" si="51"/>
        <v>56.876100000000001</v>
      </c>
      <c r="U528" s="8" t="str">
        <f t="shared" si="53"/>
        <v>Wed</v>
      </c>
      <c r="V528" s="8" t="str">
        <f t="shared" si="53"/>
        <v>Tue</v>
      </c>
    </row>
    <row r="529" spans="1:22" x14ac:dyDescent="0.25">
      <c r="A529" t="s">
        <v>73</v>
      </c>
      <c r="B529" t="s">
        <v>35</v>
      </c>
      <c r="C529" t="s">
        <v>9</v>
      </c>
      <c r="D529" t="s">
        <v>11</v>
      </c>
      <c r="E529" t="s">
        <v>3</v>
      </c>
      <c r="F529" s="5">
        <v>44083</v>
      </c>
      <c r="G529" s="5">
        <v>44103</v>
      </c>
      <c r="H529" s="2">
        <v>1</v>
      </c>
      <c r="I529" s="6"/>
      <c r="J529" s="6"/>
      <c r="K529" s="7">
        <v>0.25</v>
      </c>
      <c r="L529" s="7">
        <v>88.405699999999996</v>
      </c>
      <c r="M529" t="s">
        <v>17</v>
      </c>
      <c r="N529" s="16">
        <f>POWER(SQRT(WorkOrders27[[#This Row],[WorkDate]]-WorkOrders27[[#This Row],[ReqDate]]),2)</f>
        <v>20.000000000000004</v>
      </c>
      <c r="O529" s="8">
        <f t="array" ref="O529">INDEX(TechRate,MATCH(H529,TechNum,0))</f>
        <v>80</v>
      </c>
      <c r="P529" s="10">
        <f>WorkOrders27[[#This Row],[Techs]]*(WorkOrders27[[#This Row],[PartsCost]]*WorkOrders27[[#This Row],[LbrHrs]])</f>
        <v>22.101424999999999</v>
      </c>
      <c r="Q529" s="10">
        <f t="shared" si="48"/>
        <v>22.101424999999999</v>
      </c>
      <c r="R529" s="10">
        <f t="shared" si="49"/>
        <v>88.405699999999996</v>
      </c>
      <c r="S529" s="10">
        <f t="shared" si="50"/>
        <v>110.507125</v>
      </c>
      <c r="T529" s="10">
        <f t="shared" si="51"/>
        <v>110.507125</v>
      </c>
      <c r="U529" s="8" t="str">
        <f t="shared" si="53"/>
        <v>Wed</v>
      </c>
      <c r="V529" s="8" t="str">
        <f t="shared" si="53"/>
        <v>Tue</v>
      </c>
    </row>
    <row r="530" spans="1:22" x14ac:dyDescent="0.25">
      <c r="A530" t="s">
        <v>74</v>
      </c>
      <c r="B530" t="s">
        <v>37</v>
      </c>
      <c r="C530" t="s">
        <v>43</v>
      </c>
      <c r="D530" t="s">
        <v>11</v>
      </c>
      <c r="F530" s="5">
        <v>44083</v>
      </c>
      <c r="G530" s="5">
        <v>44103</v>
      </c>
      <c r="H530" s="2">
        <v>1</v>
      </c>
      <c r="I530" s="6"/>
      <c r="J530" s="6"/>
      <c r="K530" s="7">
        <v>0.25</v>
      </c>
      <c r="L530" s="7">
        <v>202.28639999999999</v>
      </c>
      <c r="M530" t="s">
        <v>17</v>
      </c>
      <c r="N530" s="16">
        <f>POWER(SQRT(WorkOrders27[[#This Row],[WorkDate]]-WorkOrders27[[#This Row],[ReqDate]]),2)</f>
        <v>20.000000000000004</v>
      </c>
      <c r="O530" s="8">
        <f t="array" ref="O530">INDEX(TechRate,MATCH(H530,TechNum,0))</f>
        <v>80</v>
      </c>
      <c r="P530" s="10">
        <f>WorkOrders27[[#This Row],[Techs]]*(WorkOrders27[[#This Row],[PartsCost]]*WorkOrders27[[#This Row],[LbrHrs]])</f>
        <v>50.571599999999997</v>
      </c>
      <c r="Q530" s="10">
        <f t="shared" si="48"/>
        <v>50.571599999999997</v>
      </c>
      <c r="R530" s="10">
        <f t="shared" si="49"/>
        <v>202.28639999999999</v>
      </c>
      <c r="S530" s="10">
        <f t="shared" si="50"/>
        <v>252.85799999999998</v>
      </c>
      <c r="T530" s="10">
        <f t="shared" si="51"/>
        <v>252.85799999999998</v>
      </c>
      <c r="U530" s="8" t="str">
        <f t="shared" si="53"/>
        <v>Wed</v>
      </c>
      <c r="V530" s="8" t="str">
        <f t="shared" si="53"/>
        <v>Tue</v>
      </c>
    </row>
    <row r="531" spans="1:22" x14ac:dyDescent="0.25">
      <c r="A531" t="s">
        <v>75</v>
      </c>
      <c r="B531" t="s">
        <v>38</v>
      </c>
      <c r="C531" t="s">
        <v>8</v>
      </c>
      <c r="D531" t="s">
        <v>12</v>
      </c>
      <c r="F531" s="5">
        <v>44084</v>
      </c>
      <c r="G531" s="5">
        <v>44102</v>
      </c>
      <c r="H531" s="2">
        <v>1</v>
      </c>
      <c r="I531" s="6"/>
      <c r="J531" s="6"/>
      <c r="K531" s="7">
        <v>0.5</v>
      </c>
      <c r="L531" s="7">
        <v>120</v>
      </c>
      <c r="M531" t="s">
        <v>19</v>
      </c>
      <c r="N531" s="16">
        <f>POWER(SQRT(WorkOrders27[[#This Row],[WorkDate]]-WorkOrders27[[#This Row],[ReqDate]]),2)</f>
        <v>17.999999999999996</v>
      </c>
      <c r="O531" s="8">
        <f t="array" ref="O531">INDEX(TechRate,MATCH(H531,TechNum,0))</f>
        <v>80</v>
      </c>
      <c r="P531" s="10">
        <f>WorkOrders27[[#This Row],[Techs]]*(WorkOrders27[[#This Row],[PartsCost]]*WorkOrders27[[#This Row],[LbrHrs]])</f>
        <v>60</v>
      </c>
      <c r="Q531" s="10">
        <f t="shared" si="48"/>
        <v>60</v>
      </c>
      <c r="R531" s="10">
        <f t="shared" si="49"/>
        <v>120</v>
      </c>
      <c r="S531" s="10">
        <f t="shared" si="50"/>
        <v>180</v>
      </c>
      <c r="T531" s="10">
        <f t="shared" si="51"/>
        <v>180</v>
      </c>
      <c r="U531" s="8" t="str">
        <f t="shared" si="53"/>
        <v>Thu</v>
      </c>
      <c r="V531" s="8" t="str">
        <f t="shared" si="53"/>
        <v>Mon</v>
      </c>
    </row>
    <row r="532" spans="1:22" x14ac:dyDescent="0.25">
      <c r="A532" t="s">
        <v>76</v>
      </c>
      <c r="B532" t="s">
        <v>35</v>
      </c>
      <c r="C532" t="s">
        <v>6</v>
      </c>
      <c r="D532" t="s">
        <v>11</v>
      </c>
      <c r="F532" s="5">
        <v>44085</v>
      </c>
      <c r="G532" s="5">
        <v>44088</v>
      </c>
      <c r="H532" s="2">
        <v>1</v>
      </c>
      <c r="I532" s="6"/>
      <c r="J532" s="6"/>
      <c r="K532" s="7">
        <v>0.25</v>
      </c>
      <c r="L532" s="7">
        <v>120</v>
      </c>
      <c r="M532" t="s">
        <v>17</v>
      </c>
      <c r="N532" s="16">
        <f>POWER(SQRT(WorkOrders27[[#This Row],[WorkDate]]-WorkOrders27[[#This Row],[ReqDate]]),2)</f>
        <v>2.9999999999999996</v>
      </c>
      <c r="O532" s="8">
        <f t="array" ref="O532">INDEX(TechRate,MATCH(H532,TechNum,0))</f>
        <v>80</v>
      </c>
      <c r="P532" s="10">
        <f>WorkOrders27[[#This Row],[Techs]]*(WorkOrders27[[#This Row],[PartsCost]]*WorkOrders27[[#This Row],[LbrHrs]])</f>
        <v>30</v>
      </c>
      <c r="Q532" s="10">
        <f t="shared" si="48"/>
        <v>30</v>
      </c>
      <c r="R532" s="10">
        <f t="shared" si="49"/>
        <v>120</v>
      </c>
      <c r="S532" s="10">
        <f t="shared" si="50"/>
        <v>150</v>
      </c>
      <c r="T532" s="10">
        <f t="shared" si="51"/>
        <v>150</v>
      </c>
      <c r="U532" s="8" t="str">
        <f t="shared" si="53"/>
        <v>Fri</v>
      </c>
      <c r="V532" s="8" t="str">
        <f t="shared" si="53"/>
        <v>Mon</v>
      </c>
    </row>
    <row r="533" spans="1:22" x14ac:dyDescent="0.25">
      <c r="A533" t="s">
        <v>77</v>
      </c>
      <c r="B533" t="s">
        <v>42</v>
      </c>
      <c r="C533" t="s">
        <v>44</v>
      </c>
      <c r="D533" t="s">
        <v>13</v>
      </c>
      <c r="F533" s="5">
        <v>44085</v>
      </c>
      <c r="G533" s="5">
        <v>44089</v>
      </c>
      <c r="H533" s="2">
        <v>2</v>
      </c>
      <c r="I533" s="6"/>
      <c r="J533" s="6"/>
      <c r="K533" s="7">
        <v>0.5</v>
      </c>
      <c r="L533" s="7">
        <v>535.62480000000005</v>
      </c>
      <c r="M533" t="s">
        <v>18</v>
      </c>
      <c r="N533" s="16">
        <f>POWER(SQRT(WorkOrders27[[#This Row],[WorkDate]]-WorkOrders27[[#This Row],[ReqDate]]),2)</f>
        <v>4</v>
      </c>
      <c r="O533" s="8">
        <f t="array" ref="O533">INDEX(TechRate,MATCH(H533,TechNum,0))</f>
        <v>140</v>
      </c>
      <c r="P533" s="10">
        <f>WorkOrders27[[#This Row],[Techs]]*(WorkOrders27[[#This Row],[PartsCost]]*WorkOrders27[[#This Row],[LbrHrs]])</f>
        <v>535.62480000000005</v>
      </c>
      <c r="Q533" s="10">
        <f t="shared" si="48"/>
        <v>535.62480000000005</v>
      </c>
      <c r="R533" s="10">
        <f t="shared" si="49"/>
        <v>535.62480000000005</v>
      </c>
      <c r="S533" s="10">
        <f t="shared" si="50"/>
        <v>1071.2496000000001</v>
      </c>
      <c r="T533" s="10">
        <f t="shared" si="51"/>
        <v>1071.2496000000001</v>
      </c>
      <c r="U533" s="8" t="str">
        <f t="shared" si="53"/>
        <v>Fri</v>
      </c>
      <c r="V533" s="8" t="str">
        <f t="shared" si="53"/>
        <v>Tue</v>
      </c>
    </row>
    <row r="534" spans="1:22" x14ac:dyDescent="0.25">
      <c r="A534" t="s">
        <v>78</v>
      </c>
      <c r="B534" t="s">
        <v>35</v>
      </c>
      <c r="C534" t="s">
        <v>8</v>
      </c>
      <c r="D534" t="s">
        <v>12</v>
      </c>
      <c r="F534" s="5">
        <v>44085</v>
      </c>
      <c r="G534" s="5">
        <v>44097</v>
      </c>
      <c r="H534" s="2">
        <v>2</v>
      </c>
      <c r="I534" s="6"/>
      <c r="J534" s="6"/>
      <c r="K534" s="7">
        <v>0.25</v>
      </c>
      <c r="L534" s="7">
        <v>24.63</v>
      </c>
      <c r="M534" t="s">
        <v>17</v>
      </c>
      <c r="N534" s="16">
        <f>POWER(SQRT(WorkOrders27[[#This Row],[WorkDate]]-WorkOrders27[[#This Row],[ReqDate]]),2)</f>
        <v>11.999999999999998</v>
      </c>
      <c r="O534" s="8">
        <f t="array" ref="O534">INDEX(TechRate,MATCH(H534,TechNum,0))</f>
        <v>140</v>
      </c>
      <c r="P534" s="10">
        <f>WorkOrders27[[#This Row],[Techs]]*(WorkOrders27[[#This Row],[PartsCost]]*WorkOrders27[[#This Row],[LbrHrs]])</f>
        <v>12.315</v>
      </c>
      <c r="Q534" s="10">
        <f t="shared" si="48"/>
        <v>12.315</v>
      </c>
      <c r="R534" s="10">
        <f t="shared" si="49"/>
        <v>24.63</v>
      </c>
      <c r="S534" s="10">
        <f t="shared" si="50"/>
        <v>36.945</v>
      </c>
      <c r="T534" s="10">
        <f t="shared" si="51"/>
        <v>36.945</v>
      </c>
      <c r="U534" s="8" t="str">
        <f t="shared" si="53"/>
        <v>Fri</v>
      </c>
      <c r="V534" s="8" t="str">
        <f t="shared" si="53"/>
        <v>Wed</v>
      </c>
    </row>
    <row r="535" spans="1:22" x14ac:dyDescent="0.25">
      <c r="A535" t="s">
        <v>79</v>
      </c>
      <c r="B535" t="s">
        <v>35</v>
      </c>
      <c r="C535" t="s">
        <v>8</v>
      </c>
      <c r="D535" t="s">
        <v>13</v>
      </c>
      <c r="F535" s="5">
        <v>44085</v>
      </c>
      <c r="G535" s="5">
        <v>44100</v>
      </c>
      <c r="H535" s="2">
        <v>2</v>
      </c>
      <c r="I535" s="6"/>
      <c r="J535" s="6"/>
      <c r="K535" s="7">
        <v>0.5</v>
      </c>
      <c r="L535" s="7">
        <v>43.26</v>
      </c>
      <c r="M535" t="s">
        <v>17</v>
      </c>
      <c r="N535" s="16">
        <f>POWER(SQRT(WorkOrders27[[#This Row],[WorkDate]]-WorkOrders27[[#This Row],[ReqDate]]),2)</f>
        <v>15.000000000000002</v>
      </c>
      <c r="O535" s="8">
        <f t="array" ref="O535">INDEX(TechRate,MATCH(H535,TechNum,0))</f>
        <v>140</v>
      </c>
      <c r="P535" s="10">
        <f>WorkOrders27[[#This Row],[Techs]]*(WorkOrders27[[#This Row],[PartsCost]]*WorkOrders27[[#This Row],[LbrHrs]])</f>
        <v>43.26</v>
      </c>
      <c r="Q535" s="10">
        <f t="shared" si="48"/>
        <v>43.26</v>
      </c>
      <c r="R535" s="10">
        <f t="shared" si="49"/>
        <v>43.26</v>
      </c>
      <c r="S535" s="10">
        <f t="shared" si="50"/>
        <v>86.52</v>
      </c>
      <c r="T535" s="10">
        <f t="shared" si="51"/>
        <v>86.52</v>
      </c>
      <c r="U535" s="8" t="str">
        <f t="shared" si="53"/>
        <v>Fri</v>
      </c>
      <c r="V535" s="8" t="str">
        <f t="shared" si="53"/>
        <v>Sat</v>
      </c>
    </row>
    <row r="536" spans="1:22" x14ac:dyDescent="0.25">
      <c r="A536" t="s">
        <v>80</v>
      </c>
      <c r="B536" t="s">
        <v>38</v>
      </c>
      <c r="C536" t="s">
        <v>8</v>
      </c>
      <c r="D536" t="s">
        <v>12</v>
      </c>
      <c r="F536" s="5">
        <v>44085</v>
      </c>
      <c r="G536" s="5">
        <v>44110</v>
      </c>
      <c r="H536" s="2">
        <v>1</v>
      </c>
      <c r="I536" s="6"/>
      <c r="J536" s="6"/>
      <c r="K536" s="7">
        <v>0.25</v>
      </c>
      <c r="L536" s="7">
        <v>21.33</v>
      </c>
      <c r="M536" t="s">
        <v>17</v>
      </c>
      <c r="N536" s="16">
        <f>POWER(SQRT(WorkOrders27[[#This Row],[WorkDate]]-WorkOrders27[[#This Row],[ReqDate]]),2)</f>
        <v>25</v>
      </c>
      <c r="O536" s="8">
        <f t="array" ref="O536">INDEX(TechRate,MATCH(H536,TechNum,0))</f>
        <v>80</v>
      </c>
      <c r="P536" s="10">
        <f>WorkOrders27[[#This Row],[Techs]]*(WorkOrders27[[#This Row],[PartsCost]]*WorkOrders27[[#This Row],[LbrHrs]])</f>
        <v>5.3324999999999996</v>
      </c>
      <c r="Q536" s="10">
        <f t="shared" si="48"/>
        <v>5.3324999999999996</v>
      </c>
      <c r="R536" s="10">
        <f t="shared" si="49"/>
        <v>21.33</v>
      </c>
      <c r="S536" s="10">
        <f t="shared" si="50"/>
        <v>26.662499999999998</v>
      </c>
      <c r="T536" s="10">
        <f t="shared" si="51"/>
        <v>26.662499999999998</v>
      </c>
      <c r="U536" s="8" t="str">
        <f t="shared" si="53"/>
        <v>Fri</v>
      </c>
      <c r="V536" s="8" t="str">
        <f t="shared" si="53"/>
        <v>Tue</v>
      </c>
    </row>
    <row r="537" spans="1:22" x14ac:dyDescent="0.25">
      <c r="A537" t="s">
        <v>81</v>
      </c>
      <c r="B537" t="s">
        <v>38</v>
      </c>
      <c r="C537" t="s">
        <v>8</v>
      </c>
      <c r="D537" t="s">
        <v>13</v>
      </c>
      <c r="F537" s="5">
        <v>44086</v>
      </c>
      <c r="G537" s="5">
        <v>44102</v>
      </c>
      <c r="H537" s="2">
        <v>1</v>
      </c>
      <c r="I537" s="6"/>
      <c r="J537" s="6"/>
      <c r="K537" s="7">
        <v>1</v>
      </c>
      <c r="L537" s="7">
        <v>0.45600000000000002</v>
      </c>
      <c r="M537" t="s">
        <v>18</v>
      </c>
      <c r="N537" s="16">
        <f>POWER(SQRT(WorkOrders27[[#This Row],[WorkDate]]-WorkOrders27[[#This Row],[ReqDate]]),2)</f>
        <v>16</v>
      </c>
      <c r="O537" s="8">
        <f t="array" ref="O537">INDEX(TechRate,MATCH(H537,TechNum,0))</f>
        <v>80</v>
      </c>
      <c r="P537" s="10">
        <f>WorkOrders27[[#This Row],[Techs]]*(WorkOrders27[[#This Row],[PartsCost]]*WorkOrders27[[#This Row],[LbrHrs]])</f>
        <v>0.45600000000000002</v>
      </c>
      <c r="Q537" s="10">
        <f t="shared" si="48"/>
        <v>0.45600000000000002</v>
      </c>
      <c r="R537" s="10">
        <f t="shared" si="49"/>
        <v>0.45600000000000002</v>
      </c>
      <c r="S537" s="10">
        <f t="shared" si="50"/>
        <v>0.91200000000000003</v>
      </c>
      <c r="T537" s="10">
        <f t="shared" si="51"/>
        <v>0.91200000000000003</v>
      </c>
      <c r="U537" s="8" t="str">
        <f t="shared" si="53"/>
        <v>Sat</v>
      </c>
      <c r="V537" s="8" t="str">
        <f t="shared" si="53"/>
        <v>Mon</v>
      </c>
    </row>
    <row r="538" spans="1:22" x14ac:dyDescent="0.25">
      <c r="A538" t="s">
        <v>82</v>
      </c>
      <c r="B538" t="s">
        <v>35</v>
      </c>
      <c r="C538" t="s">
        <v>8</v>
      </c>
      <c r="D538" t="s">
        <v>12</v>
      </c>
      <c r="F538" s="5">
        <v>44088</v>
      </c>
      <c r="G538" s="5">
        <v>44098</v>
      </c>
      <c r="H538" s="2">
        <v>2</v>
      </c>
      <c r="I538" s="6"/>
      <c r="J538" s="6"/>
      <c r="K538" s="7">
        <v>0.25</v>
      </c>
      <c r="L538" s="7">
        <v>126.62309999999999</v>
      </c>
      <c r="M538" t="s">
        <v>18</v>
      </c>
      <c r="N538" s="16">
        <f>POWER(SQRT(WorkOrders27[[#This Row],[WorkDate]]-WorkOrders27[[#This Row],[ReqDate]]),2)</f>
        <v>10.000000000000002</v>
      </c>
      <c r="O538" s="8">
        <f t="array" ref="O538">INDEX(TechRate,MATCH(H538,TechNum,0))</f>
        <v>140</v>
      </c>
      <c r="P538" s="10">
        <f>WorkOrders27[[#This Row],[Techs]]*(WorkOrders27[[#This Row],[PartsCost]]*WorkOrders27[[#This Row],[LbrHrs]])</f>
        <v>63.311549999999997</v>
      </c>
      <c r="Q538" s="10">
        <f t="shared" si="48"/>
        <v>63.311549999999997</v>
      </c>
      <c r="R538" s="10">
        <f t="shared" si="49"/>
        <v>126.62309999999999</v>
      </c>
      <c r="S538" s="10">
        <f t="shared" si="50"/>
        <v>189.93464999999998</v>
      </c>
      <c r="T538" s="10">
        <f t="shared" si="51"/>
        <v>189.93464999999998</v>
      </c>
      <c r="U538" s="8" t="str">
        <f t="shared" si="53"/>
        <v>Mon</v>
      </c>
      <c r="V538" s="8" t="str">
        <f t="shared" si="53"/>
        <v>Thu</v>
      </c>
    </row>
    <row r="539" spans="1:22" x14ac:dyDescent="0.25">
      <c r="A539" t="s">
        <v>83</v>
      </c>
      <c r="B539" t="s">
        <v>38</v>
      </c>
      <c r="C539" t="s">
        <v>8</v>
      </c>
      <c r="D539" t="s">
        <v>13</v>
      </c>
      <c r="F539" s="5">
        <v>44088</v>
      </c>
      <c r="G539" s="5">
        <v>44102</v>
      </c>
      <c r="H539" s="2">
        <v>1</v>
      </c>
      <c r="I539" s="6"/>
      <c r="J539" s="6"/>
      <c r="K539" s="7">
        <v>1.5</v>
      </c>
      <c r="L539" s="7">
        <v>251.0033</v>
      </c>
      <c r="M539" t="s">
        <v>17</v>
      </c>
      <c r="N539" s="16">
        <f>POWER(SQRT(WorkOrders27[[#This Row],[WorkDate]]-WorkOrders27[[#This Row],[ReqDate]]),2)</f>
        <v>14</v>
      </c>
      <c r="O539" s="8">
        <f t="array" ref="O539">INDEX(TechRate,MATCH(H539,TechNum,0))</f>
        <v>80</v>
      </c>
      <c r="P539" s="10">
        <f>WorkOrders27[[#This Row],[Techs]]*(WorkOrders27[[#This Row],[PartsCost]]*WorkOrders27[[#This Row],[LbrHrs]])</f>
        <v>376.50495000000001</v>
      </c>
      <c r="Q539" s="10">
        <f t="shared" si="48"/>
        <v>376.50495000000001</v>
      </c>
      <c r="R539" s="10">
        <f t="shared" si="49"/>
        <v>251.0033</v>
      </c>
      <c r="S539" s="10">
        <f t="shared" si="50"/>
        <v>627.50824999999998</v>
      </c>
      <c r="T539" s="10">
        <f t="shared" si="51"/>
        <v>627.50824999999998</v>
      </c>
      <c r="U539" s="8" t="str">
        <f t="shared" si="53"/>
        <v>Mon</v>
      </c>
      <c r="V539" s="8" t="str">
        <f t="shared" si="53"/>
        <v>Mon</v>
      </c>
    </row>
    <row r="540" spans="1:22" x14ac:dyDescent="0.25">
      <c r="A540" t="s">
        <v>84</v>
      </c>
      <c r="B540" t="s">
        <v>39</v>
      </c>
      <c r="C540" t="s">
        <v>44</v>
      </c>
      <c r="D540" t="s">
        <v>12</v>
      </c>
      <c r="E540" t="s">
        <v>3</v>
      </c>
      <c r="F540" s="5">
        <v>44088</v>
      </c>
      <c r="G540" s="5">
        <v>44109</v>
      </c>
      <c r="H540" s="2">
        <v>1</v>
      </c>
      <c r="I540" s="6"/>
      <c r="J540" s="6"/>
      <c r="K540" s="7">
        <v>0.5</v>
      </c>
      <c r="L540" s="7">
        <v>395.28</v>
      </c>
      <c r="M540" t="s">
        <v>19</v>
      </c>
      <c r="N540" s="16">
        <f>POWER(SQRT(WorkOrders27[[#This Row],[WorkDate]]-WorkOrders27[[#This Row],[ReqDate]]),2)</f>
        <v>21</v>
      </c>
      <c r="O540" s="8">
        <f t="array" ref="O540">INDEX(TechRate,MATCH(H540,TechNum,0))</f>
        <v>80</v>
      </c>
      <c r="P540" s="10">
        <f>WorkOrders27[[#This Row],[Techs]]*(WorkOrders27[[#This Row],[PartsCost]]*WorkOrders27[[#This Row],[LbrHrs]])</f>
        <v>197.64</v>
      </c>
      <c r="Q540" s="10">
        <f t="shared" si="48"/>
        <v>197.64</v>
      </c>
      <c r="R540" s="10">
        <f t="shared" si="49"/>
        <v>395.28</v>
      </c>
      <c r="S540" s="10">
        <f t="shared" si="50"/>
        <v>592.91999999999996</v>
      </c>
      <c r="T540" s="10">
        <f t="shared" si="51"/>
        <v>592.91999999999996</v>
      </c>
      <c r="U540" s="8" t="str">
        <f t="shared" si="53"/>
        <v>Mon</v>
      </c>
      <c r="V540" s="8" t="str">
        <f t="shared" si="53"/>
        <v>Mon</v>
      </c>
    </row>
    <row r="541" spans="1:22" x14ac:dyDescent="0.25">
      <c r="A541" t="s">
        <v>85</v>
      </c>
      <c r="B541" t="s">
        <v>35</v>
      </c>
      <c r="C541" t="s">
        <v>6</v>
      </c>
      <c r="D541" t="s">
        <v>11</v>
      </c>
      <c r="E541" t="s">
        <v>3</v>
      </c>
      <c r="F541" s="5">
        <v>44088</v>
      </c>
      <c r="G541" s="5">
        <v>44111</v>
      </c>
      <c r="H541" s="2">
        <v>1</v>
      </c>
      <c r="I541" s="6"/>
      <c r="J541" s="6"/>
      <c r="K541" s="7">
        <v>0.25</v>
      </c>
      <c r="L541" s="7">
        <v>36</v>
      </c>
      <c r="M541" t="s">
        <v>17</v>
      </c>
      <c r="N541" s="16">
        <f>POWER(SQRT(WorkOrders27[[#This Row],[WorkDate]]-WorkOrders27[[#This Row],[ReqDate]]),2)</f>
        <v>22.999999999999996</v>
      </c>
      <c r="O541" s="8">
        <f t="array" ref="O541">INDEX(TechRate,MATCH(H541,TechNum,0))</f>
        <v>80</v>
      </c>
      <c r="P541" s="10">
        <f>WorkOrders27[[#This Row],[Techs]]*(WorkOrders27[[#This Row],[PartsCost]]*WorkOrders27[[#This Row],[LbrHrs]])</f>
        <v>9</v>
      </c>
      <c r="Q541" s="10">
        <f t="shared" si="48"/>
        <v>9</v>
      </c>
      <c r="R541" s="10">
        <f t="shared" si="49"/>
        <v>36</v>
      </c>
      <c r="S541" s="10">
        <f t="shared" si="50"/>
        <v>45</v>
      </c>
      <c r="T541" s="10">
        <f t="shared" si="51"/>
        <v>45</v>
      </c>
      <c r="U541" s="8" t="str">
        <f t="shared" si="53"/>
        <v>Mon</v>
      </c>
      <c r="V541" s="8" t="str">
        <f t="shared" si="53"/>
        <v>Wed</v>
      </c>
    </row>
    <row r="542" spans="1:22" x14ac:dyDescent="0.25">
      <c r="A542" t="s">
        <v>86</v>
      </c>
      <c r="B542" t="s">
        <v>37</v>
      </c>
      <c r="C542" t="s">
        <v>43</v>
      </c>
      <c r="D542" t="s">
        <v>12</v>
      </c>
      <c r="F542" s="5">
        <v>44088</v>
      </c>
      <c r="G542" s="5">
        <v>44158</v>
      </c>
      <c r="H542" s="2">
        <v>1</v>
      </c>
      <c r="I542" s="6"/>
      <c r="J542" s="6"/>
      <c r="K542" s="7">
        <v>1.75</v>
      </c>
      <c r="L542" s="7">
        <v>510.67529999999999</v>
      </c>
      <c r="M542" t="s">
        <v>19</v>
      </c>
      <c r="N542" s="16">
        <f>POWER(SQRT(WorkOrders27[[#This Row],[WorkDate]]-WorkOrders27[[#This Row],[ReqDate]]),2)</f>
        <v>70</v>
      </c>
      <c r="O542" s="8">
        <f t="array" ref="O542">INDEX(TechRate,MATCH(H542,TechNum,0))</f>
        <v>80</v>
      </c>
      <c r="P542" s="10">
        <f>WorkOrders27[[#This Row],[Techs]]*(WorkOrders27[[#This Row],[PartsCost]]*WorkOrders27[[#This Row],[LbrHrs]])</f>
        <v>893.68177500000002</v>
      </c>
      <c r="Q542" s="10">
        <f t="shared" si="48"/>
        <v>893.68177500000002</v>
      </c>
      <c r="R542" s="10">
        <f t="shared" si="49"/>
        <v>510.67529999999999</v>
      </c>
      <c r="S542" s="10">
        <f t="shared" si="50"/>
        <v>1404.3570749999999</v>
      </c>
      <c r="T542" s="10">
        <f t="shared" si="51"/>
        <v>1404.3570749999999</v>
      </c>
      <c r="U542" s="8" t="str">
        <f t="shared" si="53"/>
        <v>Mon</v>
      </c>
      <c r="V542" s="8" t="str">
        <f t="shared" si="53"/>
        <v>Mon</v>
      </c>
    </row>
    <row r="543" spans="1:22" x14ac:dyDescent="0.25">
      <c r="A543" t="s">
        <v>87</v>
      </c>
      <c r="B543" t="s">
        <v>35</v>
      </c>
      <c r="C543" t="s">
        <v>6</v>
      </c>
      <c r="D543" t="s">
        <v>13</v>
      </c>
      <c r="F543" s="5">
        <v>44089</v>
      </c>
      <c r="G543" s="5">
        <v>44111</v>
      </c>
      <c r="H543" s="2">
        <v>2</v>
      </c>
      <c r="I543" s="6"/>
      <c r="J543" s="6"/>
      <c r="K543" s="7">
        <v>0.5</v>
      </c>
      <c r="L543" s="7">
        <v>42.66</v>
      </c>
      <c r="M543" t="s">
        <v>17</v>
      </c>
      <c r="N543" s="16">
        <f>POWER(SQRT(WorkOrders27[[#This Row],[WorkDate]]-WorkOrders27[[#This Row],[ReqDate]]),2)</f>
        <v>22</v>
      </c>
      <c r="O543" s="8">
        <f t="array" ref="O543">INDEX(TechRate,MATCH(H543,TechNum,0))</f>
        <v>140</v>
      </c>
      <c r="P543" s="10">
        <f>WorkOrders27[[#This Row],[Techs]]*(WorkOrders27[[#This Row],[PartsCost]]*WorkOrders27[[#This Row],[LbrHrs]])</f>
        <v>42.66</v>
      </c>
      <c r="Q543" s="10">
        <f t="shared" si="48"/>
        <v>42.66</v>
      </c>
      <c r="R543" s="10">
        <f t="shared" si="49"/>
        <v>42.66</v>
      </c>
      <c r="S543" s="10">
        <f t="shared" si="50"/>
        <v>85.32</v>
      </c>
      <c r="T543" s="10">
        <f t="shared" si="51"/>
        <v>85.32</v>
      </c>
      <c r="U543" s="8" t="str">
        <f t="shared" si="53"/>
        <v>Tue</v>
      </c>
      <c r="V543" s="8" t="str">
        <f t="shared" si="53"/>
        <v>Wed</v>
      </c>
    </row>
    <row r="544" spans="1:22" x14ac:dyDescent="0.25">
      <c r="A544" t="s">
        <v>88</v>
      </c>
      <c r="B544" t="s">
        <v>38</v>
      </c>
      <c r="C544" t="s">
        <v>8</v>
      </c>
      <c r="D544" t="s">
        <v>13</v>
      </c>
      <c r="F544" s="5">
        <v>44090</v>
      </c>
      <c r="G544" s="5">
        <v>44102</v>
      </c>
      <c r="H544" s="2">
        <v>1</v>
      </c>
      <c r="I544" s="6"/>
      <c r="J544" s="6"/>
      <c r="K544" s="7">
        <v>1</v>
      </c>
      <c r="L544" s="7">
        <v>5.4720000000000004</v>
      </c>
      <c r="M544" t="s">
        <v>18</v>
      </c>
      <c r="N544" s="16">
        <f>POWER(SQRT(WorkOrders27[[#This Row],[WorkDate]]-WorkOrders27[[#This Row],[ReqDate]]),2)</f>
        <v>11.999999999999998</v>
      </c>
      <c r="O544" s="8">
        <f t="array" ref="O544">INDEX(TechRate,MATCH(H544,TechNum,0))</f>
        <v>80</v>
      </c>
      <c r="P544" s="10">
        <f>WorkOrders27[[#This Row],[Techs]]*(WorkOrders27[[#This Row],[PartsCost]]*WorkOrders27[[#This Row],[LbrHrs]])</f>
        <v>5.4720000000000004</v>
      </c>
      <c r="Q544" s="10">
        <f t="shared" si="48"/>
        <v>5.4720000000000004</v>
      </c>
      <c r="R544" s="10">
        <f t="shared" si="49"/>
        <v>5.4720000000000004</v>
      </c>
      <c r="S544" s="10">
        <f t="shared" si="50"/>
        <v>10.944000000000001</v>
      </c>
      <c r="T544" s="10">
        <f t="shared" si="51"/>
        <v>10.944000000000001</v>
      </c>
      <c r="U544" s="8" t="str">
        <f t="shared" si="53"/>
        <v>Wed</v>
      </c>
      <c r="V544" s="8" t="str">
        <f t="shared" si="53"/>
        <v>Mon</v>
      </c>
    </row>
    <row r="545" spans="1:22" x14ac:dyDescent="0.25">
      <c r="A545" t="s">
        <v>89</v>
      </c>
      <c r="B545" t="s">
        <v>35</v>
      </c>
      <c r="C545" t="s">
        <v>8</v>
      </c>
      <c r="D545" t="s">
        <v>12</v>
      </c>
      <c r="E545" t="s">
        <v>3</v>
      </c>
      <c r="F545" s="5">
        <v>44090</v>
      </c>
      <c r="G545" s="5">
        <v>44102</v>
      </c>
      <c r="H545" s="2">
        <v>1</v>
      </c>
      <c r="I545" s="6"/>
      <c r="J545" s="6"/>
      <c r="K545" s="7">
        <v>0.25</v>
      </c>
      <c r="L545" s="7">
        <v>45.237400000000001</v>
      </c>
      <c r="M545" t="s">
        <v>17</v>
      </c>
      <c r="N545" s="16">
        <f>POWER(SQRT(WorkOrders27[[#This Row],[WorkDate]]-WorkOrders27[[#This Row],[ReqDate]]),2)</f>
        <v>11.999999999999998</v>
      </c>
      <c r="O545" s="8">
        <f t="array" ref="O545">INDEX(TechRate,MATCH(H545,TechNum,0))</f>
        <v>80</v>
      </c>
      <c r="P545" s="10">
        <f>WorkOrders27[[#This Row],[Techs]]*(WorkOrders27[[#This Row],[PartsCost]]*WorkOrders27[[#This Row],[LbrHrs]])</f>
        <v>11.30935</v>
      </c>
      <c r="Q545" s="10">
        <f t="shared" si="48"/>
        <v>11.30935</v>
      </c>
      <c r="R545" s="10">
        <f t="shared" si="49"/>
        <v>45.237400000000001</v>
      </c>
      <c r="S545" s="10">
        <f t="shared" si="50"/>
        <v>56.546750000000003</v>
      </c>
      <c r="T545" s="10">
        <f t="shared" si="51"/>
        <v>56.546750000000003</v>
      </c>
      <c r="U545" s="8" t="str">
        <f t="shared" si="53"/>
        <v>Wed</v>
      </c>
      <c r="V545" s="8" t="str">
        <f t="shared" si="53"/>
        <v>Mon</v>
      </c>
    </row>
    <row r="546" spans="1:22" x14ac:dyDescent="0.25">
      <c r="A546" t="s">
        <v>90</v>
      </c>
      <c r="B546" t="s">
        <v>35</v>
      </c>
      <c r="C546" t="s">
        <v>9</v>
      </c>
      <c r="D546" t="s">
        <v>12</v>
      </c>
      <c r="F546" s="5">
        <v>44090</v>
      </c>
      <c r="G546" s="5">
        <v>44105</v>
      </c>
      <c r="H546" s="2">
        <v>2</v>
      </c>
      <c r="I546" s="6"/>
      <c r="J546" s="6"/>
      <c r="K546" s="7">
        <v>0.75</v>
      </c>
      <c r="L546" s="7">
        <v>199.452</v>
      </c>
      <c r="M546" t="s">
        <v>18</v>
      </c>
      <c r="N546" s="16">
        <f>POWER(SQRT(WorkOrders27[[#This Row],[WorkDate]]-WorkOrders27[[#This Row],[ReqDate]]),2)</f>
        <v>15.000000000000002</v>
      </c>
      <c r="O546" s="8">
        <f t="array" ref="O546">INDEX(TechRate,MATCH(H546,TechNum,0))</f>
        <v>140</v>
      </c>
      <c r="P546" s="10">
        <f>WorkOrders27[[#This Row],[Techs]]*(WorkOrders27[[#This Row],[PartsCost]]*WorkOrders27[[#This Row],[LbrHrs]])</f>
        <v>299.178</v>
      </c>
      <c r="Q546" s="10">
        <f t="shared" si="48"/>
        <v>299.178</v>
      </c>
      <c r="R546" s="10">
        <f t="shared" si="49"/>
        <v>199.452</v>
      </c>
      <c r="S546" s="10">
        <f t="shared" si="50"/>
        <v>498.63</v>
      </c>
      <c r="T546" s="10">
        <f t="shared" si="51"/>
        <v>498.63</v>
      </c>
      <c r="U546" s="8" t="str">
        <f t="shared" si="53"/>
        <v>Wed</v>
      </c>
      <c r="V546" s="8" t="str">
        <f t="shared" si="53"/>
        <v>Thu</v>
      </c>
    </row>
    <row r="547" spans="1:22" x14ac:dyDescent="0.25">
      <c r="A547" t="s">
        <v>91</v>
      </c>
      <c r="B547" t="s">
        <v>39</v>
      </c>
      <c r="C547" t="s">
        <v>9</v>
      </c>
      <c r="D547" t="s">
        <v>12</v>
      </c>
      <c r="F547" s="5">
        <v>44090</v>
      </c>
      <c r="G547" s="5">
        <v>44109</v>
      </c>
      <c r="H547" s="2">
        <v>2</v>
      </c>
      <c r="I547" s="6"/>
      <c r="J547" s="6"/>
      <c r="K547" s="7">
        <v>0.5</v>
      </c>
      <c r="L547" s="7">
        <v>144</v>
      </c>
      <c r="M547" t="s">
        <v>18</v>
      </c>
      <c r="N547" s="16">
        <f>POWER(SQRT(WorkOrders27[[#This Row],[WorkDate]]-WorkOrders27[[#This Row],[ReqDate]]),2)</f>
        <v>19.000000000000004</v>
      </c>
      <c r="O547" s="8">
        <f t="array" ref="O547">INDEX(TechRate,MATCH(H547,TechNum,0))</f>
        <v>140</v>
      </c>
      <c r="P547" s="10">
        <f>WorkOrders27[[#This Row],[Techs]]*(WorkOrders27[[#This Row],[PartsCost]]*WorkOrders27[[#This Row],[LbrHrs]])</f>
        <v>144</v>
      </c>
      <c r="Q547" s="10">
        <f t="shared" si="48"/>
        <v>144</v>
      </c>
      <c r="R547" s="10">
        <f t="shared" si="49"/>
        <v>144</v>
      </c>
      <c r="S547" s="10">
        <f t="shared" si="50"/>
        <v>288</v>
      </c>
      <c r="T547" s="10">
        <f t="shared" si="51"/>
        <v>288</v>
      </c>
      <c r="U547" s="8" t="str">
        <f t="shared" si="53"/>
        <v>Wed</v>
      </c>
      <c r="V547" s="8" t="str">
        <f t="shared" si="53"/>
        <v>Mon</v>
      </c>
    </row>
    <row r="548" spans="1:22" x14ac:dyDescent="0.25">
      <c r="A548" t="s">
        <v>92</v>
      </c>
      <c r="B548" t="s">
        <v>39</v>
      </c>
      <c r="C548" t="s">
        <v>9</v>
      </c>
      <c r="D548" t="s">
        <v>11</v>
      </c>
      <c r="F548" s="5">
        <v>44091</v>
      </c>
      <c r="G548" s="5">
        <v>44110</v>
      </c>
      <c r="H548" s="2">
        <v>1</v>
      </c>
      <c r="I548" s="6"/>
      <c r="J548" s="6"/>
      <c r="K548" s="7">
        <v>0.25</v>
      </c>
      <c r="L548" s="7">
        <v>6.2160000000000002</v>
      </c>
      <c r="M548" t="s">
        <v>18</v>
      </c>
      <c r="N548" s="16">
        <f>POWER(SQRT(WorkOrders27[[#This Row],[WorkDate]]-WorkOrders27[[#This Row],[ReqDate]]),2)</f>
        <v>19.000000000000004</v>
      </c>
      <c r="O548" s="8">
        <f t="array" ref="O548">INDEX(TechRate,MATCH(H548,TechNum,0))</f>
        <v>80</v>
      </c>
      <c r="P548" s="10">
        <f>WorkOrders27[[#This Row],[Techs]]*(WorkOrders27[[#This Row],[PartsCost]]*WorkOrders27[[#This Row],[LbrHrs]])</f>
        <v>1.554</v>
      </c>
      <c r="Q548" s="10">
        <f t="shared" si="48"/>
        <v>1.554</v>
      </c>
      <c r="R548" s="10">
        <f t="shared" si="49"/>
        <v>6.2160000000000002</v>
      </c>
      <c r="S548" s="10">
        <f t="shared" si="50"/>
        <v>7.7700000000000005</v>
      </c>
      <c r="T548" s="10">
        <f t="shared" si="51"/>
        <v>7.7700000000000005</v>
      </c>
      <c r="U548" s="8" t="str">
        <f t="shared" si="53"/>
        <v>Thu</v>
      </c>
      <c r="V548" s="8" t="str">
        <f t="shared" si="53"/>
        <v>Tue</v>
      </c>
    </row>
    <row r="549" spans="1:22" x14ac:dyDescent="0.25">
      <c r="A549" t="s">
        <v>93</v>
      </c>
      <c r="B549" t="s">
        <v>35</v>
      </c>
      <c r="C549" t="s">
        <v>6</v>
      </c>
      <c r="D549" t="s">
        <v>13</v>
      </c>
      <c r="F549" s="5">
        <v>44091</v>
      </c>
      <c r="G549" s="5">
        <v>44116</v>
      </c>
      <c r="H549" s="2">
        <v>2</v>
      </c>
      <c r="I549" s="6"/>
      <c r="J549" s="6"/>
      <c r="K549" s="7">
        <v>1</v>
      </c>
      <c r="L549" s="7">
        <v>36</v>
      </c>
      <c r="M549" t="s">
        <v>17</v>
      </c>
      <c r="N549" s="16">
        <f>POWER(SQRT(WorkOrders27[[#This Row],[WorkDate]]-WorkOrders27[[#This Row],[ReqDate]]),2)</f>
        <v>25</v>
      </c>
      <c r="O549" s="8">
        <f t="array" ref="O549">INDEX(TechRate,MATCH(H549,TechNum,0))</f>
        <v>140</v>
      </c>
      <c r="P549" s="10">
        <f>WorkOrders27[[#This Row],[Techs]]*(WorkOrders27[[#This Row],[PartsCost]]*WorkOrders27[[#This Row],[LbrHrs]])</f>
        <v>72</v>
      </c>
      <c r="Q549" s="10">
        <f t="shared" si="48"/>
        <v>72</v>
      </c>
      <c r="R549" s="10">
        <f t="shared" si="49"/>
        <v>36</v>
      </c>
      <c r="S549" s="10">
        <f t="shared" si="50"/>
        <v>108</v>
      </c>
      <c r="T549" s="10">
        <f t="shared" si="51"/>
        <v>108</v>
      </c>
      <c r="U549" s="8" t="str">
        <f t="shared" si="53"/>
        <v>Thu</v>
      </c>
      <c r="V549" s="8" t="str">
        <f t="shared" si="53"/>
        <v>Mon</v>
      </c>
    </row>
    <row r="550" spans="1:22" x14ac:dyDescent="0.25">
      <c r="A550" t="s">
        <v>94</v>
      </c>
      <c r="B550" t="s">
        <v>34</v>
      </c>
      <c r="C550" t="s">
        <v>44</v>
      </c>
      <c r="D550" t="s">
        <v>12</v>
      </c>
      <c r="F550" s="5">
        <v>44091</v>
      </c>
      <c r="G550" s="5">
        <v>44116</v>
      </c>
      <c r="H550" s="2">
        <v>2</v>
      </c>
      <c r="I550" s="6"/>
      <c r="J550" s="6"/>
      <c r="K550" s="7">
        <v>0.75</v>
      </c>
      <c r="L550" s="7">
        <v>40</v>
      </c>
      <c r="M550" t="s">
        <v>18</v>
      </c>
      <c r="N550" s="16">
        <f>POWER(SQRT(WorkOrders27[[#This Row],[WorkDate]]-WorkOrders27[[#This Row],[ReqDate]]),2)</f>
        <v>25</v>
      </c>
      <c r="O550" s="8">
        <f t="array" ref="O550">INDEX(TechRate,MATCH(H550,TechNum,0))</f>
        <v>140</v>
      </c>
      <c r="P550" s="10">
        <f>WorkOrders27[[#This Row],[Techs]]*(WorkOrders27[[#This Row],[PartsCost]]*WorkOrders27[[#This Row],[LbrHrs]])</f>
        <v>60</v>
      </c>
      <c r="Q550" s="10">
        <f t="shared" si="48"/>
        <v>60</v>
      </c>
      <c r="R550" s="10">
        <f t="shared" si="49"/>
        <v>40</v>
      </c>
      <c r="S550" s="10">
        <f t="shared" si="50"/>
        <v>100</v>
      </c>
      <c r="T550" s="10">
        <f t="shared" si="51"/>
        <v>100</v>
      </c>
      <c r="U550" s="8" t="str">
        <f t="shared" si="53"/>
        <v>Thu</v>
      </c>
      <c r="V550" s="8" t="str">
        <f t="shared" si="53"/>
        <v>Mon</v>
      </c>
    </row>
    <row r="551" spans="1:22" x14ac:dyDescent="0.25">
      <c r="A551" t="s">
        <v>95</v>
      </c>
      <c r="B551" t="s">
        <v>37</v>
      </c>
      <c r="C551" t="s">
        <v>43</v>
      </c>
      <c r="D551" t="s">
        <v>12</v>
      </c>
      <c r="F551" s="5">
        <v>44091</v>
      </c>
      <c r="G551" s="5">
        <v>44152</v>
      </c>
      <c r="H551" s="2">
        <v>1</v>
      </c>
      <c r="I551" s="6"/>
      <c r="J551" s="6"/>
      <c r="K551" s="7">
        <v>0.25</v>
      </c>
      <c r="L551" s="7">
        <v>87.581299999999999</v>
      </c>
      <c r="M551" t="s">
        <v>17</v>
      </c>
      <c r="N551" s="16">
        <f>POWER(SQRT(WorkOrders27[[#This Row],[WorkDate]]-WorkOrders27[[#This Row],[ReqDate]]),2)</f>
        <v>60.999999999999993</v>
      </c>
      <c r="O551" s="8">
        <f t="array" ref="O551">INDEX(TechRate,MATCH(H551,TechNum,0))</f>
        <v>80</v>
      </c>
      <c r="P551" s="10">
        <f>WorkOrders27[[#This Row],[Techs]]*(WorkOrders27[[#This Row],[PartsCost]]*WorkOrders27[[#This Row],[LbrHrs]])</f>
        <v>21.895325</v>
      </c>
      <c r="Q551" s="10">
        <f t="shared" si="48"/>
        <v>21.895325</v>
      </c>
      <c r="R551" s="10">
        <f t="shared" si="49"/>
        <v>87.581299999999999</v>
      </c>
      <c r="S551" s="10">
        <f t="shared" si="50"/>
        <v>109.476625</v>
      </c>
      <c r="T551" s="10">
        <f t="shared" si="51"/>
        <v>109.476625</v>
      </c>
      <c r="U551" s="8" t="str">
        <f t="shared" si="53"/>
        <v>Thu</v>
      </c>
      <c r="V551" s="8" t="str">
        <f t="shared" si="53"/>
        <v>Tue</v>
      </c>
    </row>
    <row r="552" spans="1:22" x14ac:dyDescent="0.25">
      <c r="A552" t="s">
        <v>96</v>
      </c>
      <c r="B552" t="s">
        <v>38</v>
      </c>
      <c r="C552" t="s">
        <v>8</v>
      </c>
      <c r="D552" t="s">
        <v>13</v>
      </c>
      <c r="F552" s="5">
        <v>44095</v>
      </c>
      <c r="G552" s="5">
        <v>44102</v>
      </c>
      <c r="H552" s="2">
        <v>1</v>
      </c>
      <c r="I552" s="6"/>
      <c r="J552" s="6"/>
      <c r="K552" s="7">
        <v>0.5</v>
      </c>
      <c r="L552" s="7">
        <v>30</v>
      </c>
      <c r="M552" t="s">
        <v>18</v>
      </c>
      <c r="N552" s="16">
        <f>POWER(SQRT(WorkOrders27[[#This Row],[WorkDate]]-WorkOrders27[[#This Row],[ReqDate]]),2)</f>
        <v>7.0000000000000009</v>
      </c>
      <c r="O552" s="8">
        <f t="array" ref="O552">INDEX(TechRate,MATCH(H552,TechNum,0))</f>
        <v>80</v>
      </c>
      <c r="P552" s="10">
        <f>WorkOrders27[[#This Row],[Techs]]*(WorkOrders27[[#This Row],[PartsCost]]*WorkOrders27[[#This Row],[LbrHrs]])</f>
        <v>15</v>
      </c>
      <c r="Q552" s="10">
        <f t="shared" si="48"/>
        <v>15</v>
      </c>
      <c r="R552" s="10">
        <f t="shared" si="49"/>
        <v>30</v>
      </c>
      <c r="S552" s="10">
        <f t="shared" si="50"/>
        <v>45</v>
      </c>
      <c r="T552" s="10">
        <f t="shared" si="51"/>
        <v>45</v>
      </c>
      <c r="U552" s="8" t="str">
        <f t="shared" si="53"/>
        <v>Mon</v>
      </c>
      <c r="V552" s="8" t="str">
        <f t="shared" si="53"/>
        <v>Mon</v>
      </c>
    </row>
    <row r="553" spans="1:22" x14ac:dyDescent="0.25">
      <c r="A553" t="s">
        <v>97</v>
      </c>
      <c r="B553" t="s">
        <v>39</v>
      </c>
      <c r="C553" t="s">
        <v>6</v>
      </c>
      <c r="D553" t="s">
        <v>11</v>
      </c>
      <c r="F553" s="5">
        <v>44095</v>
      </c>
      <c r="G553" s="5">
        <v>44123</v>
      </c>
      <c r="H553" s="2">
        <v>1</v>
      </c>
      <c r="I553" s="6"/>
      <c r="J553" s="6"/>
      <c r="K553" s="7">
        <v>0.25</v>
      </c>
      <c r="L553" s="7">
        <v>144</v>
      </c>
      <c r="M553" t="s">
        <v>19</v>
      </c>
      <c r="N553" s="16">
        <f>POWER(SQRT(WorkOrders27[[#This Row],[WorkDate]]-WorkOrders27[[#This Row],[ReqDate]]),2)</f>
        <v>28.000000000000004</v>
      </c>
      <c r="O553" s="8">
        <f t="array" ref="O553">INDEX(TechRate,MATCH(H553,TechNum,0))</f>
        <v>80</v>
      </c>
      <c r="P553" s="10">
        <f>WorkOrders27[[#This Row],[Techs]]*(WorkOrders27[[#This Row],[PartsCost]]*WorkOrders27[[#This Row],[LbrHrs]])</f>
        <v>36</v>
      </c>
      <c r="Q553" s="10">
        <f t="shared" si="48"/>
        <v>36</v>
      </c>
      <c r="R553" s="10">
        <f t="shared" si="49"/>
        <v>144</v>
      </c>
      <c r="S553" s="10">
        <f t="shared" si="50"/>
        <v>180</v>
      </c>
      <c r="T553" s="10">
        <f t="shared" si="51"/>
        <v>180</v>
      </c>
      <c r="U553" s="8" t="str">
        <f t="shared" si="53"/>
        <v>Mon</v>
      </c>
      <c r="V553" s="8" t="str">
        <f t="shared" si="53"/>
        <v>Mon</v>
      </c>
    </row>
    <row r="554" spans="1:22" x14ac:dyDescent="0.25">
      <c r="A554" t="s">
        <v>98</v>
      </c>
      <c r="B554" t="s">
        <v>38</v>
      </c>
      <c r="C554" t="s">
        <v>8</v>
      </c>
      <c r="D554" t="s">
        <v>13</v>
      </c>
      <c r="E554" t="s">
        <v>3</v>
      </c>
      <c r="F554" s="5">
        <v>44095</v>
      </c>
      <c r="G554" s="5">
        <v>44139</v>
      </c>
      <c r="H554" s="2">
        <v>1</v>
      </c>
      <c r="I554" s="6"/>
      <c r="J554" s="6"/>
      <c r="K554" s="7">
        <v>0.75</v>
      </c>
      <c r="L554" s="7">
        <v>297.51229999999998</v>
      </c>
      <c r="M554" t="s">
        <v>17</v>
      </c>
      <c r="N554" s="16">
        <f>POWER(SQRT(WorkOrders27[[#This Row],[WorkDate]]-WorkOrders27[[#This Row],[ReqDate]]),2)</f>
        <v>44</v>
      </c>
      <c r="O554" s="8">
        <f t="array" ref="O554">INDEX(TechRate,MATCH(H554,TechNum,0))</f>
        <v>80</v>
      </c>
      <c r="P554" s="10">
        <f>WorkOrders27[[#This Row],[Techs]]*(WorkOrders27[[#This Row],[PartsCost]]*WorkOrders27[[#This Row],[LbrHrs]])</f>
        <v>223.13422499999999</v>
      </c>
      <c r="Q554" s="10">
        <f t="shared" si="48"/>
        <v>223.13422499999999</v>
      </c>
      <c r="R554" s="10">
        <f t="shared" si="49"/>
        <v>297.51229999999998</v>
      </c>
      <c r="S554" s="10">
        <f t="shared" si="50"/>
        <v>520.646525</v>
      </c>
      <c r="T554" s="10">
        <f t="shared" si="51"/>
        <v>520.646525</v>
      </c>
      <c r="U554" s="8" t="str">
        <f t="shared" si="53"/>
        <v>Mon</v>
      </c>
      <c r="V554" s="8" t="str">
        <f t="shared" si="53"/>
        <v>Wed</v>
      </c>
    </row>
    <row r="555" spans="1:22" x14ac:dyDescent="0.25">
      <c r="A555" t="s">
        <v>99</v>
      </c>
      <c r="B555" t="s">
        <v>38</v>
      </c>
      <c r="C555" t="s">
        <v>6</v>
      </c>
      <c r="D555" t="s">
        <v>12</v>
      </c>
      <c r="F555" s="5">
        <v>44095</v>
      </c>
      <c r="G555" s="5">
        <v>44160</v>
      </c>
      <c r="H555" s="2">
        <v>1</v>
      </c>
      <c r="I555" s="6"/>
      <c r="J555" s="6"/>
      <c r="K555" s="7">
        <v>0.5</v>
      </c>
      <c r="L555" s="7">
        <v>64.171000000000006</v>
      </c>
      <c r="M555" t="s">
        <v>19</v>
      </c>
      <c r="N555" s="16">
        <f>POWER(SQRT(WorkOrders27[[#This Row],[WorkDate]]-WorkOrders27[[#This Row],[ReqDate]]),2)</f>
        <v>64.999999999999986</v>
      </c>
      <c r="O555" s="8">
        <f t="array" ref="O555">INDEX(TechRate,MATCH(H555,TechNum,0))</f>
        <v>80</v>
      </c>
      <c r="P555" s="10">
        <f>WorkOrders27[[#This Row],[Techs]]*(WorkOrders27[[#This Row],[PartsCost]]*WorkOrders27[[#This Row],[LbrHrs]])</f>
        <v>32.085500000000003</v>
      </c>
      <c r="Q555" s="10">
        <f t="shared" si="48"/>
        <v>32.085500000000003</v>
      </c>
      <c r="R555" s="10">
        <f t="shared" si="49"/>
        <v>64.171000000000006</v>
      </c>
      <c r="S555" s="10">
        <f t="shared" si="50"/>
        <v>96.256500000000017</v>
      </c>
      <c r="T555" s="10">
        <f t="shared" si="51"/>
        <v>96.256500000000017</v>
      </c>
      <c r="U555" s="8" t="str">
        <f t="shared" si="53"/>
        <v>Mon</v>
      </c>
      <c r="V555" s="8" t="str">
        <f t="shared" si="53"/>
        <v>Wed</v>
      </c>
    </row>
    <row r="556" spans="1:22" x14ac:dyDescent="0.25">
      <c r="A556" t="s">
        <v>100</v>
      </c>
      <c r="B556" t="s">
        <v>37</v>
      </c>
      <c r="C556" t="s">
        <v>43</v>
      </c>
      <c r="D556" t="s">
        <v>11</v>
      </c>
      <c r="F556" s="5">
        <v>44096</v>
      </c>
      <c r="G556" s="5">
        <v>44105</v>
      </c>
      <c r="H556" s="2">
        <v>1</v>
      </c>
      <c r="I556" s="6"/>
      <c r="J556" s="6"/>
      <c r="K556" s="7">
        <v>0.25</v>
      </c>
      <c r="L556" s="7">
        <v>20.475000000000001</v>
      </c>
      <c r="M556" t="s">
        <v>17</v>
      </c>
      <c r="N556" s="16">
        <f>POWER(SQRT(WorkOrders27[[#This Row],[WorkDate]]-WorkOrders27[[#This Row],[ReqDate]]),2)</f>
        <v>9</v>
      </c>
      <c r="O556" s="8">
        <f t="array" ref="O556">INDEX(TechRate,MATCH(H556,TechNum,0))</f>
        <v>80</v>
      </c>
      <c r="P556" s="10">
        <f>WorkOrders27[[#This Row],[Techs]]*(WorkOrders27[[#This Row],[PartsCost]]*WorkOrders27[[#This Row],[LbrHrs]])</f>
        <v>5.1187500000000004</v>
      </c>
      <c r="Q556" s="10">
        <f t="shared" si="48"/>
        <v>5.1187500000000004</v>
      </c>
      <c r="R556" s="10">
        <f t="shared" si="49"/>
        <v>20.475000000000001</v>
      </c>
      <c r="S556" s="10">
        <f t="shared" si="50"/>
        <v>25.59375</v>
      </c>
      <c r="T556" s="10">
        <f t="shared" si="51"/>
        <v>25.59375</v>
      </c>
      <c r="U556" s="8" t="str">
        <f t="shared" si="53"/>
        <v>Tue</v>
      </c>
      <c r="V556" s="8" t="str">
        <f t="shared" si="53"/>
        <v>Thu</v>
      </c>
    </row>
    <row r="557" spans="1:22" x14ac:dyDescent="0.25">
      <c r="A557" t="s">
        <v>101</v>
      </c>
      <c r="B557" t="s">
        <v>38</v>
      </c>
      <c r="C557" t="s">
        <v>8</v>
      </c>
      <c r="D557" t="s">
        <v>2</v>
      </c>
      <c r="F557" s="5">
        <v>44097</v>
      </c>
      <c r="G557" s="5">
        <v>44111</v>
      </c>
      <c r="H557" s="2">
        <v>1</v>
      </c>
      <c r="I557" s="6"/>
      <c r="J557" s="6"/>
      <c r="K557" s="7">
        <v>1</v>
      </c>
      <c r="L557" s="7">
        <v>200</v>
      </c>
      <c r="M557" t="s">
        <v>18</v>
      </c>
      <c r="N557" s="16">
        <f>POWER(SQRT(WorkOrders27[[#This Row],[WorkDate]]-WorkOrders27[[#This Row],[ReqDate]]),2)</f>
        <v>14</v>
      </c>
      <c r="O557" s="8">
        <f t="array" ref="O557">INDEX(TechRate,MATCH(H557,TechNum,0))</f>
        <v>80</v>
      </c>
      <c r="P557" s="10">
        <f>WorkOrders27[[#This Row],[Techs]]*(WorkOrders27[[#This Row],[PartsCost]]*WorkOrders27[[#This Row],[LbrHrs]])</f>
        <v>200</v>
      </c>
      <c r="Q557" s="10">
        <f t="shared" si="48"/>
        <v>200</v>
      </c>
      <c r="R557" s="10">
        <f t="shared" si="49"/>
        <v>200</v>
      </c>
      <c r="S557" s="10">
        <f t="shared" si="50"/>
        <v>400</v>
      </c>
      <c r="T557" s="10">
        <f t="shared" si="51"/>
        <v>400</v>
      </c>
      <c r="U557" s="8" t="str">
        <f t="shared" si="53"/>
        <v>Wed</v>
      </c>
      <c r="V557" s="8" t="str">
        <f t="shared" si="53"/>
        <v>Wed</v>
      </c>
    </row>
    <row r="558" spans="1:22" x14ac:dyDescent="0.25">
      <c r="A558" t="s">
        <v>102</v>
      </c>
      <c r="B558" t="s">
        <v>39</v>
      </c>
      <c r="C558" t="s">
        <v>9</v>
      </c>
      <c r="D558" t="s">
        <v>2</v>
      </c>
      <c r="F558" s="5">
        <v>44097</v>
      </c>
      <c r="G558" s="5">
        <v>44119</v>
      </c>
      <c r="H558" s="2">
        <v>1</v>
      </c>
      <c r="I558" s="6"/>
      <c r="J558" s="6"/>
      <c r="K558" s="7">
        <v>1.5</v>
      </c>
      <c r="L558" s="7">
        <v>123.9555</v>
      </c>
      <c r="M558" t="s">
        <v>18</v>
      </c>
      <c r="N558" s="16">
        <f>POWER(SQRT(WorkOrders27[[#This Row],[WorkDate]]-WorkOrders27[[#This Row],[ReqDate]]),2)</f>
        <v>22</v>
      </c>
      <c r="O558" s="8">
        <f t="array" ref="O558">INDEX(TechRate,MATCH(H558,TechNum,0))</f>
        <v>80</v>
      </c>
      <c r="P558" s="10">
        <f>WorkOrders27[[#This Row],[Techs]]*(WorkOrders27[[#This Row],[PartsCost]]*WorkOrders27[[#This Row],[LbrHrs]])</f>
        <v>185.93324999999999</v>
      </c>
      <c r="Q558" s="10">
        <f t="shared" si="48"/>
        <v>185.93324999999999</v>
      </c>
      <c r="R558" s="10">
        <f t="shared" si="49"/>
        <v>123.9555</v>
      </c>
      <c r="S558" s="10">
        <f t="shared" si="50"/>
        <v>309.88874999999996</v>
      </c>
      <c r="T558" s="10">
        <f t="shared" si="51"/>
        <v>309.88874999999996</v>
      </c>
      <c r="U558" s="8" t="str">
        <f t="shared" si="53"/>
        <v>Wed</v>
      </c>
      <c r="V558" s="8" t="str">
        <f t="shared" si="53"/>
        <v>Thu</v>
      </c>
    </row>
    <row r="559" spans="1:22" x14ac:dyDescent="0.25">
      <c r="A559" t="s">
        <v>103</v>
      </c>
      <c r="B559" t="s">
        <v>34</v>
      </c>
      <c r="C559" t="s">
        <v>44</v>
      </c>
      <c r="D559" t="s">
        <v>13</v>
      </c>
      <c r="F559" s="5">
        <v>44097</v>
      </c>
      <c r="G559" s="5">
        <v>44128</v>
      </c>
      <c r="H559" s="2">
        <v>1</v>
      </c>
      <c r="I559" s="6"/>
      <c r="J559" s="6"/>
      <c r="K559" s="7">
        <v>0.5</v>
      </c>
      <c r="L559" s="7">
        <v>193.88310000000001</v>
      </c>
      <c r="M559" t="s">
        <v>17</v>
      </c>
      <c r="N559" s="16">
        <f>POWER(SQRT(WorkOrders27[[#This Row],[WorkDate]]-WorkOrders27[[#This Row],[ReqDate]]),2)</f>
        <v>30.999999999999996</v>
      </c>
      <c r="O559" s="8">
        <f t="array" ref="O559">INDEX(TechRate,MATCH(H559,TechNum,0))</f>
        <v>80</v>
      </c>
      <c r="P559" s="10">
        <f>WorkOrders27[[#This Row],[Techs]]*(WorkOrders27[[#This Row],[PartsCost]]*WorkOrders27[[#This Row],[LbrHrs]])</f>
        <v>96.941550000000007</v>
      </c>
      <c r="Q559" s="10">
        <f t="shared" si="48"/>
        <v>96.941550000000007</v>
      </c>
      <c r="R559" s="10">
        <f t="shared" si="49"/>
        <v>193.88310000000001</v>
      </c>
      <c r="S559" s="10">
        <f t="shared" si="50"/>
        <v>290.82465000000002</v>
      </c>
      <c r="T559" s="10">
        <f t="shared" si="51"/>
        <v>290.82465000000002</v>
      </c>
      <c r="U559" s="8" t="str">
        <f t="shared" si="53"/>
        <v>Wed</v>
      </c>
      <c r="V559" s="8" t="str">
        <f t="shared" si="53"/>
        <v>Sat</v>
      </c>
    </row>
    <row r="560" spans="1:22" x14ac:dyDescent="0.25">
      <c r="A560" t="s">
        <v>104</v>
      </c>
      <c r="B560" t="s">
        <v>39</v>
      </c>
      <c r="C560" t="s">
        <v>8</v>
      </c>
      <c r="D560" t="s">
        <v>12</v>
      </c>
      <c r="F560" s="5">
        <v>44097</v>
      </c>
      <c r="G560" s="5">
        <v>44132</v>
      </c>
      <c r="H560" s="2">
        <v>2</v>
      </c>
      <c r="I560" s="6"/>
      <c r="J560" s="6"/>
      <c r="K560" s="7">
        <v>0.5</v>
      </c>
      <c r="L560" s="7">
        <v>1.173</v>
      </c>
      <c r="M560" t="s">
        <v>18</v>
      </c>
      <c r="N560" s="16">
        <f>POWER(SQRT(WorkOrders27[[#This Row],[WorkDate]]-WorkOrders27[[#This Row],[ReqDate]]),2)</f>
        <v>35</v>
      </c>
      <c r="O560" s="8">
        <f t="array" ref="O560">INDEX(TechRate,MATCH(H560,TechNum,0))</f>
        <v>140</v>
      </c>
      <c r="P560" s="10">
        <f>WorkOrders27[[#This Row],[Techs]]*(WorkOrders27[[#This Row],[PartsCost]]*WorkOrders27[[#This Row],[LbrHrs]])</f>
        <v>1.173</v>
      </c>
      <c r="Q560" s="10">
        <f t="shared" si="48"/>
        <v>1.173</v>
      </c>
      <c r="R560" s="10">
        <f t="shared" si="49"/>
        <v>1.173</v>
      </c>
      <c r="S560" s="10">
        <f t="shared" si="50"/>
        <v>2.3460000000000001</v>
      </c>
      <c r="T560" s="10">
        <f t="shared" si="51"/>
        <v>2.3460000000000001</v>
      </c>
      <c r="U560" s="8" t="str">
        <f t="shared" si="53"/>
        <v>Wed</v>
      </c>
      <c r="V560" s="8" t="str">
        <f t="shared" si="53"/>
        <v>Wed</v>
      </c>
    </row>
    <row r="561" spans="1:22" x14ac:dyDescent="0.25">
      <c r="A561" t="s">
        <v>105</v>
      </c>
      <c r="B561" t="s">
        <v>34</v>
      </c>
      <c r="C561" t="s">
        <v>6</v>
      </c>
      <c r="D561" t="s">
        <v>12</v>
      </c>
      <c r="F561" s="5">
        <v>44098</v>
      </c>
      <c r="G561" s="5">
        <v>44109</v>
      </c>
      <c r="H561" s="2">
        <v>2</v>
      </c>
      <c r="I561" s="6"/>
      <c r="J561" s="6"/>
      <c r="K561" s="7">
        <v>0.75</v>
      </c>
      <c r="L561" s="7">
        <v>664.78880000000004</v>
      </c>
      <c r="M561" t="s">
        <v>17</v>
      </c>
      <c r="N561" s="16">
        <f>POWER(SQRT(WorkOrders27[[#This Row],[WorkDate]]-WorkOrders27[[#This Row],[ReqDate]]),2)</f>
        <v>11</v>
      </c>
      <c r="O561" s="8">
        <f t="array" ref="O561">INDEX(TechRate,MATCH(H561,TechNum,0))</f>
        <v>140</v>
      </c>
      <c r="P561" s="10">
        <f>WorkOrders27[[#This Row],[Techs]]*(WorkOrders27[[#This Row],[PartsCost]]*WorkOrders27[[#This Row],[LbrHrs]])</f>
        <v>997.18320000000006</v>
      </c>
      <c r="Q561" s="10">
        <f t="shared" si="48"/>
        <v>997.18320000000006</v>
      </c>
      <c r="R561" s="10">
        <f t="shared" si="49"/>
        <v>664.78880000000004</v>
      </c>
      <c r="S561" s="10">
        <f t="shared" si="50"/>
        <v>1661.9720000000002</v>
      </c>
      <c r="T561" s="10">
        <f t="shared" si="51"/>
        <v>1661.9720000000002</v>
      </c>
      <c r="U561" s="8" t="str">
        <f t="shared" si="53"/>
        <v>Thu</v>
      </c>
      <c r="V561" s="8" t="str">
        <f t="shared" si="53"/>
        <v>Mon</v>
      </c>
    </row>
    <row r="562" spans="1:22" x14ac:dyDescent="0.25">
      <c r="A562" t="s">
        <v>106</v>
      </c>
      <c r="B562" t="s">
        <v>35</v>
      </c>
      <c r="C562" t="s">
        <v>8</v>
      </c>
      <c r="D562" t="s">
        <v>11</v>
      </c>
      <c r="F562" s="5">
        <v>44098</v>
      </c>
      <c r="G562" s="5">
        <v>44119</v>
      </c>
      <c r="H562" s="2">
        <v>1</v>
      </c>
      <c r="I562" s="6"/>
      <c r="J562" s="6"/>
      <c r="K562" s="7">
        <v>0.25</v>
      </c>
      <c r="L562" s="7">
        <v>160</v>
      </c>
      <c r="M562" t="s">
        <v>17</v>
      </c>
      <c r="N562" s="16">
        <f>POWER(SQRT(WorkOrders27[[#This Row],[WorkDate]]-WorkOrders27[[#This Row],[ReqDate]]),2)</f>
        <v>21</v>
      </c>
      <c r="O562" s="8">
        <f t="array" ref="O562">INDEX(TechRate,MATCH(H562,TechNum,0))</f>
        <v>80</v>
      </c>
      <c r="P562" s="10">
        <f>WorkOrders27[[#This Row],[Techs]]*(WorkOrders27[[#This Row],[PartsCost]]*WorkOrders27[[#This Row],[LbrHrs]])</f>
        <v>40</v>
      </c>
      <c r="Q562" s="10">
        <f t="shared" si="48"/>
        <v>40</v>
      </c>
      <c r="R562" s="10">
        <f t="shared" si="49"/>
        <v>160</v>
      </c>
      <c r="S562" s="10">
        <f t="shared" si="50"/>
        <v>200</v>
      </c>
      <c r="T562" s="10">
        <f t="shared" si="51"/>
        <v>200</v>
      </c>
      <c r="U562" s="8" t="str">
        <f t="shared" si="53"/>
        <v>Thu</v>
      </c>
      <c r="V562" s="8" t="str">
        <f t="shared" si="53"/>
        <v>Thu</v>
      </c>
    </row>
    <row r="563" spans="1:22" x14ac:dyDescent="0.25">
      <c r="A563" t="s">
        <v>107</v>
      </c>
      <c r="B563" t="s">
        <v>35</v>
      </c>
      <c r="C563" t="s">
        <v>9</v>
      </c>
      <c r="D563" t="s">
        <v>13</v>
      </c>
      <c r="F563" s="5">
        <v>44098</v>
      </c>
      <c r="G563" s="5">
        <v>44140</v>
      </c>
      <c r="H563" s="2">
        <v>2</v>
      </c>
      <c r="I563" s="6"/>
      <c r="J563" s="6"/>
      <c r="K563" s="7">
        <v>0.75</v>
      </c>
      <c r="L563" s="7">
        <v>159.50489999999999</v>
      </c>
      <c r="M563" t="s">
        <v>17</v>
      </c>
      <c r="N563" s="16">
        <f>POWER(SQRT(WorkOrders27[[#This Row],[WorkDate]]-WorkOrders27[[#This Row],[ReqDate]]),2)</f>
        <v>42</v>
      </c>
      <c r="O563" s="8">
        <f t="array" ref="O563">INDEX(TechRate,MATCH(H563,TechNum,0))</f>
        <v>140</v>
      </c>
      <c r="P563" s="10">
        <f>WorkOrders27[[#This Row],[Techs]]*(WorkOrders27[[#This Row],[PartsCost]]*WorkOrders27[[#This Row],[LbrHrs]])</f>
        <v>239.25734999999997</v>
      </c>
      <c r="Q563" s="10">
        <f t="shared" si="48"/>
        <v>239.25734999999997</v>
      </c>
      <c r="R563" s="10">
        <f t="shared" si="49"/>
        <v>159.50489999999999</v>
      </c>
      <c r="S563" s="10">
        <f t="shared" si="50"/>
        <v>398.76224999999999</v>
      </c>
      <c r="T563" s="10">
        <f t="shared" si="51"/>
        <v>398.76224999999999</v>
      </c>
      <c r="U563" s="8" t="str">
        <f t="shared" si="53"/>
        <v>Thu</v>
      </c>
      <c r="V563" s="8" t="str">
        <f t="shared" si="53"/>
        <v>Thu</v>
      </c>
    </row>
    <row r="564" spans="1:22" x14ac:dyDescent="0.25">
      <c r="A564" t="s">
        <v>108</v>
      </c>
      <c r="B564" t="s">
        <v>36</v>
      </c>
      <c r="C564" t="s">
        <v>44</v>
      </c>
      <c r="D564" t="s">
        <v>12</v>
      </c>
      <c r="F564" s="5">
        <v>44098</v>
      </c>
      <c r="G564" s="5">
        <v>44152</v>
      </c>
      <c r="H564" s="2">
        <v>2</v>
      </c>
      <c r="I564" s="6"/>
      <c r="J564" s="6"/>
      <c r="K564" s="7">
        <v>0.75</v>
      </c>
      <c r="L564" s="7">
        <v>169.63499999999999</v>
      </c>
      <c r="M564" t="s">
        <v>19</v>
      </c>
      <c r="N564" s="16">
        <f>POWER(SQRT(WorkOrders27[[#This Row],[WorkDate]]-WorkOrders27[[#This Row],[ReqDate]]),2)</f>
        <v>54</v>
      </c>
      <c r="O564" s="8">
        <f t="array" ref="O564">INDEX(TechRate,MATCH(H564,TechNum,0))</f>
        <v>140</v>
      </c>
      <c r="P564" s="10">
        <f>WorkOrders27[[#This Row],[Techs]]*(WorkOrders27[[#This Row],[PartsCost]]*WorkOrders27[[#This Row],[LbrHrs]])</f>
        <v>254.45249999999999</v>
      </c>
      <c r="Q564" s="10">
        <f t="shared" si="48"/>
        <v>254.45249999999999</v>
      </c>
      <c r="R564" s="10">
        <f t="shared" si="49"/>
        <v>169.63499999999999</v>
      </c>
      <c r="S564" s="10">
        <f t="shared" si="50"/>
        <v>424.08749999999998</v>
      </c>
      <c r="T564" s="10">
        <f t="shared" si="51"/>
        <v>424.08749999999998</v>
      </c>
      <c r="U564" s="8" t="str">
        <f t="shared" si="53"/>
        <v>Thu</v>
      </c>
      <c r="V564" s="8" t="str">
        <f t="shared" si="53"/>
        <v>Tue</v>
      </c>
    </row>
    <row r="565" spans="1:22" x14ac:dyDescent="0.25">
      <c r="A565" t="s">
        <v>109</v>
      </c>
      <c r="B565" t="s">
        <v>42</v>
      </c>
      <c r="C565" t="s">
        <v>9</v>
      </c>
      <c r="D565" t="s">
        <v>13</v>
      </c>
      <c r="F565" s="5">
        <v>44102</v>
      </c>
      <c r="G565" s="5">
        <v>44104</v>
      </c>
      <c r="H565" s="2">
        <v>2</v>
      </c>
      <c r="I565" s="6"/>
      <c r="J565" s="6"/>
      <c r="K565" s="7">
        <v>0.5</v>
      </c>
      <c r="L565" s="7">
        <v>202.86</v>
      </c>
      <c r="M565" t="s">
        <v>17</v>
      </c>
      <c r="N565" s="16">
        <f>POWER(SQRT(WorkOrders27[[#This Row],[WorkDate]]-WorkOrders27[[#This Row],[ReqDate]]),2)</f>
        <v>2.0000000000000004</v>
      </c>
      <c r="O565" s="8">
        <f t="array" ref="O565">INDEX(TechRate,MATCH(H565,TechNum,0))</f>
        <v>140</v>
      </c>
      <c r="P565" s="10">
        <f>WorkOrders27[[#This Row],[Techs]]*(WorkOrders27[[#This Row],[PartsCost]]*WorkOrders27[[#This Row],[LbrHrs]])</f>
        <v>202.86</v>
      </c>
      <c r="Q565" s="10">
        <f t="shared" si="48"/>
        <v>202.86</v>
      </c>
      <c r="R565" s="10">
        <f t="shared" si="49"/>
        <v>202.86</v>
      </c>
      <c r="S565" s="10">
        <f t="shared" si="50"/>
        <v>405.72</v>
      </c>
      <c r="T565" s="10">
        <f t="shared" si="51"/>
        <v>405.72</v>
      </c>
      <c r="U565" s="8" t="str">
        <f t="shared" si="53"/>
        <v>Mon</v>
      </c>
      <c r="V565" s="8" t="str">
        <f t="shared" si="53"/>
        <v>Wed</v>
      </c>
    </row>
    <row r="566" spans="1:22" x14ac:dyDescent="0.25">
      <c r="A566" t="s">
        <v>110</v>
      </c>
      <c r="B566" t="s">
        <v>37</v>
      </c>
      <c r="C566" t="s">
        <v>43</v>
      </c>
      <c r="D566" t="s">
        <v>12</v>
      </c>
      <c r="F566" s="5">
        <v>44102</v>
      </c>
      <c r="G566" s="5">
        <v>44111</v>
      </c>
      <c r="H566" s="2">
        <v>1</v>
      </c>
      <c r="I566" s="6"/>
      <c r="J566" s="6"/>
      <c r="K566" s="7">
        <v>0.5</v>
      </c>
      <c r="L566" s="7">
        <v>10.53</v>
      </c>
      <c r="M566" t="s">
        <v>19</v>
      </c>
      <c r="N566" s="16">
        <f>POWER(SQRT(WorkOrders27[[#This Row],[WorkDate]]-WorkOrders27[[#This Row],[ReqDate]]),2)</f>
        <v>9</v>
      </c>
      <c r="O566" s="8">
        <f t="array" ref="O566">INDEX(TechRate,MATCH(H566,TechNum,0))</f>
        <v>80</v>
      </c>
      <c r="P566" s="10">
        <f>WorkOrders27[[#This Row],[Techs]]*(WorkOrders27[[#This Row],[PartsCost]]*WorkOrders27[[#This Row],[LbrHrs]])</f>
        <v>5.2649999999999997</v>
      </c>
      <c r="Q566" s="10">
        <f t="shared" si="48"/>
        <v>5.2649999999999997</v>
      </c>
      <c r="R566" s="10">
        <f t="shared" si="49"/>
        <v>10.53</v>
      </c>
      <c r="S566" s="10">
        <f t="shared" si="50"/>
        <v>15.794999999999998</v>
      </c>
      <c r="T566" s="10">
        <f t="shared" si="51"/>
        <v>15.794999999999998</v>
      </c>
      <c r="U566" s="8" t="str">
        <f t="shared" si="53"/>
        <v>Mon</v>
      </c>
      <c r="V566" s="8" t="str">
        <f t="shared" si="53"/>
        <v>Wed</v>
      </c>
    </row>
    <row r="567" spans="1:22" x14ac:dyDescent="0.25">
      <c r="A567" t="s">
        <v>111</v>
      </c>
      <c r="B567" t="s">
        <v>34</v>
      </c>
      <c r="C567" t="s">
        <v>6</v>
      </c>
      <c r="D567" t="s">
        <v>13</v>
      </c>
      <c r="F567" s="5">
        <v>44102</v>
      </c>
      <c r="G567" s="5">
        <v>44131</v>
      </c>
      <c r="H567" s="2">
        <v>2</v>
      </c>
      <c r="I567" s="6"/>
      <c r="J567" s="6"/>
      <c r="K567" s="7">
        <v>0.75</v>
      </c>
      <c r="L567" s="7">
        <v>1.8240000000000001</v>
      </c>
      <c r="M567" t="s">
        <v>18</v>
      </c>
      <c r="N567" s="16">
        <f>POWER(SQRT(WorkOrders27[[#This Row],[WorkDate]]-WorkOrders27[[#This Row],[ReqDate]]),2)</f>
        <v>28.999999999999996</v>
      </c>
      <c r="O567" s="8">
        <f t="array" ref="O567">INDEX(TechRate,MATCH(H567,TechNum,0))</f>
        <v>140</v>
      </c>
      <c r="P567" s="10">
        <f>WorkOrders27[[#This Row],[Techs]]*(WorkOrders27[[#This Row],[PartsCost]]*WorkOrders27[[#This Row],[LbrHrs]])</f>
        <v>2.7360000000000002</v>
      </c>
      <c r="Q567" s="10">
        <f t="shared" ref="Q567:Q630" si="54">IF(I567="Yes",0,P567)</f>
        <v>2.7360000000000002</v>
      </c>
      <c r="R567" s="10">
        <f t="shared" ref="R567:R630" si="55">IF(J567="Yes",0,L567)</f>
        <v>1.8240000000000001</v>
      </c>
      <c r="S567" s="10">
        <f t="shared" ref="S567:S630" si="56">SUM(L567,P567)</f>
        <v>4.5600000000000005</v>
      </c>
      <c r="T567" s="10">
        <f t="shared" ref="T567:T630" si="57">SUM(Q567,R567)</f>
        <v>4.5600000000000005</v>
      </c>
      <c r="U567" s="8" t="str">
        <f t="shared" si="53"/>
        <v>Mon</v>
      </c>
      <c r="V567" s="8" t="str">
        <f t="shared" si="53"/>
        <v>Tue</v>
      </c>
    </row>
    <row r="568" spans="1:22" x14ac:dyDescent="0.25">
      <c r="A568" t="s">
        <v>112</v>
      </c>
      <c r="B568" t="s">
        <v>37</v>
      </c>
      <c r="C568" t="s">
        <v>8</v>
      </c>
      <c r="D568" t="s">
        <v>12</v>
      </c>
      <c r="F568" s="5">
        <v>44103</v>
      </c>
      <c r="G568" s="5">
        <v>44112</v>
      </c>
      <c r="H568" s="2">
        <v>2</v>
      </c>
      <c r="I568" s="6"/>
      <c r="J568" s="6"/>
      <c r="K568" s="7">
        <v>0.5</v>
      </c>
      <c r="L568" s="7">
        <v>54.124600000000001</v>
      </c>
      <c r="M568" t="s">
        <v>17</v>
      </c>
      <c r="N568" s="16">
        <f>POWER(SQRT(WorkOrders27[[#This Row],[WorkDate]]-WorkOrders27[[#This Row],[ReqDate]]),2)</f>
        <v>9</v>
      </c>
      <c r="O568" s="8">
        <f t="array" ref="O568">INDEX(TechRate,MATCH(H568,TechNum,0))</f>
        <v>140</v>
      </c>
      <c r="P568" s="10">
        <f>WorkOrders27[[#This Row],[Techs]]*(WorkOrders27[[#This Row],[PartsCost]]*WorkOrders27[[#This Row],[LbrHrs]])</f>
        <v>54.124600000000001</v>
      </c>
      <c r="Q568" s="10">
        <f t="shared" si="54"/>
        <v>54.124600000000001</v>
      </c>
      <c r="R568" s="10">
        <f t="shared" si="55"/>
        <v>54.124600000000001</v>
      </c>
      <c r="S568" s="10">
        <f t="shared" si="56"/>
        <v>108.2492</v>
      </c>
      <c r="T568" s="10">
        <f t="shared" si="57"/>
        <v>108.2492</v>
      </c>
      <c r="U568" s="8" t="str">
        <f t="shared" si="53"/>
        <v>Tue</v>
      </c>
      <c r="V568" s="8" t="str">
        <f t="shared" si="53"/>
        <v>Thu</v>
      </c>
    </row>
    <row r="569" spans="1:22" x14ac:dyDescent="0.25">
      <c r="A569" t="s">
        <v>113</v>
      </c>
      <c r="B569" t="s">
        <v>35</v>
      </c>
      <c r="C569" t="s">
        <v>6</v>
      </c>
      <c r="D569" t="s">
        <v>11</v>
      </c>
      <c r="F569" s="5">
        <v>44103</v>
      </c>
      <c r="G569" s="5">
        <v>44125</v>
      </c>
      <c r="H569" s="2">
        <v>2</v>
      </c>
      <c r="I569" s="6"/>
      <c r="J569" s="6"/>
      <c r="K569" s="7">
        <v>0.25</v>
      </c>
      <c r="L569" s="7">
        <v>367.71109999999999</v>
      </c>
      <c r="M569" t="s">
        <v>17</v>
      </c>
      <c r="N569" s="16">
        <f>POWER(SQRT(WorkOrders27[[#This Row],[WorkDate]]-WorkOrders27[[#This Row],[ReqDate]]),2)</f>
        <v>22</v>
      </c>
      <c r="O569" s="8">
        <f t="array" ref="O569">INDEX(TechRate,MATCH(H569,TechNum,0))</f>
        <v>140</v>
      </c>
      <c r="P569" s="10">
        <f>WorkOrders27[[#This Row],[Techs]]*(WorkOrders27[[#This Row],[PartsCost]]*WorkOrders27[[#This Row],[LbrHrs]])</f>
        <v>183.85554999999999</v>
      </c>
      <c r="Q569" s="10">
        <f t="shared" si="54"/>
        <v>183.85554999999999</v>
      </c>
      <c r="R569" s="10">
        <f t="shared" si="55"/>
        <v>367.71109999999999</v>
      </c>
      <c r="S569" s="10">
        <f t="shared" si="56"/>
        <v>551.56664999999998</v>
      </c>
      <c r="T569" s="10">
        <f t="shared" si="57"/>
        <v>551.56664999999998</v>
      </c>
      <c r="U569" s="8" t="str">
        <f t="shared" si="53"/>
        <v>Tue</v>
      </c>
      <c r="V569" s="8" t="str">
        <f t="shared" si="53"/>
        <v>Wed</v>
      </c>
    </row>
    <row r="570" spans="1:22" x14ac:dyDescent="0.25">
      <c r="A570" t="s">
        <v>114</v>
      </c>
      <c r="B570" t="s">
        <v>38</v>
      </c>
      <c r="C570" t="s">
        <v>43</v>
      </c>
      <c r="D570" t="s">
        <v>12</v>
      </c>
      <c r="F570" s="5">
        <v>44103</v>
      </c>
      <c r="G570" s="5">
        <v>44123</v>
      </c>
      <c r="H570" s="2">
        <v>1</v>
      </c>
      <c r="I570" s="6"/>
      <c r="J570" s="6"/>
      <c r="K570" s="7">
        <v>1.5</v>
      </c>
      <c r="L570" s="7">
        <v>139.035</v>
      </c>
      <c r="M570" t="s">
        <v>17</v>
      </c>
      <c r="N570" s="16">
        <f>POWER(SQRT(WorkOrders27[[#This Row],[WorkDate]]-WorkOrders27[[#This Row],[ReqDate]]),2)</f>
        <v>20.000000000000004</v>
      </c>
      <c r="O570" s="8">
        <f t="array" ref="O570">INDEX(TechRate,MATCH(H570,TechNum,0))</f>
        <v>80</v>
      </c>
      <c r="P570" s="10">
        <f>WorkOrders27[[#This Row],[Techs]]*(WorkOrders27[[#This Row],[PartsCost]]*WorkOrders27[[#This Row],[LbrHrs]])</f>
        <v>208.55250000000001</v>
      </c>
      <c r="Q570" s="10">
        <f t="shared" si="54"/>
        <v>208.55250000000001</v>
      </c>
      <c r="R570" s="10">
        <f t="shared" si="55"/>
        <v>139.035</v>
      </c>
      <c r="S570" s="10">
        <f t="shared" si="56"/>
        <v>347.58749999999998</v>
      </c>
      <c r="T570" s="10">
        <f t="shared" si="57"/>
        <v>347.58749999999998</v>
      </c>
      <c r="U570" s="8" t="str">
        <f t="shared" si="53"/>
        <v>Tue</v>
      </c>
      <c r="V570" s="8" t="str">
        <f t="shared" si="53"/>
        <v>Mon</v>
      </c>
    </row>
    <row r="571" spans="1:22" x14ac:dyDescent="0.25">
      <c r="A571" t="s">
        <v>115</v>
      </c>
      <c r="B571" t="s">
        <v>38</v>
      </c>
      <c r="C571" t="s">
        <v>8</v>
      </c>
      <c r="D571" t="s">
        <v>13</v>
      </c>
      <c r="F571" s="5">
        <v>44103</v>
      </c>
      <c r="G571" s="5">
        <v>44131</v>
      </c>
      <c r="H571" s="2">
        <v>1</v>
      </c>
      <c r="I571" s="6"/>
      <c r="J571" s="6"/>
      <c r="K571" s="7">
        <v>0.5</v>
      </c>
      <c r="L571" s="7">
        <v>50.317</v>
      </c>
      <c r="M571" t="s">
        <v>19</v>
      </c>
      <c r="N571" s="16">
        <f>POWER(SQRT(WorkOrders27[[#This Row],[WorkDate]]-WorkOrders27[[#This Row],[ReqDate]]),2)</f>
        <v>28.000000000000004</v>
      </c>
      <c r="O571" s="8">
        <f t="array" ref="O571">INDEX(TechRate,MATCH(H571,TechNum,0))</f>
        <v>80</v>
      </c>
      <c r="P571" s="10">
        <f>WorkOrders27[[#This Row],[Techs]]*(WorkOrders27[[#This Row],[PartsCost]]*WorkOrders27[[#This Row],[LbrHrs]])</f>
        <v>25.1585</v>
      </c>
      <c r="Q571" s="10">
        <f t="shared" si="54"/>
        <v>25.1585</v>
      </c>
      <c r="R571" s="10">
        <f t="shared" si="55"/>
        <v>50.317</v>
      </c>
      <c r="S571" s="10">
        <f t="shared" si="56"/>
        <v>75.475499999999997</v>
      </c>
      <c r="T571" s="10">
        <f t="shared" si="57"/>
        <v>75.475499999999997</v>
      </c>
      <c r="U571" s="8" t="str">
        <f t="shared" si="53"/>
        <v>Tue</v>
      </c>
      <c r="V571" s="8" t="str">
        <f t="shared" si="53"/>
        <v>Tue</v>
      </c>
    </row>
    <row r="572" spans="1:22" x14ac:dyDescent="0.25">
      <c r="A572" t="s">
        <v>116</v>
      </c>
      <c r="B572" t="s">
        <v>34</v>
      </c>
      <c r="C572" t="s">
        <v>9</v>
      </c>
      <c r="D572" t="s">
        <v>2</v>
      </c>
      <c r="F572" s="5">
        <v>44103</v>
      </c>
      <c r="G572" s="5">
        <v>44159</v>
      </c>
      <c r="H572" s="2">
        <v>1</v>
      </c>
      <c r="I572" s="6"/>
      <c r="J572" s="6"/>
      <c r="K572" s="7">
        <v>1</v>
      </c>
      <c r="L572" s="7">
        <v>122.4273</v>
      </c>
      <c r="M572" t="s">
        <v>18</v>
      </c>
      <c r="N572" s="16">
        <f>POWER(SQRT(WorkOrders27[[#This Row],[WorkDate]]-WorkOrders27[[#This Row],[ReqDate]]),2)</f>
        <v>56</v>
      </c>
      <c r="O572" s="8">
        <f t="array" ref="O572">INDEX(TechRate,MATCH(H572,TechNum,0))</f>
        <v>80</v>
      </c>
      <c r="P572" s="10">
        <f>WorkOrders27[[#This Row],[Techs]]*(WorkOrders27[[#This Row],[PartsCost]]*WorkOrders27[[#This Row],[LbrHrs]])</f>
        <v>122.4273</v>
      </c>
      <c r="Q572" s="10">
        <f t="shared" si="54"/>
        <v>122.4273</v>
      </c>
      <c r="R572" s="10">
        <f t="shared" si="55"/>
        <v>122.4273</v>
      </c>
      <c r="S572" s="10">
        <f t="shared" si="56"/>
        <v>244.8546</v>
      </c>
      <c r="T572" s="10">
        <f t="shared" si="57"/>
        <v>244.8546</v>
      </c>
      <c r="U572" s="8" t="str">
        <f t="shared" si="53"/>
        <v>Tue</v>
      </c>
      <c r="V572" s="8" t="str">
        <f t="shared" si="53"/>
        <v>Tue</v>
      </c>
    </row>
    <row r="573" spans="1:22" x14ac:dyDescent="0.25">
      <c r="A573" t="s">
        <v>117</v>
      </c>
      <c r="B573" t="s">
        <v>38</v>
      </c>
      <c r="C573" t="s">
        <v>8</v>
      </c>
      <c r="D573" t="s">
        <v>12</v>
      </c>
      <c r="F573" s="5">
        <v>44103</v>
      </c>
      <c r="G573" s="5">
        <v>44167</v>
      </c>
      <c r="H573" s="2">
        <v>1</v>
      </c>
      <c r="I573" s="6"/>
      <c r="J573" s="6"/>
      <c r="K573" s="7">
        <v>1</v>
      </c>
      <c r="L573" s="7">
        <v>78.5535</v>
      </c>
      <c r="M573" t="s">
        <v>19</v>
      </c>
      <c r="N573" s="16">
        <f>POWER(SQRT(WorkOrders27[[#This Row],[WorkDate]]-WorkOrders27[[#This Row],[ReqDate]]),2)</f>
        <v>64</v>
      </c>
      <c r="O573" s="8">
        <f t="array" ref="O573">INDEX(TechRate,MATCH(H573,TechNum,0))</f>
        <v>80</v>
      </c>
      <c r="P573" s="10">
        <f>WorkOrders27[[#This Row],[Techs]]*(WorkOrders27[[#This Row],[PartsCost]]*WorkOrders27[[#This Row],[LbrHrs]])</f>
        <v>78.5535</v>
      </c>
      <c r="Q573" s="10">
        <f t="shared" si="54"/>
        <v>78.5535</v>
      </c>
      <c r="R573" s="10">
        <f t="shared" si="55"/>
        <v>78.5535</v>
      </c>
      <c r="S573" s="10">
        <f t="shared" si="56"/>
        <v>157.107</v>
      </c>
      <c r="T573" s="10">
        <f t="shared" si="57"/>
        <v>157.107</v>
      </c>
      <c r="U573" s="8" t="str">
        <f t="shared" si="53"/>
        <v>Tue</v>
      </c>
      <c r="V573" s="8" t="str">
        <f t="shared" si="53"/>
        <v>Wed</v>
      </c>
    </row>
    <row r="574" spans="1:22" x14ac:dyDescent="0.25">
      <c r="A574" t="s">
        <v>118</v>
      </c>
      <c r="B574" t="s">
        <v>35</v>
      </c>
      <c r="C574" t="s">
        <v>8</v>
      </c>
      <c r="D574" t="s">
        <v>11</v>
      </c>
      <c r="E574" t="s">
        <v>3</v>
      </c>
      <c r="F574" s="5">
        <v>44104</v>
      </c>
      <c r="G574" s="5">
        <v>44111</v>
      </c>
      <c r="H574" s="2">
        <v>1</v>
      </c>
      <c r="I574" s="6"/>
      <c r="J574" s="6"/>
      <c r="K574" s="7">
        <v>0.25</v>
      </c>
      <c r="L574" s="7">
        <v>239.1001</v>
      </c>
      <c r="M574" t="s">
        <v>17</v>
      </c>
      <c r="N574" s="16">
        <f>POWER(SQRT(WorkOrders27[[#This Row],[WorkDate]]-WorkOrders27[[#This Row],[ReqDate]]),2)</f>
        <v>7.0000000000000009</v>
      </c>
      <c r="O574" s="8">
        <f t="array" ref="O574">INDEX(TechRate,MATCH(H574,TechNum,0))</f>
        <v>80</v>
      </c>
      <c r="P574" s="10">
        <f>WorkOrders27[[#This Row],[Techs]]*(WorkOrders27[[#This Row],[PartsCost]]*WorkOrders27[[#This Row],[LbrHrs]])</f>
        <v>59.775024999999999</v>
      </c>
      <c r="Q574" s="10">
        <f t="shared" si="54"/>
        <v>59.775024999999999</v>
      </c>
      <c r="R574" s="10">
        <f t="shared" si="55"/>
        <v>239.1001</v>
      </c>
      <c r="S574" s="10">
        <f t="shared" si="56"/>
        <v>298.87512500000003</v>
      </c>
      <c r="T574" s="10">
        <f t="shared" si="57"/>
        <v>298.87512500000003</v>
      </c>
      <c r="U574" s="8" t="str">
        <f t="shared" si="53"/>
        <v>Wed</v>
      </c>
      <c r="V574" s="8" t="str">
        <f t="shared" si="53"/>
        <v>Wed</v>
      </c>
    </row>
    <row r="575" spans="1:22" x14ac:dyDescent="0.25">
      <c r="A575" t="s">
        <v>119</v>
      </c>
      <c r="B575" t="s">
        <v>34</v>
      </c>
      <c r="C575" t="s">
        <v>44</v>
      </c>
      <c r="D575" t="s">
        <v>13</v>
      </c>
      <c r="F575" s="5">
        <v>44104</v>
      </c>
      <c r="G575" s="5">
        <v>44123</v>
      </c>
      <c r="H575" s="2">
        <v>1</v>
      </c>
      <c r="I575" s="6"/>
      <c r="J575" s="6"/>
      <c r="K575" s="7">
        <v>0.5</v>
      </c>
      <c r="L575" s="7">
        <v>61.180599999999998</v>
      </c>
      <c r="M575" t="s">
        <v>18</v>
      </c>
      <c r="N575" s="16">
        <f>POWER(SQRT(WorkOrders27[[#This Row],[WorkDate]]-WorkOrders27[[#This Row],[ReqDate]]),2)</f>
        <v>19.000000000000004</v>
      </c>
      <c r="O575" s="8">
        <f t="array" ref="O575">INDEX(TechRate,MATCH(H575,TechNum,0))</f>
        <v>80</v>
      </c>
      <c r="P575" s="10">
        <f>WorkOrders27[[#This Row],[Techs]]*(WorkOrders27[[#This Row],[PartsCost]]*WorkOrders27[[#This Row],[LbrHrs]])</f>
        <v>30.590299999999999</v>
      </c>
      <c r="Q575" s="10">
        <f t="shared" si="54"/>
        <v>30.590299999999999</v>
      </c>
      <c r="R575" s="10">
        <f t="shared" si="55"/>
        <v>61.180599999999998</v>
      </c>
      <c r="S575" s="10">
        <f t="shared" si="56"/>
        <v>91.770899999999997</v>
      </c>
      <c r="T575" s="10">
        <f t="shared" si="57"/>
        <v>91.770899999999997</v>
      </c>
      <c r="U575" s="8" t="str">
        <f t="shared" si="53"/>
        <v>Wed</v>
      </c>
      <c r="V575" s="8" t="str">
        <f t="shared" si="53"/>
        <v>Mon</v>
      </c>
    </row>
    <row r="576" spans="1:22" x14ac:dyDescent="0.25">
      <c r="A576" t="s">
        <v>120</v>
      </c>
      <c r="B576" t="s">
        <v>35</v>
      </c>
      <c r="C576" t="s">
        <v>44</v>
      </c>
      <c r="D576" t="s">
        <v>2</v>
      </c>
      <c r="F576" s="5">
        <v>44104</v>
      </c>
      <c r="G576" s="5">
        <v>44153</v>
      </c>
      <c r="H576" s="2">
        <v>2</v>
      </c>
      <c r="I576" s="6"/>
      <c r="J576" s="6"/>
      <c r="K576" s="7">
        <v>2.25</v>
      </c>
      <c r="L576" s="7">
        <v>800.71119999999996</v>
      </c>
      <c r="M576" t="s">
        <v>17</v>
      </c>
      <c r="N576" s="16">
        <f>POWER(SQRT(WorkOrders27[[#This Row],[WorkDate]]-WorkOrders27[[#This Row],[ReqDate]]),2)</f>
        <v>49</v>
      </c>
      <c r="O576" s="8">
        <f t="array" ref="O576">INDEX(TechRate,MATCH(H576,TechNum,0))</f>
        <v>140</v>
      </c>
      <c r="P576" s="10">
        <f>WorkOrders27[[#This Row],[Techs]]*(WorkOrders27[[#This Row],[PartsCost]]*WorkOrders27[[#This Row],[LbrHrs]])</f>
        <v>3603.2003999999997</v>
      </c>
      <c r="Q576" s="10">
        <f t="shared" si="54"/>
        <v>3603.2003999999997</v>
      </c>
      <c r="R576" s="10">
        <f t="shared" si="55"/>
        <v>800.71119999999996</v>
      </c>
      <c r="S576" s="10">
        <f t="shared" si="56"/>
        <v>4403.9115999999995</v>
      </c>
      <c r="T576" s="10">
        <f t="shared" si="57"/>
        <v>4403.9115999999995</v>
      </c>
      <c r="U576" s="8" t="str">
        <f t="shared" si="53"/>
        <v>Wed</v>
      </c>
      <c r="V576" s="8" t="str">
        <f t="shared" si="53"/>
        <v>Wed</v>
      </c>
    </row>
    <row r="577" spans="1:22" x14ac:dyDescent="0.25">
      <c r="A577" t="s">
        <v>121</v>
      </c>
      <c r="B577" t="s">
        <v>35</v>
      </c>
      <c r="C577" t="s">
        <v>8</v>
      </c>
      <c r="D577" t="s">
        <v>12</v>
      </c>
      <c r="F577" s="5">
        <v>44105</v>
      </c>
      <c r="G577" s="5">
        <v>44130</v>
      </c>
      <c r="H577" s="2">
        <v>1</v>
      </c>
      <c r="I577" s="6"/>
      <c r="J577" s="6"/>
      <c r="K577" s="7">
        <v>0.25</v>
      </c>
      <c r="L577" s="7">
        <v>19.196999999999999</v>
      </c>
      <c r="M577" t="s">
        <v>17</v>
      </c>
      <c r="N577" s="16">
        <f>POWER(SQRT(WorkOrders27[[#This Row],[WorkDate]]-WorkOrders27[[#This Row],[ReqDate]]),2)</f>
        <v>25</v>
      </c>
      <c r="O577" s="8">
        <f t="array" ref="O577">INDEX(TechRate,MATCH(H577,TechNum,0))</f>
        <v>80</v>
      </c>
      <c r="P577" s="10">
        <f>WorkOrders27[[#This Row],[Techs]]*(WorkOrders27[[#This Row],[PartsCost]]*WorkOrders27[[#This Row],[LbrHrs]])</f>
        <v>4.7992499999999998</v>
      </c>
      <c r="Q577" s="10">
        <f t="shared" si="54"/>
        <v>4.7992499999999998</v>
      </c>
      <c r="R577" s="10">
        <f t="shared" si="55"/>
        <v>19.196999999999999</v>
      </c>
      <c r="S577" s="10">
        <f t="shared" si="56"/>
        <v>23.99625</v>
      </c>
      <c r="T577" s="10">
        <f t="shared" si="57"/>
        <v>23.99625</v>
      </c>
      <c r="U577" s="8" t="str">
        <f t="shared" si="53"/>
        <v>Thu</v>
      </c>
      <c r="V577" s="8" t="str">
        <f t="shared" si="53"/>
        <v>Mon</v>
      </c>
    </row>
    <row r="578" spans="1:22" x14ac:dyDescent="0.25">
      <c r="A578" t="s">
        <v>122</v>
      </c>
      <c r="B578" t="s">
        <v>37</v>
      </c>
      <c r="C578" t="s">
        <v>43</v>
      </c>
      <c r="D578" t="s">
        <v>12</v>
      </c>
      <c r="F578" s="5">
        <v>44109</v>
      </c>
      <c r="G578" s="5">
        <v>44117</v>
      </c>
      <c r="H578" s="2">
        <v>1</v>
      </c>
      <c r="I578" s="6"/>
      <c r="J578" s="6"/>
      <c r="K578" s="7">
        <v>0.25</v>
      </c>
      <c r="L578" s="7">
        <v>19.5</v>
      </c>
      <c r="M578" t="s">
        <v>17</v>
      </c>
      <c r="N578" s="16">
        <f>POWER(SQRT(WorkOrders27[[#This Row],[WorkDate]]-WorkOrders27[[#This Row],[ReqDate]]),2)</f>
        <v>8.0000000000000018</v>
      </c>
      <c r="O578" s="8">
        <f t="array" ref="O578">INDEX(TechRate,MATCH(H578,TechNum,0))</f>
        <v>80</v>
      </c>
      <c r="P578" s="10">
        <f>WorkOrders27[[#This Row],[Techs]]*(WorkOrders27[[#This Row],[PartsCost]]*WorkOrders27[[#This Row],[LbrHrs]])</f>
        <v>4.875</v>
      </c>
      <c r="Q578" s="10">
        <f t="shared" si="54"/>
        <v>4.875</v>
      </c>
      <c r="R578" s="10">
        <f t="shared" si="55"/>
        <v>19.5</v>
      </c>
      <c r="S578" s="10">
        <f t="shared" si="56"/>
        <v>24.375</v>
      </c>
      <c r="T578" s="10">
        <f t="shared" si="57"/>
        <v>24.375</v>
      </c>
      <c r="U578" s="8" t="str">
        <f t="shared" si="53"/>
        <v>Mon</v>
      </c>
      <c r="V578" s="8" t="str">
        <f t="shared" si="53"/>
        <v>Tue</v>
      </c>
    </row>
    <row r="579" spans="1:22" x14ac:dyDescent="0.25">
      <c r="A579" t="s">
        <v>123</v>
      </c>
      <c r="B579" t="s">
        <v>37</v>
      </c>
      <c r="C579" t="s">
        <v>43</v>
      </c>
      <c r="D579" t="s">
        <v>11</v>
      </c>
      <c r="F579" s="5">
        <v>44109</v>
      </c>
      <c r="G579" s="5">
        <v>44117</v>
      </c>
      <c r="H579" s="2">
        <v>1</v>
      </c>
      <c r="I579" s="6"/>
      <c r="J579" s="6"/>
      <c r="K579" s="7">
        <v>0.25</v>
      </c>
      <c r="L579" s="7">
        <v>22.425000000000001</v>
      </c>
      <c r="M579" t="s">
        <v>17</v>
      </c>
      <c r="N579" s="16">
        <f>POWER(SQRT(WorkOrders27[[#This Row],[WorkDate]]-WorkOrders27[[#This Row],[ReqDate]]),2)</f>
        <v>8.0000000000000018</v>
      </c>
      <c r="O579" s="8">
        <f t="array" ref="O579">INDEX(TechRate,MATCH(H579,TechNum,0))</f>
        <v>80</v>
      </c>
      <c r="P579" s="10">
        <f>WorkOrders27[[#This Row],[Techs]]*(WorkOrders27[[#This Row],[PartsCost]]*WorkOrders27[[#This Row],[LbrHrs]])</f>
        <v>5.6062500000000002</v>
      </c>
      <c r="Q579" s="10">
        <f t="shared" si="54"/>
        <v>5.6062500000000002</v>
      </c>
      <c r="R579" s="10">
        <f t="shared" si="55"/>
        <v>22.425000000000001</v>
      </c>
      <c r="S579" s="10">
        <f t="shared" si="56"/>
        <v>28.03125</v>
      </c>
      <c r="T579" s="10">
        <f t="shared" si="57"/>
        <v>28.03125</v>
      </c>
      <c r="U579" s="8" t="str">
        <f t="shared" si="53"/>
        <v>Mon</v>
      </c>
      <c r="V579" s="8" t="str">
        <f t="shared" si="53"/>
        <v>Tue</v>
      </c>
    </row>
    <row r="580" spans="1:22" x14ac:dyDescent="0.25">
      <c r="A580" t="s">
        <v>124</v>
      </c>
      <c r="B580" t="s">
        <v>38</v>
      </c>
      <c r="C580" t="s">
        <v>9</v>
      </c>
      <c r="D580" t="s">
        <v>12</v>
      </c>
      <c r="F580" s="5">
        <v>44109</v>
      </c>
      <c r="G580" s="5">
        <v>44117</v>
      </c>
      <c r="H580" s="2">
        <v>1</v>
      </c>
      <c r="I580" s="6"/>
      <c r="J580" s="6"/>
      <c r="K580" s="7">
        <v>0.5</v>
      </c>
      <c r="L580" s="7">
        <v>26.582599999999999</v>
      </c>
      <c r="M580" t="s">
        <v>17</v>
      </c>
      <c r="N580" s="16">
        <f>POWER(SQRT(WorkOrders27[[#This Row],[WorkDate]]-WorkOrders27[[#This Row],[ReqDate]]),2)</f>
        <v>8.0000000000000018</v>
      </c>
      <c r="O580" s="8">
        <f t="array" ref="O580">INDEX(TechRate,MATCH(H580,TechNum,0))</f>
        <v>80</v>
      </c>
      <c r="P580" s="10">
        <f>WorkOrders27[[#This Row],[Techs]]*(WorkOrders27[[#This Row],[PartsCost]]*WorkOrders27[[#This Row],[LbrHrs]])</f>
        <v>13.2913</v>
      </c>
      <c r="Q580" s="10">
        <f t="shared" si="54"/>
        <v>13.2913</v>
      </c>
      <c r="R580" s="10">
        <f t="shared" si="55"/>
        <v>26.582599999999999</v>
      </c>
      <c r="S580" s="10">
        <f t="shared" si="56"/>
        <v>39.873899999999999</v>
      </c>
      <c r="T580" s="10">
        <f t="shared" si="57"/>
        <v>39.873899999999999</v>
      </c>
      <c r="U580" s="8" t="str">
        <f t="shared" si="53"/>
        <v>Mon</v>
      </c>
      <c r="V580" s="8" t="str">
        <f t="shared" si="53"/>
        <v>Tue</v>
      </c>
    </row>
    <row r="581" spans="1:22" x14ac:dyDescent="0.25">
      <c r="A581" t="s">
        <v>125</v>
      </c>
      <c r="B581" t="s">
        <v>34</v>
      </c>
      <c r="C581" t="s">
        <v>44</v>
      </c>
      <c r="D581" t="s">
        <v>12</v>
      </c>
      <c r="F581" s="5">
        <v>44109</v>
      </c>
      <c r="G581" s="5">
        <v>44128</v>
      </c>
      <c r="H581" s="2">
        <v>1</v>
      </c>
      <c r="I581" s="6"/>
      <c r="J581" s="6"/>
      <c r="K581" s="7">
        <v>0.5</v>
      </c>
      <c r="L581" s="7">
        <v>288.20800000000003</v>
      </c>
      <c r="M581" t="s">
        <v>18</v>
      </c>
      <c r="N581" s="16">
        <f>POWER(SQRT(WorkOrders27[[#This Row],[WorkDate]]-WorkOrders27[[#This Row],[ReqDate]]),2)</f>
        <v>19.000000000000004</v>
      </c>
      <c r="O581" s="8">
        <f t="array" ref="O581">INDEX(TechRate,MATCH(H581,TechNum,0))</f>
        <v>80</v>
      </c>
      <c r="P581" s="10">
        <f>WorkOrders27[[#This Row],[Techs]]*(WorkOrders27[[#This Row],[PartsCost]]*WorkOrders27[[#This Row],[LbrHrs]])</f>
        <v>144.10400000000001</v>
      </c>
      <c r="Q581" s="10">
        <f t="shared" si="54"/>
        <v>144.10400000000001</v>
      </c>
      <c r="R581" s="10">
        <f t="shared" si="55"/>
        <v>288.20800000000003</v>
      </c>
      <c r="S581" s="10">
        <f t="shared" si="56"/>
        <v>432.31200000000001</v>
      </c>
      <c r="T581" s="10">
        <f t="shared" si="57"/>
        <v>432.31200000000001</v>
      </c>
      <c r="U581" s="8" t="str">
        <f t="shared" si="53"/>
        <v>Mon</v>
      </c>
      <c r="V581" s="8" t="str">
        <f t="shared" si="53"/>
        <v>Sat</v>
      </c>
    </row>
    <row r="582" spans="1:22" x14ac:dyDescent="0.25">
      <c r="A582" t="s">
        <v>126</v>
      </c>
      <c r="B582" t="s">
        <v>37</v>
      </c>
      <c r="C582" t="s">
        <v>43</v>
      </c>
      <c r="D582" t="s">
        <v>13</v>
      </c>
      <c r="F582" s="5">
        <v>44109</v>
      </c>
      <c r="G582" s="5">
        <v>44123</v>
      </c>
      <c r="H582" s="2">
        <v>1</v>
      </c>
      <c r="I582" s="6"/>
      <c r="J582" s="6"/>
      <c r="K582" s="7">
        <v>0.5</v>
      </c>
      <c r="L582" s="7">
        <v>54.236800000000002</v>
      </c>
      <c r="M582" t="s">
        <v>17</v>
      </c>
      <c r="N582" s="16">
        <f>POWER(SQRT(WorkOrders27[[#This Row],[WorkDate]]-WorkOrders27[[#This Row],[ReqDate]]),2)</f>
        <v>14</v>
      </c>
      <c r="O582" s="8">
        <f t="array" ref="O582">INDEX(TechRate,MATCH(H582,TechNum,0))</f>
        <v>80</v>
      </c>
      <c r="P582" s="10">
        <f>WorkOrders27[[#This Row],[Techs]]*(WorkOrders27[[#This Row],[PartsCost]]*WorkOrders27[[#This Row],[LbrHrs]])</f>
        <v>27.118400000000001</v>
      </c>
      <c r="Q582" s="10">
        <f t="shared" si="54"/>
        <v>27.118400000000001</v>
      </c>
      <c r="R582" s="10">
        <f t="shared" si="55"/>
        <v>54.236800000000002</v>
      </c>
      <c r="S582" s="10">
        <f t="shared" si="56"/>
        <v>81.355199999999996</v>
      </c>
      <c r="T582" s="10">
        <f t="shared" si="57"/>
        <v>81.355199999999996</v>
      </c>
      <c r="U582" s="8" t="str">
        <f t="shared" si="53"/>
        <v>Mon</v>
      </c>
      <c r="V582" s="8" t="str">
        <f t="shared" si="53"/>
        <v>Mon</v>
      </c>
    </row>
    <row r="583" spans="1:22" x14ac:dyDescent="0.25">
      <c r="A583" t="s">
        <v>127</v>
      </c>
      <c r="B583" t="s">
        <v>38</v>
      </c>
      <c r="C583" t="s">
        <v>43</v>
      </c>
      <c r="D583" t="s">
        <v>12</v>
      </c>
      <c r="F583" s="5">
        <v>44110</v>
      </c>
      <c r="G583" s="5">
        <v>44123</v>
      </c>
      <c r="H583" s="2">
        <v>1</v>
      </c>
      <c r="I583" s="6"/>
      <c r="J583" s="6"/>
      <c r="K583" s="7">
        <v>0.25</v>
      </c>
      <c r="L583" s="7">
        <v>332.39699999999999</v>
      </c>
      <c r="M583" t="s">
        <v>19</v>
      </c>
      <c r="N583" s="16">
        <f>POWER(SQRT(WorkOrders27[[#This Row],[WorkDate]]-WorkOrders27[[#This Row],[ReqDate]]),2)</f>
        <v>12.999999999999998</v>
      </c>
      <c r="O583" s="8">
        <f t="array" ref="O583">INDEX(TechRate,MATCH(H583,TechNum,0))</f>
        <v>80</v>
      </c>
      <c r="P583" s="10">
        <f>WorkOrders27[[#This Row],[Techs]]*(WorkOrders27[[#This Row],[PartsCost]]*WorkOrders27[[#This Row],[LbrHrs]])</f>
        <v>83.099249999999998</v>
      </c>
      <c r="Q583" s="10">
        <f t="shared" si="54"/>
        <v>83.099249999999998</v>
      </c>
      <c r="R583" s="10">
        <f t="shared" si="55"/>
        <v>332.39699999999999</v>
      </c>
      <c r="S583" s="10">
        <f t="shared" si="56"/>
        <v>415.49624999999997</v>
      </c>
      <c r="T583" s="10">
        <f t="shared" si="57"/>
        <v>415.49624999999997</v>
      </c>
      <c r="U583" s="8" t="str">
        <f t="shared" ref="U583:V646" si="58">TEXT(F583,"ddd")</f>
        <v>Tue</v>
      </c>
      <c r="V583" s="8" t="str">
        <f t="shared" si="58"/>
        <v>Mon</v>
      </c>
    </row>
    <row r="584" spans="1:22" x14ac:dyDescent="0.25">
      <c r="A584" t="s">
        <v>128</v>
      </c>
      <c r="B584" t="s">
        <v>35</v>
      </c>
      <c r="C584" t="s">
        <v>8</v>
      </c>
      <c r="D584" t="s">
        <v>12</v>
      </c>
      <c r="F584" s="5">
        <v>44110</v>
      </c>
      <c r="G584" s="5">
        <v>44127</v>
      </c>
      <c r="H584" s="2">
        <v>2</v>
      </c>
      <c r="I584" s="6"/>
      <c r="J584" s="6"/>
      <c r="K584" s="7">
        <v>0.75</v>
      </c>
      <c r="L584" s="7">
        <v>124.1649</v>
      </c>
      <c r="M584" t="s">
        <v>18</v>
      </c>
      <c r="N584" s="16">
        <f>POWER(SQRT(WorkOrders27[[#This Row],[WorkDate]]-WorkOrders27[[#This Row],[ReqDate]]),2)</f>
        <v>17</v>
      </c>
      <c r="O584" s="8">
        <f t="array" ref="O584">INDEX(TechRate,MATCH(H584,TechNum,0))</f>
        <v>140</v>
      </c>
      <c r="P584" s="10">
        <f>WorkOrders27[[#This Row],[Techs]]*(WorkOrders27[[#This Row],[PartsCost]]*WorkOrders27[[#This Row],[LbrHrs]])</f>
        <v>186.24735000000001</v>
      </c>
      <c r="Q584" s="10">
        <f t="shared" si="54"/>
        <v>186.24735000000001</v>
      </c>
      <c r="R584" s="10">
        <f t="shared" si="55"/>
        <v>124.1649</v>
      </c>
      <c r="S584" s="10">
        <f t="shared" si="56"/>
        <v>310.41225000000003</v>
      </c>
      <c r="T584" s="10">
        <f t="shared" si="57"/>
        <v>310.41225000000003</v>
      </c>
      <c r="U584" s="8" t="str">
        <f t="shared" si="58"/>
        <v>Tue</v>
      </c>
      <c r="V584" s="8" t="str">
        <f t="shared" si="58"/>
        <v>Fri</v>
      </c>
    </row>
    <row r="585" spans="1:22" x14ac:dyDescent="0.25">
      <c r="A585" t="s">
        <v>129</v>
      </c>
      <c r="B585" t="s">
        <v>34</v>
      </c>
      <c r="C585" t="s">
        <v>9</v>
      </c>
      <c r="D585" t="s">
        <v>11</v>
      </c>
      <c r="F585" s="5">
        <v>44110</v>
      </c>
      <c r="G585" s="5">
        <v>44130</v>
      </c>
      <c r="H585" s="2">
        <v>1</v>
      </c>
      <c r="I585" s="6"/>
      <c r="J585" s="6"/>
      <c r="K585" s="7">
        <v>0.25</v>
      </c>
      <c r="L585" s="7">
        <v>21.63</v>
      </c>
      <c r="M585" t="s">
        <v>17</v>
      </c>
      <c r="N585" s="16">
        <f>POWER(SQRT(WorkOrders27[[#This Row],[WorkDate]]-WorkOrders27[[#This Row],[ReqDate]]),2)</f>
        <v>20.000000000000004</v>
      </c>
      <c r="O585" s="8">
        <f t="array" ref="O585">INDEX(TechRate,MATCH(H585,TechNum,0))</f>
        <v>80</v>
      </c>
      <c r="P585" s="10">
        <f>WorkOrders27[[#This Row],[Techs]]*(WorkOrders27[[#This Row],[PartsCost]]*WorkOrders27[[#This Row],[LbrHrs]])</f>
        <v>5.4074999999999998</v>
      </c>
      <c r="Q585" s="10">
        <f t="shared" si="54"/>
        <v>5.4074999999999998</v>
      </c>
      <c r="R585" s="10">
        <f t="shared" si="55"/>
        <v>21.63</v>
      </c>
      <c r="S585" s="10">
        <f t="shared" si="56"/>
        <v>27.037499999999998</v>
      </c>
      <c r="T585" s="10">
        <f t="shared" si="57"/>
        <v>27.037499999999998</v>
      </c>
      <c r="U585" s="8" t="str">
        <f t="shared" si="58"/>
        <v>Tue</v>
      </c>
      <c r="V585" s="8" t="str">
        <f t="shared" si="58"/>
        <v>Mon</v>
      </c>
    </row>
    <row r="586" spans="1:22" x14ac:dyDescent="0.25">
      <c r="A586" t="s">
        <v>130</v>
      </c>
      <c r="B586" t="s">
        <v>35</v>
      </c>
      <c r="C586" t="s">
        <v>8</v>
      </c>
      <c r="D586" t="s">
        <v>12</v>
      </c>
      <c r="F586" s="5">
        <v>44111</v>
      </c>
      <c r="G586" s="5">
        <v>44123</v>
      </c>
      <c r="H586" s="2">
        <v>2</v>
      </c>
      <c r="I586" s="6"/>
      <c r="J586" s="6" t="s">
        <v>3</v>
      </c>
      <c r="K586" s="7">
        <v>0.25</v>
      </c>
      <c r="L586" s="7">
        <v>33</v>
      </c>
      <c r="M586" t="s">
        <v>18</v>
      </c>
      <c r="N586" s="16">
        <f>POWER(SQRT(WorkOrders27[[#This Row],[WorkDate]]-WorkOrders27[[#This Row],[ReqDate]]),2)</f>
        <v>11.999999999999998</v>
      </c>
      <c r="O586" s="8">
        <f t="array" ref="O586">INDEX(TechRate,MATCH(H586,TechNum,0))</f>
        <v>140</v>
      </c>
      <c r="P586" s="10">
        <f>WorkOrders27[[#This Row],[Techs]]*(WorkOrders27[[#This Row],[PartsCost]]*WorkOrders27[[#This Row],[LbrHrs]])</f>
        <v>16.5</v>
      </c>
      <c r="Q586" s="10">
        <f t="shared" si="54"/>
        <v>16.5</v>
      </c>
      <c r="R586" s="10">
        <f t="shared" si="55"/>
        <v>0</v>
      </c>
      <c r="S586" s="10">
        <f t="shared" si="56"/>
        <v>49.5</v>
      </c>
      <c r="T586" s="10">
        <f t="shared" si="57"/>
        <v>16.5</v>
      </c>
      <c r="U586" s="8" t="str">
        <f t="shared" si="58"/>
        <v>Wed</v>
      </c>
      <c r="V586" s="8" t="str">
        <f t="shared" si="58"/>
        <v>Mon</v>
      </c>
    </row>
    <row r="587" spans="1:22" x14ac:dyDescent="0.25">
      <c r="A587" t="s">
        <v>131</v>
      </c>
      <c r="B587" t="s">
        <v>35</v>
      </c>
      <c r="C587" t="s">
        <v>8</v>
      </c>
      <c r="D587" t="s">
        <v>12</v>
      </c>
      <c r="F587" s="5">
        <v>44111</v>
      </c>
      <c r="G587" s="5">
        <v>44123</v>
      </c>
      <c r="H587" s="2">
        <v>2</v>
      </c>
      <c r="I587" s="6"/>
      <c r="J587" s="6"/>
      <c r="K587" s="7">
        <v>0.5</v>
      </c>
      <c r="L587" s="7">
        <v>154.5</v>
      </c>
      <c r="M587" t="s">
        <v>18</v>
      </c>
      <c r="N587" s="16">
        <f>POWER(SQRT(WorkOrders27[[#This Row],[WorkDate]]-WorkOrders27[[#This Row],[ReqDate]]),2)</f>
        <v>11.999999999999998</v>
      </c>
      <c r="O587" s="8">
        <f t="array" ref="O587">INDEX(TechRate,MATCH(H587,TechNum,0))</f>
        <v>140</v>
      </c>
      <c r="P587" s="10">
        <f>WorkOrders27[[#This Row],[Techs]]*(WorkOrders27[[#This Row],[PartsCost]]*WorkOrders27[[#This Row],[LbrHrs]])</f>
        <v>154.5</v>
      </c>
      <c r="Q587" s="10">
        <f t="shared" si="54"/>
        <v>154.5</v>
      </c>
      <c r="R587" s="10">
        <f t="shared" si="55"/>
        <v>154.5</v>
      </c>
      <c r="S587" s="10">
        <f t="shared" si="56"/>
        <v>309</v>
      </c>
      <c r="T587" s="10">
        <f t="shared" si="57"/>
        <v>309</v>
      </c>
      <c r="U587" s="8" t="str">
        <f t="shared" si="58"/>
        <v>Wed</v>
      </c>
      <c r="V587" s="8" t="str">
        <f t="shared" si="58"/>
        <v>Mon</v>
      </c>
    </row>
    <row r="588" spans="1:22" x14ac:dyDescent="0.25">
      <c r="A588" t="s">
        <v>132</v>
      </c>
      <c r="B588" t="s">
        <v>37</v>
      </c>
      <c r="C588" t="s">
        <v>43</v>
      </c>
      <c r="D588" t="s">
        <v>2</v>
      </c>
      <c r="F588" s="5">
        <v>44111</v>
      </c>
      <c r="G588" s="5">
        <v>44124</v>
      </c>
      <c r="H588" s="2">
        <v>1</v>
      </c>
      <c r="I588" s="6"/>
      <c r="J588" s="6"/>
      <c r="K588" s="7">
        <v>1</v>
      </c>
      <c r="L588" s="7">
        <v>48.75</v>
      </c>
      <c r="M588" t="s">
        <v>17</v>
      </c>
      <c r="N588" s="16">
        <f>POWER(SQRT(WorkOrders27[[#This Row],[WorkDate]]-WorkOrders27[[#This Row],[ReqDate]]),2)</f>
        <v>12.999999999999998</v>
      </c>
      <c r="O588" s="8">
        <f t="array" ref="O588">INDEX(TechRate,MATCH(H588,TechNum,0))</f>
        <v>80</v>
      </c>
      <c r="P588" s="10">
        <f>WorkOrders27[[#This Row],[Techs]]*(WorkOrders27[[#This Row],[PartsCost]]*WorkOrders27[[#This Row],[LbrHrs]])</f>
        <v>48.75</v>
      </c>
      <c r="Q588" s="10">
        <f t="shared" si="54"/>
        <v>48.75</v>
      </c>
      <c r="R588" s="10">
        <f t="shared" si="55"/>
        <v>48.75</v>
      </c>
      <c r="S588" s="10">
        <f t="shared" si="56"/>
        <v>97.5</v>
      </c>
      <c r="T588" s="10">
        <f t="shared" si="57"/>
        <v>97.5</v>
      </c>
      <c r="U588" s="8" t="str">
        <f t="shared" si="58"/>
        <v>Wed</v>
      </c>
      <c r="V588" s="8" t="str">
        <f t="shared" si="58"/>
        <v>Tue</v>
      </c>
    </row>
    <row r="589" spans="1:22" x14ac:dyDescent="0.25">
      <c r="A589" t="s">
        <v>133</v>
      </c>
      <c r="B589" t="s">
        <v>37</v>
      </c>
      <c r="C589" t="s">
        <v>43</v>
      </c>
      <c r="D589" t="s">
        <v>11</v>
      </c>
      <c r="F589" s="5">
        <v>44112</v>
      </c>
      <c r="G589" s="5">
        <v>44124</v>
      </c>
      <c r="H589" s="2">
        <v>1</v>
      </c>
      <c r="I589" s="6"/>
      <c r="J589" s="6"/>
      <c r="K589" s="7">
        <v>0.25</v>
      </c>
      <c r="L589" s="7">
        <v>76.1678</v>
      </c>
      <c r="M589" t="s">
        <v>17</v>
      </c>
      <c r="N589" s="16">
        <f>POWER(SQRT(WorkOrders27[[#This Row],[WorkDate]]-WorkOrders27[[#This Row],[ReqDate]]),2)</f>
        <v>11.999999999999998</v>
      </c>
      <c r="O589" s="8">
        <f t="array" ref="O589">INDEX(TechRate,MATCH(H589,TechNum,0))</f>
        <v>80</v>
      </c>
      <c r="P589" s="10">
        <f>WorkOrders27[[#This Row],[Techs]]*(WorkOrders27[[#This Row],[PartsCost]]*WorkOrders27[[#This Row],[LbrHrs]])</f>
        <v>19.04195</v>
      </c>
      <c r="Q589" s="10">
        <f t="shared" si="54"/>
        <v>19.04195</v>
      </c>
      <c r="R589" s="10">
        <f t="shared" si="55"/>
        <v>76.1678</v>
      </c>
      <c r="S589" s="10">
        <f t="shared" si="56"/>
        <v>95.20975</v>
      </c>
      <c r="T589" s="10">
        <f t="shared" si="57"/>
        <v>95.20975</v>
      </c>
      <c r="U589" s="8" t="str">
        <f t="shared" si="58"/>
        <v>Thu</v>
      </c>
      <c r="V589" s="8" t="str">
        <f t="shared" si="58"/>
        <v>Tue</v>
      </c>
    </row>
    <row r="590" spans="1:22" x14ac:dyDescent="0.25">
      <c r="A590" t="s">
        <v>134</v>
      </c>
      <c r="B590" t="s">
        <v>35</v>
      </c>
      <c r="C590" t="s">
        <v>8</v>
      </c>
      <c r="D590" t="s">
        <v>13</v>
      </c>
      <c r="F590" s="5">
        <v>44112</v>
      </c>
      <c r="G590" s="5">
        <v>44142</v>
      </c>
      <c r="H590" s="2">
        <v>1</v>
      </c>
      <c r="I590" s="6"/>
      <c r="J590" s="6"/>
      <c r="K590" s="7">
        <v>0.75</v>
      </c>
      <c r="L590" s="7">
        <v>117</v>
      </c>
      <c r="M590" t="s">
        <v>18</v>
      </c>
      <c r="N590" s="16">
        <f>POWER(SQRT(WorkOrders27[[#This Row],[WorkDate]]-WorkOrders27[[#This Row],[ReqDate]]),2)</f>
        <v>30</v>
      </c>
      <c r="O590" s="8">
        <f t="array" ref="O590">INDEX(TechRate,MATCH(H590,TechNum,0))</f>
        <v>80</v>
      </c>
      <c r="P590" s="10">
        <f>WorkOrders27[[#This Row],[Techs]]*(WorkOrders27[[#This Row],[PartsCost]]*WorkOrders27[[#This Row],[LbrHrs]])</f>
        <v>87.75</v>
      </c>
      <c r="Q590" s="10">
        <f t="shared" si="54"/>
        <v>87.75</v>
      </c>
      <c r="R590" s="10">
        <f t="shared" si="55"/>
        <v>117</v>
      </c>
      <c r="S590" s="10">
        <f t="shared" si="56"/>
        <v>204.75</v>
      </c>
      <c r="T590" s="10">
        <f t="shared" si="57"/>
        <v>204.75</v>
      </c>
      <c r="U590" s="8" t="str">
        <f t="shared" si="58"/>
        <v>Thu</v>
      </c>
      <c r="V590" s="8" t="str">
        <f t="shared" si="58"/>
        <v>Sat</v>
      </c>
    </row>
    <row r="591" spans="1:22" x14ac:dyDescent="0.25">
      <c r="A591" t="s">
        <v>135</v>
      </c>
      <c r="B591" t="s">
        <v>35</v>
      </c>
      <c r="C591" t="s">
        <v>44</v>
      </c>
      <c r="D591" t="s">
        <v>2</v>
      </c>
      <c r="F591" s="5">
        <v>44112</v>
      </c>
      <c r="G591" s="5">
        <v>44145</v>
      </c>
      <c r="H591" s="2">
        <v>2</v>
      </c>
      <c r="I591" s="6"/>
      <c r="J591" s="6"/>
      <c r="K591" s="7">
        <v>1.5</v>
      </c>
      <c r="L591" s="7">
        <v>1575.9739999999999</v>
      </c>
      <c r="M591" t="s">
        <v>18</v>
      </c>
      <c r="N591" s="16">
        <f>POWER(SQRT(WorkOrders27[[#This Row],[WorkDate]]-WorkOrders27[[#This Row],[ReqDate]]),2)</f>
        <v>33</v>
      </c>
      <c r="O591" s="8">
        <f t="array" ref="O591">INDEX(TechRate,MATCH(H591,TechNum,0))</f>
        <v>140</v>
      </c>
      <c r="P591" s="10">
        <f>WorkOrders27[[#This Row],[Techs]]*(WorkOrders27[[#This Row],[PartsCost]]*WorkOrders27[[#This Row],[LbrHrs]])</f>
        <v>4727.9219999999996</v>
      </c>
      <c r="Q591" s="10">
        <f t="shared" si="54"/>
        <v>4727.9219999999996</v>
      </c>
      <c r="R591" s="10">
        <f t="shared" si="55"/>
        <v>1575.9739999999999</v>
      </c>
      <c r="S591" s="10">
        <f t="shared" si="56"/>
        <v>6303.8959999999997</v>
      </c>
      <c r="T591" s="10">
        <f t="shared" si="57"/>
        <v>6303.8959999999997</v>
      </c>
      <c r="U591" s="8" t="str">
        <f t="shared" si="58"/>
        <v>Thu</v>
      </c>
      <c r="V591" s="8" t="str">
        <f t="shared" si="58"/>
        <v>Tue</v>
      </c>
    </row>
    <row r="592" spans="1:22" x14ac:dyDescent="0.25">
      <c r="A592" t="s">
        <v>136</v>
      </c>
      <c r="B592" t="s">
        <v>38</v>
      </c>
      <c r="C592" t="s">
        <v>8</v>
      </c>
      <c r="D592" t="s">
        <v>13</v>
      </c>
      <c r="F592" s="5">
        <v>44112</v>
      </c>
      <c r="G592" s="5">
        <v>44153</v>
      </c>
      <c r="H592" s="2">
        <v>1</v>
      </c>
      <c r="I592" s="6"/>
      <c r="J592" s="6"/>
      <c r="K592" s="7">
        <v>0.5</v>
      </c>
      <c r="L592" s="7">
        <v>21.33</v>
      </c>
      <c r="M592" t="s">
        <v>19</v>
      </c>
      <c r="N592" s="16">
        <f>POWER(SQRT(WorkOrders27[[#This Row],[WorkDate]]-WorkOrders27[[#This Row],[ReqDate]]),2)</f>
        <v>41</v>
      </c>
      <c r="O592" s="8">
        <f t="array" ref="O592">INDEX(TechRate,MATCH(H592,TechNum,0))</f>
        <v>80</v>
      </c>
      <c r="P592" s="10">
        <f>WorkOrders27[[#This Row],[Techs]]*(WorkOrders27[[#This Row],[PartsCost]]*WorkOrders27[[#This Row],[LbrHrs]])</f>
        <v>10.664999999999999</v>
      </c>
      <c r="Q592" s="10">
        <f t="shared" si="54"/>
        <v>10.664999999999999</v>
      </c>
      <c r="R592" s="10">
        <f t="shared" si="55"/>
        <v>21.33</v>
      </c>
      <c r="S592" s="10">
        <f t="shared" si="56"/>
        <v>31.994999999999997</v>
      </c>
      <c r="T592" s="10">
        <f t="shared" si="57"/>
        <v>31.994999999999997</v>
      </c>
      <c r="U592" s="8" t="str">
        <f t="shared" si="58"/>
        <v>Thu</v>
      </c>
      <c r="V592" s="8" t="str">
        <f t="shared" si="58"/>
        <v>Wed</v>
      </c>
    </row>
    <row r="593" spans="1:22" x14ac:dyDescent="0.25">
      <c r="A593" t="s">
        <v>137</v>
      </c>
      <c r="B593" t="s">
        <v>39</v>
      </c>
      <c r="C593" t="s">
        <v>6</v>
      </c>
      <c r="D593" t="s">
        <v>13</v>
      </c>
      <c r="F593" s="5">
        <v>44112</v>
      </c>
      <c r="G593" s="5">
        <v>44165</v>
      </c>
      <c r="H593" s="2">
        <v>1</v>
      </c>
      <c r="I593" s="6"/>
      <c r="J593" s="6"/>
      <c r="K593" s="7">
        <v>0.5</v>
      </c>
      <c r="L593" s="7">
        <v>74.785899999999998</v>
      </c>
      <c r="M593" t="s">
        <v>17</v>
      </c>
      <c r="N593" s="16">
        <f>POWER(SQRT(WorkOrders27[[#This Row],[WorkDate]]-WorkOrders27[[#This Row],[ReqDate]]),2)</f>
        <v>53</v>
      </c>
      <c r="O593" s="8">
        <f t="array" ref="O593">INDEX(TechRate,MATCH(H593,TechNum,0))</f>
        <v>80</v>
      </c>
      <c r="P593" s="10">
        <f>WorkOrders27[[#This Row],[Techs]]*(WorkOrders27[[#This Row],[PartsCost]]*WorkOrders27[[#This Row],[LbrHrs]])</f>
        <v>37.392949999999999</v>
      </c>
      <c r="Q593" s="10">
        <f t="shared" si="54"/>
        <v>37.392949999999999</v>
      </c>
      <c r="R593" s="10">
        <f t="shared" si="55"/>
        <v>74.785899999999998</v>
      </c>
      <c r="S593" s="10">
        <f t="shared" si="56"/>
        <v>112.17885</v>
      </c>
      <c r="T593" s="10">
        <f t="shared" si="57"/>
        <v>112.17885</v>
      </c>
      <c r="U593" s="8" t="str">
        <f t="shared" si="58"/>
        <v>Thu</v>
      </c>
      <c r="V593" s="8" t="str">
        <f t="shared" si="58"/>
        <v>Mon</v>
      </c>
    </row>
    <row r="594" spans="1:22" x14ac:dyDescent="0.25">
      <c r="A594" t="s">
        <v>138</v>
      </c>
      <c r="B594" t="s">
        <v>41</v>
      </c>
      <c r="C594" t="s">
        <v>6</v>
      </c>
      <c r="D594" t="s">
        <v>2</v>
      </c>
      <c r="F594" s="5">
        <v>44112</v>
      </c>
      <c r="G594" s="5">
        <v>44166</v>
      </c>
      <c r="H594" s="2">
        <v>2</v>
      </c>
      <c r="I594" s="6"/>
      <c r="J594" s="6"/>
      <c r="K594" s="7">
        <v>4.75</v>
      </c>
      <c r="L594" s="7">
        <v>1123.9716000000001</v>
      </c>
      <c r="M594" t="s">
        <v>18</v>
      </c>
      <c r="N594" s="16">
        <f>POWER(SQRT(WorkOrders27[[#This Row],[WorkDate]]-WorkOrders27[[#This Row],[ReqDate]]),2)</f>
        <v>54</v>
      </c>
      <c r="O594" s="8">
        <f t="array" ref="O594">INDEX(TechRate,MATCH(H594,TechNum,0))</f>
        <v>140</v>
      </c>
      <c r="P594" s="10">
        <f>WorkOrders27[[#This Row],[Techs]]*(WorkOrders27[[#This Row],[PartsCost]]*WorkOrders27[[#This Row],[LbrHrs]])</f>
        <v>10677.7302</v>
      </c>
      <c r="Q594" s="10">
        <f t="shared" si="54"/>
        <v>10677.7302</v>
      </c>
      <c r="R594" s="10">
        <f t="shared" si="55"/>
        <v>1123.9716000000001</v>
      </c>
      <c r="S594" s="10">
        <f t="shared" si="56"/>
        <v>11801.701800000001</v>
      </c>
      <c r="T594" s="10">
        <f t="shared" si="57"/>
        <v>11801.701800000001</v>
      </c>
      <c r="U594" s="8" t="str">
        <f t="shared" si="58"/>
        <v>Thu</v>
      </c>
      <c r="V594" s="8" t="str">
        <f t="shared" si="58"/>
        <v>Tue</v>
      </c>
    </row>
    <row r="595" spans="1:22" x14ac:dyDescent="0.25">
      <c r="A595" t="s">
        <v>139</v>
      </c>
      <c r="B595" t="s">
        <v>34</v>
      </c>
      <c r="C595" t="s">
        <v>9</v>
      </c>
      <c r="D595" t="s">
        <v>12</v>
      </c>
      <c r="F595" s="5">
        <v>44116</v>
      </c>
      <c r="G595" s="5">
        <v>44130</v>
      </c>
      <c r="H595" s="2">
        <v>2</v>
      </c>
      <c r="I595" s="6"/>
      <c r="J595" s="6"/>
      <c r="K595" s="7">
        <v>1</v>
      </c>
      <c r="L595" s="7">
        <v>128.9796</v>
      </c>
      <c r="M595" t="s">
        <v>17</v>
      </c>
      <c r="N595" s="16">
        <f>POWER(SQRT(WorkOrders27[[#This Row],[WorkDate]]-WorkOrders27[[#This Row],[ReqDate]]),2)</f>
        <v>14</v>
      </c>
      <c r="O595" s="8">
        <f t="array" ref="O595">INDEX(TechRate,MATCH(H595,TechNum,0))</f>
        <v>140</v>
      </c>
      <c r="P595" s="10">
        <f>WorkOrders27[[#This Row],[Techs]]*(WorkOrders27[[#This Row],[PartsCost]]*WorkOrders27[[#This Row],[LbrHrs]])</f>
        <v>257.95920000000001</v>
      </c>
      <c r="Q595" s="10">
        <f t="shared" si="54"/>
        <v>257.95920000000001</v>
      </c>
      <c r="R595" s="10">
        <f t="shared" si="55"/>
        <v>128.9796</v>
      </c>
      <c r="S595" s="10">
        <f t="shared" si="56"/>
        <v>386.93880000000001</v>
      </c>
      <c r="T595" s="10">
        <f t="shared" si="57"/>
        <v>386.93880000000001</v>
      </c>
      <c r="U595" s="8" t="str">
        <f t="shared" si="58"/>
        <v>Mon</v>
      </c>
      <c r="V595" s="8" t="str">
        <f t="shared" si="58"/>
        <v>Mon</v>
      </c>
    </row>
    <row r="596" spans="1:22" x14ac:dyDescent="0.25">
      <c r="A596" t="s">
        <v>140</v>
      </c>
      <c r="B596" t="s">
        <v>38</v>
      </c>
      <c r="C596" t="s">
        <v>8</v>
      </c>
      <c r="D596" t="s">
        <v>13</v>
      </c>
      <c r="F596" s="5">
        <v>44116</v>
      </c>
      <c r="G596" s="5">
        <v>44139</v>
      </c>
      <c r="H596" s="2">
        <v>1</v>
      </c>
      <c r="I596" s="6"/>
      <c r="J596" s="6"/>
      <c r="K596" s="7">
        <v>0.5</v>
      </c>
      <c r="L596" s="7">
        <v>144</v>
      </c>
      <c r="M596" t="s">
        <v>19</v>
      </c>
      <c r="N596" s="16">
        <f>POWER(SQRT(WorkOrders27[[#This Row],[WorkDate]]-WorkOrders27[[#This Row],[ReqDate]]),2)</f>
        <v>22.999999999999996</v>
      </c>
      <c r="O596" s="8">
        <f t="array" ref="O596">INDEX(TechRate,MATCH(H596,TechNum,0))</f>
        <v>80</v>
      </c>
      <c r="P596" s="10">
        <f>WorkOrders27[[#This Row],[Techs]]*(WorkOrders27[[#This Row],[PartsCost]]*WorkOrders27[[#This Row],[LbrHrs]])</f>
        <v>72</v>
      </c>
      <c r="Q596" s="10">
        <f t="shared" si="54"/>
        <v>72</v>
      </c>
      <c r="R596" s="10">
        <f t="shared" si="55"/>
        <v>144</v>
      </c>
      <c r="S596" s="10">
        <f t="shared" si="56"/>
        <v>216</v>
      </c>
      <c r="T596" s="10">
        <f t="shared" si="57"/>
        <v>216</v>
      </c>
      <c r="U596" s="8" t="str">
        <f t="shared" si="58"/>
        <v>Mon</v>
      </c>
      <c r="V596" s="8" t="str">
        <f t="shared" si="58"/>
        <v>Wed</v>
      </c>
    </row>
    <row r="597" spans="1:22" x14ac:dyDescent="0.25">
      <c r="A597" t="s">
        <v>141</v>
      </c>
      <c r="B597" t="s">
        <v>34</v>
      </c>
      <c r="C597" t="s">
        <v>6</v>
      </c>
      <c r="D597" t="s">
        <v>12</v>
      </c>
      <c r="F597" s="5">
        <v>44116</v>
      </c>
      <c r="G597" s="5">
        <v>44140</v>
      </c>
      <c r="H597" s="2">
        <v>2</v>
      </c>
      <c r="I597" s="6"/>
      <c r="J597" s="6"/>
      <c r="K597" s="7">
        <v>1</v>
      </c>
      <c r="L597" s="7">
        <v>1211.8269</v>
      </c>
      <c r="M597" t="s">
        <v>17</v>
      </c>
      <c r="N597" s="16">
        <f>POWER(SQRT(WorkOrders27[[#This Row],[WorkDate]]-WorkOrders27[[#This Row],[ReqDate]]),2)</f>
        <v>23.999999999999996</v>
      </c>
      <c r="O597" s="8">
        <f t="array" ref="O597">INDEX(TechRate,MATCH(H597,TechNum,0))</f>
        <v>140</v>
      </c>
      <c r="P597" s="10">
        <f>WorkOrders27[[#This Row],[Techs]]*(WorkOrders27[[#This Row],[PartsCost]]*WorkOrders27[[#This Row],[LbrHrs]])</f>
        <v>2423.6538</v>
      </c>
      <c r="Q597" s="10">
        <f t="shared" si="54"/>
        <v>2423.6538</v>
      </c>
      <c r="R597" s="10">
        <f t="shared" si="55"/>
        <v>1211.8269</v>
      </c>
      <c r="S597" s="10">
        <f t="shared" si="56"/>
        <v>3635.4807000000001</v>
      </c>
      <c r="T597" s="10">
        <f t="shared" si="57"/>
        <v>3635.4807000000001</v>
      </c>
      <c r="U597" s="8" t="str">
        <f t="shared" si="58"/>
        <v>Mon</v>
      </c>
      <c r="V597" s="8" t="str">
        <f t="shared" si="58"/>
        <v>Thu</v>
      </c>
    </row>
    <row r="598" spans="1:22" x14ac:dyDescent="0.25">
      <c r="A598" t="s">
        <v>142</v>
      </c>
      <c r="B598" t="s">
        <v>37</v>
      </c>
      <c r="C598" t="s">
        <v>6</v>
      </c>
      <c r="D598" t="s">
        <v>13</v>
      </c>
      <c r="F598" s="5">
        <v>44116</v>
      </c>
      <c r="G598" s="5">
        <v>44153</v>
      </c>
      <c r="H598" s="2">
        <v>1</v>
      </c>
      <c r="I598" s="6"/>
      <c r="J598" s="6"/>
      <c r="K598" s="7">
        <v>0.5</v>
      </c>
      <c r="L598" s="7">
        <v>54.124600000000001</v>
      </c>
      <c r="M598" t="s">
        <v>17</v>
      </c>
      <c r="N598" s="16">
        <f>POWER(SQRT(WorkOrders27[[#This Row],[WorkDate]]-WorkOrders27[[#This Row],[ReqDate]]),2)</f>
        <v>36.999999999999993</v>
      </c>
      <c r="O598" s="8">
        <f t="array" ref="O598">INDEX(TechRate,MATCH(H598,TechNum,0))</f>
        <v>80</v>
      </c>
      <c r="P598" s="10">
        <f>WorkOrders27[[#This Row],[Techs]]*(WorkOrders27[[#This Row],[PartsCost]]*WorkOrders27[[#This Row],[LbrHrs]])</f>
        <v>27.0623</v>
      </c>
      <c r="Q598" s="10">
        <f t="shared" si="54"/>
        <v>27.0623</v>
      </c>
      <c r="R598" s="10">
        <f t="shared" si="55"/>
        <v>54.124600000000001</v>
      </c>
      <c r="S598" s="10">
        <f t="shared" si="56"/>
        <v>81.186900000000009</v>
      </c>
      <c r="T598" s="10">
        <f t="shared" si="57"/>
        <v>81.186900000000009</v>
      </c>
      <c r="U598" s="8" t="str">
        <f t="shared" si="58"/>
        <v>Mon</v>
      </c>
      <c r="V598" s="8" t="str">
        <f t="shared" si="58"/>
        <v>Wed</v>
      </c>
    </row>
    <row r="599" spans="1:22" x14ac:dyDescent="0.25">
      <c r="A599" t="s">
        <v>143</v>
      </c>
      <c r="B599" t="s">
        <v>35</v>
      </c>
      <c r="C599" t="s">
        <v>6</v>
      </c>
      <c r="D599" t="s">
        <v>12</v>
      </c>
      <c r="E599" t="s">
        <v>3</v>
      </c>
      <c r="F599" s="5">
        <v>44116</v>
      </c>
      <c r="G599" s="5">
        <v>44154</v>
      </c>
      <c r="H599" s="2">
        <v>1</v>
      </c>
      <c r="I599" s="6"/>
      <c r="J599" s="6"/>
      <c r="K599" s="7">
        <v>0.5</v>
      </c>
      <c r="L599" s="7">
        <v>55.935699999999997</v>
      </c>
      <c r="M599" t="s">
        <v>18</v>
      </c>
      <c r="N599" s="16">
        <f>POWER(SQRT(WorkOrders27[[#This Row],[WorkDate]]-WorkOrders27[[#This Row],[ReqDate]]),2)</f>
        <v>37.999999999999993</v>
      </c>
      <c r="O599" s="8">
        <f t="array" ref="O599">INDEX(TechRate,MATCH(H599,TechNum,0))</f>
        <v>80</v>
      </c>
      <c r="P599" s="10">
        <f>WorkOrders27[[#This Row],[Techs]]*(WorkOrders27[[#This Row],[PartsCost]]*WorkOrders27[[#This Row],[LbrHrs]])</f>
        <v>27.967849999999999</v>
      </c>
      <c r="Q599" s="10">
        <f t="shared" si="54"/>
        <v>27.967849999999999</v>
      </c>
      <c r="R599" s="10">
        <f t="shared" si="55"/>
        <v>55.935699999999997</v>
      </c>
      <c r="S599" s="10">
        <f t="shared" si="56"/>
        <v>83.903549999999996</v>
      </c>
      <c r="T599" s="10">
        <f t="shared" si="57"/>
        <v>83.903549999999996</v>
      </c>
      <c r="U599" s="8" t="str">
        <f t="shared" si="58"/>
        <v>Mon</v>
      </c>
      <c r="V599" s="8" t="str">
        <f t="shared" si="58"/>
        <v>Thu</v>
      </c>
    </row>
    <row r="600" spans="1:22" x14ac:dyDescent="0.25">
      <c r="A600" t="s">
        <v>144</v>
      </c>
      <c r="B600" t="s">
        <v>39</v>
      </c>
      <c r="C600" t="s">
        <v>6</v>
      </c>
      <c r="D600" t="s">
        <v>12</v>
      </c>
      <c r="E600" t="s">
        <v>3</v>
      </c>
      <c r="F600" s="5">
        <v>44117</v>
      </c>
      <c r="G600" s="5">
        <v>44131</v>
      </c>
      <c r="H600" s="2">
        <v>1</v>
      </c>
      <c r="I600" s="6"/>
      <c r="J600" s="6"/>
      <c r="K600" s="7">
        <v>0.5</v>
      </c>
      <c r="L600" s="7">
        <v>11.06</v>
      </c>
      <c r="M600" t="s">
        <v>19</v>
      </c>
      <c r="N600" s="16">
        <f>POWER(SQRT(WorkOrders27[[#This Row],[WorkDate]]-WorkOrders27[[#This Row],[ReqDate]]),2)</f>
        <v>14</v>
      </c>
      <c r="O600" s="8">
        <f t="array" ref="O600">INDEX(TechRate,MATCH(H600,TechNum,0))</f>
        <v>80</v>
      </c>
      <c r="P600" s="10">
        <f>WorkOrders27[[#This Row],[Techs]]*(WorkOrders27[[#This Row],[PartsCost]]*WorkOrders27[[#This Row],[LbrHrs]])</f>
        <v>5.53</v>
      </c>
      <c r="Q600" s="10">
        <f t="shared" si="54"/>
        <v>5.53</v>
      </c>
      <c r="R600" s="10">
        <f t="shared" si="55"/>
        <v>11.06</v>
      </c>
      <c r="S600" s="10">
        <f t="shared" si="56"/>
        <v>16.59</v>
      </c>
      <c r="T600" s="10">
        <f t="shared" si="57"/>
        <v>16.59</v>
      </c>
      <c r="U600" s="8" t="str">
        <f t="shared" si="58"/>
        <v>Tue</v>
      </c>
      <c r="V600" s="8" t="str">
        <f t="shared" si="58"/>
        <v>Tue</v>
      </c>
    </row>
    <row r="601" spans="1:22" x14ac:dyDescent="0.25">
      <c r="A601" t="s">
        <v>145</v>
      </c>
      <c r="B601" t="s">
        <v>38</v>
      </c>
      <c r="C601" t="s">
        <v>8</v>
      </c>
      <c r="D601" t="s">
        <v>2</v>
      </c>
      <c r="F601" s="5">
        <v>44117</v>
      </c>
      <c r="G601" s="5">
        <v>44131</v>
      </c>
      <c r="H601" s="2">
        <v>1</v>
      </c>
      <c r="I601" s="6"/>
      <c r="J601" s="6"/>
      <c r="K601" s="7">
        <v>2</v>
      </c>
      <c r="L601" s="7">
        <v>77.165099999999995</v>
      </c>
      <c r="M601" t="s">
        <v>17</v>
      </c>
      <c r="N601" s="16">
        <f>POWER(SQRT(WorkOrders27[[#This Row],[WorkDate]]-WorkOrders27[[#This Row],[ReqDate]]),2)</f>
        <v>14</v>
      </c>
      <c r="O601" s="8">
        <f t="array" ref="O601">INDEX(TechRate,MATCH(H601,TechNum,0))</f>
        <v>80</v>
      </c>
      <c r="P601" s="10">
        <f>WorkOrders27[[#This Row],[Techs]]*(WorkOrders27[[#This Row],[PartsCost]]*WorkOrders27[[#This Row],[LbrHrs]])</f>
        <v>154.33019999999999</v>
      </c>
      <c r="Q601" s="10">
        <f t="shared" si="54"/>
        <v>154.33019999999999</v>
      </c>
      <c r="R601" s="10">
        <f t="shared" si="55"/>
        <v>77.165099999999995</v>
      </c>
      <c r="S601" s="10">
        <f t="shared" si="56"/>
        <v>231.49529999999999</v>
      </c>
      <c r="T601" s="10">
        <f t="shared" si="57"/>
        <v>231.49529999999999</v>
      </c>
      <c r="U601" s="8" t="str">
        <f t="shared" si="58"/>
        <v>Tue</v>
      </c>
      <c r="V601" s="8" t="str">
        <f t="shared" si="58"/>
        <v>Tue</v>
      </c>
    </row>
    <row r="602" spans="1:22" x14ac:dyDescent="0.25">
      <c r="A602" t="s">
        <v>146</v>
      </c>
      <c r="B602" t="s">
        <v>35</v>
      </c>
      <c r="C602" t="s">
        <v>8</v>
      </c>
      <c r="D602" t="s">
        <v>12</v>
      </c>
      <c r="F602" s="5">
        <v>44118</v>
      </c>
      <c r="G602" s="5">
        <v>44123</v>
      </c>
      <c r="H602" s="2">
        <v>2</v>
      </c>
      <c r="I602" s="6"/>
      <c r="J602" s="6"/>
      <c r="K602" s="7">
        <v>0.5</v>
      </c>
      <c r="L602" s="7">
        <v>66.158000000000001</v>
      </c>
      <c r="M602" t="s">
        <v>17</v>
      </c>
      <c r="N602" s="16">
        <f>POWER(SQRT(WorkOrders27[[#This Row],[WorkDate]]-WorkOrders27[[#This Row],[ReqDate]]),2)</f>
        <v>5.0000000000000009</v>
      </c>
      <c r="O602" s="8">
        <f t="array" ref="O602">INDEX(TechRate,MATCH(H602,TechNum,0))</f>
        <v>140</v>
      </c>
      <c r="P602" s="10">
        <f>WorkOrders27[[#This Row],[Techs]]*(WorkOrders27[[#This Row],[PartsCost]]*WorkOrders27[[#This Row],[LbrHrs]])</f>
        <v>66.158000000000001</v>
      </c>
      <c r="Q602" s="10">
        <f t="shared" si="54"/>
        <v>66.158000000000001</v>
      </c>
      <c r="R602" s="10">
        <f t="shared" si="55"/>
        <v>66.158000000000001</v>
      </c>
      <c r="S602" s="10">
        <f t="shared" si="56"/>
        <v>132.316</v>
      </c>
      <c r="T602" s="10">
        <f t="shared" si="57"/>
        <v>132.316</v>
      </c>
      <c r="U602" s="8" t="str">
        <f t="shared" si="58"/>
        <v>Wed</v>
      </c>
      <c r="V602" s="8" t="str">
        <f t="shared" si="58"/>
        <v>Mon</v>
      </c>
    </row>
    <row r="603" spans="1:22" x14ac:dyDescent="0.25">
      <c r="A603" t="s">
        <v>147</v>
      </c>
      <c r="B603" t="s">
        <v>42</v>
      </c>
      <c r="C603" t="s">
        <v>6</v>
      </c>
      <c r="D603" t="s">
        <v>11</v>
      </c>
      <c r="F603" s="5">
        <v>44118</v>
      </c>
      <c r="G603" s="5">
        <v>44131</v>
      </c>
      <c r="H603" s="2">
        <v>1</v>
      </c>
      <c r="I603" s="6"/>
      <c r="J603" s="6"/>
      <c r="K603" s="7">
        <v>0.25</v>
      </c>
      <c r="L603" s="7">
        <v>27.953900000000001</v>
      </c>
      <c r="M603" t="s">
        <v>17</v>
      </c>
      <c r="N603" s="16">
        <f>POWER(SQRT(WorkOrders27[[#This Row],[WorkDate]]-WorkOrders27[[#This Row],[ReqDate]]),2)</f>
        <v>12.999999999999998</v>
      </c>
      <c r="O603" s="8">
        <f t="array" ref="O603">INDEX(TechRate,MATCH(H603,TechNum,0))</f>
        <v>80</v>
      </c>
      <c r="P603" s="10">
        <f>WorkOrders27[[#This Row],[Techs]]*(WorkOrders27[[#This Row],[PartsCost]]*WorkOrders27[[#This Row],[LbrHrs]])</f>
        <v>6.9884750000000002</v>
      </c>
      <c r="Q603" s="10">
        <f t="shared" si="54"/>
        <v>6.9884750000000002</v>
      </c>
      <c r="R603" s="10">
        <f t="shared" si="55"/>
        <v>27.953900000000001</v>
      </c>
      <c r="S603" s="10">
        <f t="shared" si="56"/>
        <v>34.942374999999998</v>
      </c>
      <c r="T603" s="10">
        <f t="shared" si="57"/>
        <v>34.942374999999998</v>
      </c>
      <c r="U603" s="8" t="str">
        <f t="shared" si="58"/>
        <v>Wed</v>
      </c>
      <c r="V603" s="8" t="str">
        <f t="shared" si="58"/>
        <v>Tue</v>
      </c>
    </row>
    <row r="604" spans="1:22" x14ac:dyDescent="0.25">
      <c r="A604" t="s">
        <v>148</v>
      </c>
      <c r="B604" t="s">
        <v>38</v>
      </c>
      <c r="C604" t="s">
        <v>8</v>
      </c>
      <c r="D604" t="s">
        <v>12</v>
      </c>
      <c r="F604" s="5">
        <v>44118</v>
      </c>
      <c r="G604" s="5">
        <v>44131</v>
      </c>
      <c r="H604" s="2">
        <v>1</v>
      </c>
      <c r="I604" s="6"/>
      <c r="J604" s="6"/>
      <c r="K604" s="7">
        <v>1</v>
      </c>
      <c r="L604" s="7">
        <v>216.3125</v>
      </c>
      <c r="M604" t="s">
        <v>18</v>
      </c>
      <c r="N604" s="16">
        <f>POWER(SQRT(WorkOrders27[[#This Row],[WorkDate]]-WorkOrders27[[#This Row],[ReqDate]]),2)</f>
        <v>12.999999999999998</v>
      </c>
      <c r="O604" s="8">
        <f t="array" ref="O604">INDEX(TechRate,MATCH(H604,TechNum,0))</f>
        <v>80</v>
      </c>
      <c r="P604" s="10">
        <f>WorkOrders27[[#This Row],[Techs]]*(WorkOrders27[[#This Row],[PartsCost]]*WorkOrders27[[#This Row],[LbrHrs]])</f>
        <v>216.3125</v>
      </c>
      <c r="Q604" s="10">
        <f t="shared" si="54"/>
        <v>216.3125</v>
      </c>
      <c r="R604" s="10">
        <f t="shared" si="55"/>
        <v>216.3125</v>
      </c>
      <c r="S604" s="10">
        <f t="shared" si="56"/>
        <v>432.625</v>
      </c>
      <c r="T604" s="10">
        <f t="shared" si="57"/>
        <v>432.625</v>
      </c>
      <c r="U604" s="8" t="str">
        <f t="shared" si="58"/>
        <v>Wed</v>
      </c>
      <c r="V604" s="8" t="str">
        <f t="shared" si="58"/>
        <v>Tue</v>
      </c>
    </row>
    <row r="605" spans="1:22" x14ac:dyDescent="0.25">
      <c r="A605" t="s">
        <v>149</v>
      </c>
      <c r="B605" t="s">
        <v>34</v>
      </c>
      <c r="C605" t="s">
        <v>9</v>
      </c>
      <c r="D605" t="s">
        <v>2</v>
      </c>
      <c r="F605" s="5">
        <v>44118</v>
      </c>
      <c r="G605" s="5">
        <v>44138</v>
      </c>
      <c r="H605" s="2">
        <v>2</v>
      </c>
      <c r="I605" s="6"/>
      <c r="J605" s="6"/>
      <c r="K605" s="7">
        <v>2</v>
      </c>
      <c r="L605" s="7">
        <v>619.51329999999996</v>
      </c>
      <c r="M605" t="s">
        <v>19</v>
      </c>
      <c r="N605" s="16">
        <f>POWER(SQRT(WorkOrders27[[#This Row],[WorkDate]]-WorkOrders27[[#This Row],[ReqDate]]),2)</f>
        <v>20.000000000000004</v>
      </c>
      <c r="O605" s="8">
        <f t="array" ref="O605">INDEX(TechRate,MATCH(H605,TechNum,0))</f>
        <v>140</v>
      </c>
      <c r="P605" s="10">
        <f>WorkOrders27[[#This Row],[Techs]]*(WorkOrders27[[#This Row],[PartsCost]]*WorkOrders27[[#This Row],[LbrHrs]])</f>
        <v>2478.0531999999998</v>
      </c>
      <c r="Q605" s="10">
        <f t="shared" si="54"/>
        <v>2478.0531999999998</v>
      </c>
      <c r="R605" s="10">
        <f t="shared" si="55"/>
        <v>619.51329999999996</v>
      </c>
      <c r="S605" s="10">
        <f t="shared" si="56"/>
        <v>3097.5664999999999</v>
      </c>
      <c r="T605" s="10">
        <f t="shared" si="57"/>
        <v>3097.5664999999999</v>
      </c>
      <c r="U605" s="8" t="str">
        <f t="shared" si="58"/>
        <v>Wed</v>
      </c>
      <c r="V605" s="8" t="str">
        <f t="shared" si="58"/>
        <v>Tue</v>
      </c>
    </row>
    <row r="606" spans="1:22" x14ac:dyDescent="0.25">
      <c r="A606" t="s">
        <v>150</v>
      </c>
      <c r="B606" t="s">
        <v>38</v>
      </c>
      <c r="C606" t="s">
        <v>6</v>
      </c>
      <c r="D606" t="s">
        <v>13</v>
      </c>
      <c r="F606" s="5">
        <v>44118</v>
      </c>
      <c r="G606" s="5">
        <v>44145</v>
      </c>
      <c r="H606" s="2">
        <v>1</v>
      </c>
      <c r="I606" s="6"/>
      <c r="J606" s="6"/>
      <c r="K606" s="7">
        <v>0.5</v>
      </c>
      <c r="L606" s="7">
        <v>3.12</v>
      </c>
      <c r="M606" t="s">
        <v>18</v>
      </c>
      <c r="N606" s="16">
        <f>POWER(SQRT(WorkOrders27[[#This Row],[WorkDate]]-WorkOrders27[[#This Row],[ReqDate]]),2)</f>
        <v>27</v>
      </c>
      <c r="O606" s="8">
        <f t="array" ref="O606">INDEX(TechRate,MATCH(H606,TechNum,0))</f>
        <v>80</v>
      </c>
      <c r="P606" s="10">
        <f>WorkOrders27[[#This Row],[Techs]]*(WorkOrders27[[#This Row],[PartsCost]]*WorkOrders27[[#This Row],[LbrHrs]])</f>
        <v>1.56</v>
      </c>
      <c r="Q606" s="10">
        <f t="shared" si="54"/>
        <v>1.56</v>
      </c>
      <c r="R606" s="10">
        <f t="shared" si="55"/>
        <v>3.12</v>
      </c>
      <c r="S606" s="10">
        <f t="shared" si="56"/>
        <v>4.68</v>
      </c>
      <c r="T606" s="10">
        <f t="shared" si="57"/>
        <v>4.68</v>
      </c>
      <c r="U606" s="8" t="str">
        <f t="shared" si="58"/>
        <v>Wed</v>
      </c>
      <c r="V606" s="8" t="str">
        <f t="shared" si="58"/>
        <v>Tue</v>
      </c>
    </row>
    <row r="607" spans="1:22" x14ac:dyDescent="0.25">
      <c r="A607" t="s">
        <v>151</v>
      </c>
      <c r="B607" t="s">
        <v>34</v>
      </c>
      <c r="C607" t="s">
        <v>6</v>
      </c>
      <c r="D607" t="s">
        <v>12</v>
      </c>
      <c r="F607" s="5">
        <v>44119</v>
      </c>
      <c r="G607" s="5">
        <v>44126</v>
      </c>
      <c r="H607" s="2">
        <v>1</v>
      </c>
      <c r="I607" s="6"/>
      <c r="J607" s="6"/>
      <c r="K607" s="7">
        <v>0.75</v>
      </c>
      <c r="L607" s="7">
        <v>163.26</v>
      </c>
      <c r="M607" t="s">
        <v>17</v>
      </c>
      <c r="N607" s="16">
        <f>POWER(SQRT(WorkOrders27[[#This Row],[WorkDate]]-WorkOrders27[[#This Row],[ReqDate]]),2)</f>
        <v>7.0000000000000009</v>
      </c>
      <c r="O607" s="8">
        <f t="array" ref="O607">INDEX(TechRate,MATCH(H607,TechNum,0))</f>
        <v>80</v>
      </c>
      <c r="P607" s="10">
        <f>WorkOrders27[[#This Row],[Techs]]*(WorkOrders27[[#This Row],[PartsCost]]*WorkOrders27[[#This Row],[LbrHrs]])</f>
        <v>122.44499999999999</v>
      </c>
      <c r="Q607" s="10">
        <f t="shared" si="54"/>
        <v>122.44499999999999</v>
      </c>
      <c r="R607" s="10">
        <f t="shared" si="55"/>
        <v>163.26</v>
      </c>
      <c r="S607" s="10">
        <f t="shared" si="56"/>
        <v>285.70499999999998</v>
      </c>
      <c r="T607" s="10">
        <f t="shared" si="57"/>
        <v>285.70499999999998</v>
      </c>
      <c r="U607" s="8" t="str">
        <f t="shared" si="58"/>
        <v>Thu</v>
      </c>
      <c r="V607" s="8" t="str">
        <f t="shared" si="58"/>
        <v>Thu</v>
      </c>
    </row>
    <row r="608" spans="1:22" x14ac:dyDescent="0.25">
      <c r="A608" t="s">
        <v>152</v>
      </c>
      <c r="B608" t="s">
        <v>37</v>
      </c>
      <c r="C608" t="s">
        <v>43</v>
      </c>
      <c r="D608" t="s">
        <v>11</v>
      </c>
      <c r="F608" s="5">
        <v>44119</v>
      </c>
      <c r="G608" s="5">
        <v>44132</v>
      </c>
      <c r="H608" s="2">
        <v>1</v>
      </c>
      <c r="I608" s="6"/>
      <c r="J608" s="6"/>
      <c r="K608" s="7">
        <v>0.25</v>
      </c>
      <c r="L608" s="7">
        <v>65.251599999999996</v>
      </c>
      <c r="M608" t="s">
        <v>17</v>
      </c>
      <c r="N608" s="16">
        <f>POWER(SQRT(WorkOrders27[[#This Row],[WorkDate]]-WorkOrders27[[#This Row],[ReqDate]]),2)</f>
        <v>12.999999999999998</v>
      </c>
      <c r="O608" s="8">
        <f t="array" ref="O608">INDEX(TechRate,MATCH(H608,TechNum,0))</f>
        <v>80</v>
      </c>
      <c r="P608" s="10">
        <f>WorkOrders27[[#This Row],[Techs]]*(WorkOrders27[[#This Row],[PartsCost]]*WorkOrders27[[#This Row],[LbrHrs]])</f>
        <v>16.312899999999999</v>
      </c>
      <c r="Q608" s="10">
        <f t="shared" si="54"/>
        <v>16.312899999999999</v>
      </c>
      <c r="R608" s="10">
        <f t="shared" si="55"/>
        <v>65.251599999999996</v>
      </c>
      <c r="S608" s="10">
        <f t="shared" si="56"/>
        <v>81.564499999999995</v>
      </c>
      <c r="T608" s="10">
        <f t="shared" si="57"/>
        <v>81.564499999999995</v>
      </c>
      <c r="U608" s="8" t="str">
        <f t="shared" si="58"/>
        <v>Thu</v>
      </c>
      <c r="V608" s="8" t="str">
        <f t="shared" si="58"/>
        <v>Wed</v>
      </c>
    </row>
    <row r="609" spans="1:22" x14ac:dyDescent="0.25">
      <c r="A609" t="s">
        <v>153</v>
      </c>
      <c r="B609" t="s">
        <v>38</v>
      </c>
      <c r="C609" t="s">
        <v>6</v>
      </c>
      <c r="D609" t="s">
        <v>11</v>
      </c>
      <c r="F609" s="5">
        <v>44119</v>
      </c>
      <c r="G609" s="5">
        <v>44145</v>
      </c>
      <c r="H609" s="2">
        <v>1</v>
      </c>
      <c r="I609" s="6"/>
      <c r="J609" s="6"/>
      <c r="K609" s="7">
        <v>0.25</v>
      </c>
      <c r="L609" s="7">
        <v>30</v>
      </c>
      <c r="M609" t="s">
        <v>19</v>
      </c>
      <c r="N609" s="16">
        <f>POWER(SQRT(WorkOrders27[[#This Row],[WorkDate]]-WorkOrders27[[#This Row],[ReqDate]]),2)</f>
        <v>25.999999999999996</v>
      </c>
      <c r="O609" s="8">
        <f t="array" ref="O609">INDEX(TechRate,MATCH(H609,TechNum,0))</f>
        <v>80</v>
      </c>
      <c r="P609" s="10">
        <f>WorkOrders27[[#This Row],[Techs]]*(WorkOrders27[[#This Row],[PartsCost]]*WorkOrders27[[#This Row],[LbrHrs]])</f>
        <v>7.5</v>
      </c>
      <c r="Q609" s="10">
        <f t="shared" si="54"/>
        <v>7.5</v>
      </c>
      <c r="R609" s="10">
        <f t="shared" si="55"/>
        <v>30</v>
      </c>
      <c r="S609" s="10">
        <f t="shared" si="56"/>
        <v>37.5</v>
      </c>
      <c r="T609" s="10">
        <f t="shared" si="57"/>
        <v>37.5</v>
      </c>
      <c r="U609" s="8" t="str">
        <f t="shared" si="58"/>
        <v>Thu</v>
      </c>
      <c r="V609" s="8" t="str">
        <f t="shared" si="58"/>
        <v>Tue</v>
      </c>
    </row>
    <row r="610" spans="1:22" x14ac:dyDescent="0.25">
      <c r="A610" t="s">
        <v>154</v>
      </c>
      <c r="B610" t="s">
        <v>38</v>
      </c>
      <c r="C610" t="s">
        <v>6</v>
      </c>
      <c r="D610" t="s">
        <v>13</v>
      </c>
      <c r="F610" s="5">
        <v>44119</v>
      </c>
      <c r="G610" s="5">
        <v>44145</v>
      </c>
      <c r="H610" s="2">
        <v>1</v>
      </c>
      <c r="I610" s="6"/>
      <c r="J610" s="6"/>
      <c r="K610" s="7">
        <v>0.5</v>
      </c>
      <c r="L610" s="7">
        <v>105.8442</v>
      </c>
      <c r="M610" t="s">
        <v>17</v>
      </c>
      <c r="N610" s="16">
        <f>POWER(SQRT(WorkOrders27[[#This Row],[WorkDate]]-WorkOrders27[[#This Row],[ReqDate]]),2)</f>
        <v>25.999999999999996</v>
      </c>
      <c r="O610" s="8">
        <f t="array" ref="O610">INDEX(TechRate,MATCH(H610,TechNum,0))</f>
        <v>80</v>
      </c>
      <c r="P610" s="10">
        <f>WorkOrders27[[#This Row],[Techs]]*(WorkOrders27[[#This Row],[PartsCost]]*WorkOrders27[[#This Row],[LbrHrs]])</f>
        <v>52.9221</v>
      </c>
      <c r="Q610" s="10">
        <f t="shared" si="54"/>
        <v>52.9221</v>
      </c>
      <c r="R610" s="10">
        <f t="shared" si="55"/>
        <v>105.8442</v>
      </c>
      <c r="S610" s="10">
        <f t="shared" si="56"/>
        <v>158.7663</v>
      </c>
      <c r="T610" s="10">
        <f t="shared" si="57"/>
        <v>158.7663</v>
      </c>
      <c r="U610" s="8" t="str">
        <f t="shared" si="58"/>
        <v>Thu</v>
      </c>
      <c r="V610" s="8" t="str">
        <f t="shared" si="58"/>
        <v>Tue</v>
      </c>
    </row>
    <row r="611" spans="1:22" x14ac:dyDescent="0.25">
      <c r="A611" t="s">
        <v>155</v>
      </c>
      <c r="B611" t="s">
        <v>35</v>
      </c>
      <c r="C611" t="s">
        <v>9</v>
      </c>
      <c r="D611" t="s">
        <v>13</v>
      </c>
      <c r="F611" s="5">
        <v>44123</v>
      </c>
      <c r="G611" s="5">
        <v>44140</v>
      </c>
      <c r="H611" s="2">
        <v>2</v>
      </c>
      <c r="I611" s="6"/>
      <c r="J611" s="6"/>
      <c r="K611" s="7">
        <v>1</v>
      </c>
      <c r="L611" s="7">
        <v>547.08590000000004</v>
      </c>
      <c r="M611" t="s">
        <v>18</v>
      </c>
      <c r="N611" s="16">
        <f>POWER(SQRT(WorkOrders27[[#This Row],[WorkDate]]-WorkOrders27[[#This Row],[ReqDate]]),2)</f>
        <v>17</v>
      </c>
      <c r="O611" s="8">
        <f t="array" ref="O611">INDEX(TechRate,MATCH(H611,TechNum,0))</f>
        <v>140</v>
      </c>
      <c r="P611" s="10">
        <f>WorkOrders27[[#This Row],[Techs]]*(WorkOrders27[[#This Row],[PartsCost]]*WorkOrders27[[#This Row],[LbrHrs]])</f>
        <v>1094.1718000000001</v>
      </c>
      <c r="Q611" s="10">
        <f t="shared" si="54"/>
        <v>1094.1718000000001</v>
      </c>
      <c r="R611" s="10">
        <f t="shared" si="55"/>
        <v>547.08590000000004</v>
      </c>
      <c r="S611" s="10">
        <f t="shared" si="56"/>
        <v>1641.2577000000001</v>
      </c>
      <c r="T611" s="10">
        <f t="shared" si="57"/>
        <v>1641.2577000000001</v>
      </c>
      <c r="U611" s="8" t="str">
        <f t="shared" si="58"/>
        <v>Mon</v>
      </c>
      <c r="V611" s="8" t="str">
        <f t="shared" si="58"/>
        <v>Thu</v>
      </c>
    </row>
    <row r="612" spans="1:22" x14ac:dyDescent="0.25">
      <c r="A612" t="s">
        <v>156</v>
      </c>
      <c r="B612" t="s">
        <v>38</v>
      </c>
      <c r="C612" t="s">
        <v>6</v>
      </c>
      <c r="D612" t="s">
        <v>13</v>
      </c>
      <c r="F612" s="5">
        <v>44123</v>
      </c>
      <c r="G612" s="5">
        <v>44160</v>
      </c>
      <c r="H612" s="2">
        <v>1</v>
      </c>
      <c r="I612" s="6"/>
      <c r="J612" s="6"/>
      <c r="K612" s="7">
        <v>1</v>
      </c>
      <c r="L612" s="7">
        <v>120</v>
      </c>
      <c r="M612" t="s">
        <v>19</v>
      </c>
      <c r="N612" s="16">
        <f>POWER(SQRT(WorkOrders27[[#This Row],[WorkDate]]-WorkOrders27[[#This Row],[ReqDate]]),2)</f>
        <v>36.999999999999993</v>
      </c>
      <c r="O612" s="8">
        <f t="array" ref="O612">INDEX(TechRate,MATCH(H612,TechNum,0))</f>
        <v>80</v>
      </c>
      <c r="P612" s="10">
        <f>WorkOrders27[[#This Row],[Techs]]*(WorkOrders27[[#This Row],[PartsCost]]*WorkOrders27[[#This Row],[LbrHrs]])</f>
        <v>120</v>
      </c>
      <c r="Q612" s="10">
        <f t="shared" si="54"/>
        <v>120</v>
      </c>
      <c r="R612" s="10">
        <f t="shared" si="55"/>
        <v>120</v>
      </c>
      <c r="S612" s="10">
        <f t="shared" si="56"/>
        <v>240</v>
      </c>
      <c r="T612" s="10">
        <f t="shared" si="57"/>
        <v>240</v>
      </c>
      <c r="U612" s="8" t="str">
        <f t="shared" si="58"/>
        <v>Mon</v>
      </c>
      <c r="V612" s="8" t="str">
        <f t="shared" si="58"/>
        <v>Wed</v>
      </c>
    </row>
    <row r="613" spans="1:22" x14ac:dyDescent="0.25">
      <c r="A613" t="s">
        <v>157</v>
      </c>
      <c r="B613" t="s">
        <v>35</v>
      </c>
      <c r="C613" t="s">
        <v>8</v>
      </c>
      <c r="D613" t="s">
        <v>12</v>
      </c>
      <c r="F613" s="5">
        <v>44124</v>
      </c>
      <c r="G613" s="5">
        <v>44134</v>
      </c>
      <c r="H613" s="2">
        <v>1</v>
      </c>
      <c r="I613" s="6"/>
      <c r="J613" s="6"/>
      <c r="K613" s="7">
        <v>0.25</v>
      </c>
      <c r="L613" s="7">
        <v>30</v>
      </c>
      <c r="M613" t="s">
        <v>17</v>
      </c>
      <c r="N613" s="16">
        <f>POWER(SQRT(WorkOrders27[[#This Row],[WorkDate]]-WorkOrders27[[#This Row],[ReqDate]]),2)</f>
        <v>10.000000000000002</v>
      </c>
      <c r="O613" s="8">
        <f t="array" ref="O613">INDEX(TechRate,MATCH(H613,TechNum,0))</f>
        <v>80</v>
      </c>
      <c r="P613" s="10">
        <f>WorkOrders27[[#This Row],[Techs]]*(WorkOrders27[[#This Row],[PartsCost]]*WorkOrders27[[#This Row],[LbrHrs]])</f>
        <v>7.5</v>
      </c>
      <c r="Q613" s="10">
        <f t="shared" si="54"/>
        <v>7.5</v>
      </c>
      <c r="R613" s="10">
        <f t="shared" si="55"/>
        <v>30</v>
      </c>
      <c r="S613" s="10">
        <f t="shared" si="56"/>
        <v>37.5</v>
      </c>
      <c r="T613" s="10">
        <f t="shared" si="57"/>
        <v>37.5</v>
      </c>
      <c r="U613" s="8" t="str">
        <f t="shared" si="58"/>
        <v>Tue</v>
      </c>
      <c r="V613" s="8" t="str">
        <f t="shared" si="58"/>
        <v>Fri</v>
      </c>
    </row>
    <row r="614" spans="1:22" x14ac:dyDescent="0.25">
      <c r="A614" t="s">
        <v>158</v>
      </c>
      <c r="B614" t="s">
        <v>34</v>
      </c>
      <c r="C614" t="s">
        <v>44</v>
      </c>
      <c r="D614" t="s">
        <v>11</v>
      </c>
      <c r="F614" s="5">
        <v>44124</v>
      </c>
      <c r="G614" s="5">
        <v>44159</v>
      </c>
      <c r="H614" s="2">
        <v>1</v>
      </c>
      <c r="I614" s="6"/>
      <c r="J614" s="6"/>
      <c r="K614" s="7">
        <v>0.25</v>
      </c>
      <c r="L614" s="7">
        <v>27.63</v>
      </c>
      <c r="M614" t="s">
        <v>17</v>
      </c>
      <c r="N614" s="16">
        <f>POWER(SQRT(WorkOrders27[[#This Row],[WorkDate]]-WorkOrders27[[#This Row],[ReqDate]]),2)</f>
        <v>35</v>
      </c>
      <c r="O614" s="8">
        <f t="array" ref="O614">INDEX(TechRate,MATCH(H614,TechNum,0))</f>
        <v>80</v>
      </c>
      <c r="P614" s="10">
        <f>WorkOrders27[[#This Row],[Techs]]*(WorkOrders27[[#This Row],[PartsCost]]*WorkOrders27[[#This Row],[LbrHrs]])</f>
        <v>6.9074999999999998</v>
      </c>
      <c r="Q614" s="10">
        <f t="shared" si="54"/>
        <v>6.9074999999999998</v>
      </c>
      <c r="R614" s="10">
        <f t="shared" si="55"/>
        <v>27.63</v>
      </c>
      <c r="S614" s="10">
        <f t="shared" si="56"/>
        <v>34.537500000000001</v>
      </c>
      <c r="T614" s="10">
        <f t="shared" si="57"/>
        <v>34.537500000000001</v>
      </c>
      <c r="U614" s="8" t="str">
        <f t="shared" si="58"/>
        <v>Tue</v>
      </c>
      <c r="V614" s="8" t="str">
        <f t="shared" si="58"/>
        <v>Tue</v>
      </c>
    </row>
    <row r="615" spans="1:22" x14ac:dyDescent="0.25">
      <c r="A615" t="s">
        <v>159</v>
      </c>
      <c r="B615" t="s">
        <v>34</v>
      </c>
      <c r="C615" t="s">
        <v>9</v>
      </c>
      <c r="D615" t="s">
        <v>12</v>
      </c>
      <c r="F615" s="5">
        <v>44125</v>
      </c>
      <c r="G615" s="5">
        <v>44141</v>
      </c>
      <c r="H615" s="2">
        <v>1</v>
      </c>
      <c r="I615" s="6"/>
      <c r="J615" s="6"/>
      <c r="K615" s="7">
        <v>0.25</v>
      </c>
      <c r="L615" s="7">
        <v>250.42240000000001</v>
      </c>
      <c r="M615" t="s">
        <v>17</v>
      </c>
      <c r="N615" s="16">
        <f>POWER(SQRT(WorkOrders27[[#This Row],[WorkDate]]-WorkOrders27[[#This Row],[ReqDate]]),2)</f>
        <v>16</v>
      </c>
      <c r="O615" s="8">
        <f t="array" ref="O615">INDEX(TechRate,MATCH(H615,TechNum,0))</f>
        <v>80</v>
      </c>
      <c r="P615" s="10">
        <f>WorkOrders27[[#This Row],[Techs]]*(WorkOrders27[[#This Row],[PartsCost]]*WorkOrders27[[#This Row],[LbrHrs]])</f>
        <v>62.605600000000003</v>
      </c>
      <c r="Q615" s="10">
        <f t="shared" si="54"/>
        <v>62.605600000000003</v>
      </c>
      <c r="R615" s="10">
        <f t="shared" si="55"/>
        <v>250.42240000000001</v>
      </c>
      <c r="S615" s="10">
        <f t="shared" si="56"/>
        <v>313.02800000000002</v>
      </c>
      <c r="T615" s="10">
        <f t="shared" si="57"/>
        <v>313.02800000000002</v>
      </c>
      <c r="U615" s="8" t="str">
        <f t="shared" si="58"/>
        <v>Wed</v>
      </c>
      <c r="V615" s="8" t="str">
        <f t="shared" si="58"/>
        <v>Fri</v>
      </c>
    </row>
    <row r="616" spans="1:22" x14ac:dyDescent="0.25">
      <c r="A616" t="s">
        <v>160</v>
      </c>
      <c r="B616" t="s">
        <v>35</v>
      </c>
      <c r="C616" t="s">
        <v>6</v>
      </c>
      <c r="D616" t="s">
        <v>12</v>
      </c>
      <c r="E616" t="s">
        <v>3</v>
      </c>
      <c r="F616" s="5">
        <v>44125</v>
      </c>
      <c r="G616" s="5">
        <v>44140</v>
      </c>
      <c r="H616" s="2">
        <v>2</v>
      </c>
      <c r="I616" s="6"/>
      <c r="J616" s="6"/>
      <c r="K616" s="7">
        <v>0.25</v>
      </c>
      <c r="L616" s="7">
        <v>38.698399999999999</v>
      </c>
      <c r="M616" t="s">
        <v>18</v>
      </c>
      <c r="N616" s="16">
        <f>POWER(SQRT(WorkOrders27[[#This Row],[WorkDate]]-WorkOrders27[[#This Row],[ReqDate]]),2)</f>
        <v>15.000000000000002</v>
      </c>
      <c r="O616" s="8">
        <f t="array" ref="O616">INDEX(TechRate,MATCH(H616,TechNum,0))</f>
        <v>140</v>
      </c>
      <c r="P616" s="10">
        <f>WorkOrders27[[#This Row],[Techs]]*(WorkOrders27[[#This Row],[PartsCost]]*WorkOrders27[[#This Row],[LbrHrs]])</f>
        <v>19.3492</v>
      </c>
      <c r="Q616" s="10">
        <f t="shared" si="54"/>
        <v>19.3492</v>
      </c>
      <c r="R616" s="10">
        <f t="shared" si="55"/>
        <v>38.698399999999999</v>
      </c>
      <c r="S616" s="10">
        <f t="shared" si="56"/>
        <v>58.047600000000003</v>
      </c>
      <c r="T616" s="10">
        <f t="shared" si="57"/>
        <v>58.047600000000003</v>
      </c>
      <c r="U616" s="8" t="str">
        <f t="shared" si="58"/>
        <v>Wed</v>
      </c>
      <c r="V616" s="8" t="str">
        <f t="shared" si="58"/>
        <v>Thu</v>
      </c>
    </row>
    <row r="617" spans="1:22" x14ac:dyDescent="0.25">
      <c r="A617" t="s">
        <v>161</v>
      </c>
      <c r="B617" t="s">
        <v>35</v>
      </c>
      <c r="C617" t="s">
        <v>44</v>
      </c>
      <c r="D617" t="s">
        <v>12</v>
      </c>
      <c r="E617" t="s">
        <v>3</v>
      </c>
      <c r="F617" s="5">
        <v>44125</v>
      </c>
      <c r="G617" s="5">
        <v>44145</v>
      </c>
      <c r="H617" s="2">
        <v>2</v>
      </c>
      <c r="I617" s="6"/>
      <c r="J617" s="6"/>
      <c r="K617" s="7">
        <v>0.25</v>
      </c>
      <c r="L617" s="7">
        <v>33</v>
      </c>
      <c r="M617" t="s">
        <v>17</v>
      </c>
      <c r="N617" s="16">
        <f>POWER(SQRT(WorkOrders27[[#This Row],[WorkDate]]-WorkOrders27[[#This Row],[ReqDate]]),2)</f>
        <v>20.000000000000004</v>
      </c>
      <c r="O617" s="8">
        <f t="array" ref="O617">INDEX(TechRate,MATCH(H617,TechNum,0))</f>
        <v>140</v>
      </c>
      <c r="P617" s="10">
        <f>WorkOrders27[[#This Row],[Techs]]*(WorkOrders27[[#This Row],[PartsCost]]*WorkOrders27[[#This Row],[LbrHrs]])</f>
        <v>16.5</v>
      </c>
      <c r="Q617" s="10">
        <f t="shared" si="54"/>
        <v>16.5</v>
      </c>
      <c r="R617" s="10">
        <f t="shared" si="55"/>
        <v>33</v>
      </c>
      <c r="S617" s="10">
        <f t="shared" si="56"/>
        <v>49.5</v>
      </c>
      <c r="T617" s="10">
        <f t="shared" si="57"/>
        <v>49.5</v>
      </c>
      <c r="U617" s="8" t="str">
        <f t="shared" si="58"/>
        <v>Wed</v>
      </c>
      <c r="V617" s="8" t="str">
        <f t="shared" si="58"/>
        <v>Tue</v>
      </c>
    </row>
    <row r="618" spans="1:22" x14ac:dyDescent="0.25">
      <c r="A618" t="s">
        <v>162</v>
      </c>
      <c r="B618" t="s">
        <v>38</v>
      </c>
      <c r="C618" t="s">
        <v>6</v>
      </c>
      <c r="D618" t="s">
        <v>12</v>
      </c>
      <c r="F618" s="5">
        <v>44125</v>
      </c>
      <c r="G618" s="5">
        <v>44145</v>
      </c>
      <c r="H618" s="2">
        <v>1</v>
      </c>
      <c r="I618" s="6"/>
      <c r="J618" s="6"/>
      <c r="K618" s="7">
        <v>0.75</v>
      </c>
      <c r="L618" s="7">
        <v>126</v>
      </c>
      <c r="M618" t="s">
        <v>19</v>
      </c>
      <c r="N618" s="16">
        <f>POWER(SQRT(WorkOrders27[[#This Row],[WorkDate]]-WorkOrders27[[#This Row],[ReqDate]]),2)</f>
        <v>20.000000000000004</v>
      </c>
      <c r="O618" s="8">
        <f t="array" ref="O618">INDEX(TechRate,MATCH(H618,TechNum,0))</f>
        <v>80</v>
      </c>
      <c r="P618" s="10">
        <f>WorkOrders27[[#This Row],[Techs]]*(WorkOrders27[[#This Row],[PartsCost]]*WorkOrders27[[#This Row],[LbrHrs]])</f>
        <v>94.5</v>
      </c>
      <c r="Q618" s="10">
        <f t="shared" si="54"/>
        <v>94.5</v>
      </c>
      <c r="R618" s="10">
        <f t="shared" si="55"/>
        <v>126</v>
      </c>
      <c r="S618" s="10">
        <f t="shared" si="56"/>
        <v>220.5</v>
      </c>
      <c r="T618" s="10">
        <f t="shared" si="57"/>
        <v>220.5</v>
      </c>
      <c r="U618" s="8" t="str">
        <f t="shared" si="58"/>
        <v>Wed</v>
      </c>
      <c r="V618" s="8" t="str">
        <f t="shared" si="58"/>
        <v>Tue</v>
      </c>
    </row>
    <row r="619" spans="1:22" x14ac:dyDescent="0.25">
      <c r="A619" t="s">
        <v>163</v>
      </c>
      <c r="B619" t="s">
        <v>34</v>
      </c>
      <c r="C619" t="s">
        <v>6</v>
      </c>
      <c r="D619" t="s">
        <v>1</v>
      </c>
      <c r="F619" s="5">
        <v>44125</v>
      </c>
      <c r="G619" s="5">
        <v>44221</v>
      </c>
      <c r="H619" s="2">
        <v>2</v>
      </c>
      <c r="I619" s="6"/>
      <c r="J619" s="6"/>
      <c r="K619" s="7">
        <v>8.25</v>
      </c>
      <c r="L619" s="7">
        <v>4946</v>
      </c>
      <c r="M619" t="s">
        <v>17</v>
      </c>
      <c r="N619" s="16">
        <f>POWER(SQRT(WorkOrders27[[#This Row],[WorkDate]]-WorkOrders27[[#This Row],[ReqDate]]),2)</f>
        <v>95.999999999999986</v>
      </c>
      <c r="O619" s="8">
        <f t="array" ref="O619">INDEX(TechRate,MATCH(H619,TechNum,0))</f>
        <v>140</v>
      </c>
      <c r="P619" s="10">
        <f>WorkOrders27[[#This Row],[Techs]]*(WorkOrders27[[#This Row],[PartsCost]]*WorkOrders27[[#This Row],[LbrHrs]])</f>
        <v>81609</v>
      </c>
      <c r="Q619" s="10">
        <f t="shared" si="54"/>
        <v>81609</v>
      </c>
      <c r="R619" s="10">
        <f t="shared" si="55"/>
        <v>4946</v>
      </c>
      <c r="S619" s="10">
        <f t="shared" si="56"/>
        <v>86555</v>
      </c>
      <c r="T619" s="10">
        <f t="shared" si="57"/>
        <v>86555</v>
      </c>
      <c r="U619" s="8" t="str">
        <f t="shared" si="58"/>
        <v>Wed</v>
      </c>
      <c r="V619" s="8" t="str">
        <f t="shared" si="58"/>
        <v>Mon</v>
      </c>
    </row>
    <row r="620" spans="1:22" x14ac:dyDescent="0.25">
      <c r="A620" t="s">
        <v>164</v>
      </c>
      <c r="B620" t="s">
        <v>39</v>
      </c>
      <c r="C620" t="s">
        <v>6</v>
      </c>
      <c r="D620" t="s">
        <v>13</v>
      </c>
      <c r="E620" t="s">
        <v>3</v>
      </c>
      <c r="F620" s="5">
        <v>44126</v>
      </c>
      <c r="G620" s="5">
        <v>44133</v>
      </c>
      <c r="H620" s="2">
        <v>1</v>
      </c>
      <c r="I620" s="6"/>
      <c r="J620" s="6"/>
      <c r="K620" s="7">
        <v>0.5</v>
      </c>
      <c r="L620" s="7">
        <v>33.544699999999999</v>
      </c>
      <c r="M620" t="s">
        <v>19</v>
      </c>
      <c r="N620" s="16">
        <f>POWER(SQRT(WorkOrders27[[#This Row],[WorkDate]]-WorkOrders27[[#This Row],[ReqDate]]),2)</f>
        <v>7.0000000000000009</v>
      </c>
      <c r="O620" s="8">
        <f t="array" ref="O620">INDEX(TechRate,MATCH(H620,TechNum,0))</f>
        <v>80</v>
      </c>
      <c r="P620" s="10">
        <f>WorkOrders27[[#This Row],[Techs]]*(WorkOrders27[[#This Row],[PartsCost]]*WorkOrders27[[#This Row],[LbrHrs]])</f>
        <v>16.772349999999999</v>
      </c>
      <c r="Q620" s="10">
        <f t="shared" si="54"/>
        <v>16.772349999999999</v>
      </c>
      <c r="R620" s="10">
        <f t="shared" si="55"/>
        <v>33.544699999999999</v>
      </c>
      <c r="S620" s="10">
        <f t="shared" si="56"/>
        <v>50.317049999999995</v>
      </c>
      <c r="T620" s="10">
        <f t="shared" si="57"/>
        <v>50.317049999999995</v>
      </c>
      <c r="U620" s="8" t="str">
        <f t="shared" si="58"/>
        <v>Thu</v>
      </c>
      <c r="V620" s="8" t="str">
        <f t="shared" si="58"/>
        <v>Thu</v>
      </c>
    </row>
    <row r="621" spans="1:22" x14ac:dyDescent="0.25">
      <c r="A621" t="s">
        <v>165</v>
      </c>
      <c r="B621" t="s">
        <v>34</v>
      </c>
      <c r="C621" t="s">
        <v>9</v>
      </c>
      <c r="D621" t="s">
        <v>12</v>
      </c>
      <c r="F621" s="5">
        <v>44128</v>
      </c>
      <c r="G621" s="5">
        <v>44141</v>
      </c>
      <c r="H621" s="2">
        <v>2</v>
      </c>
      <c r="I621" s="6"/>
      <c r="J621" s="6"/>
      <c r="K621" s="7">
        <v>0.25</v>
      </c>
      <c r="L621" s="7">
        <v>25</v>
      </c>
      <c r="M621" t="s">
        <v>17</v>
      </c>
      <c r="N621" s="16">
        <f>POWER(SQRT(WorkOrders27[[#This Row],[WorkDate]]-WorkOrders27[[#This Row],[ReqDate]]),2)</f>
        <v>12.999999999999998</v>
      </c>
      <c r="O621" s="8">
        <f t="array" ref="O621">INDEX(TechRate,MATCH(H621,TechNum,0))</f>
        <v>140</v>
      </c>
      <c r="P621" s="10">
        <f>WorkOrders27[[#This Row],[Techs]]*(WorkOrders27[[#This Row],[PartsCost]]*WorkOrders27[[#This Row],[LbrHrs]])</f>
        <v>12.5</v>
      </c>
      <c r="Q621" s="10">
        <f t="shared" si="54"/>
        <v>12.5</v>
      </c>
      <c r="R621" s="10">
        <f t="shared" si="55"/>
        <v>25</v>
      </c>
      <c r="S621" s="10">
        <f t="shared" si="56"/>
        <v>37.5</v>
      </c>
      <c r="T621" s="10">
        <f t="shared" si="57"/>
        <v>37.5</v>
      </c>
      <c r="U621" s="8" t="str">
        <f t="shared" si="58"/>
        <v>Sat</v>
      </c>
      <c r="V621" s="8" t="str">
        <f t="shared" si="58"/>
        <v>Fri</v>
      </c>
    </row>
    <row r="622" spans="1:22" x14ac:dyDescent="0.25">
      <c r="A622" t="s">
        <v>166</v>
      </c>
      <c r="B622" t="s">
        <v>38</v>
      </c>
      <c r="C622" t="s">
        <v>8</v>
      </c>
      <c r="D622" t="s">
        <v>12</v>
      </c>
      <c r="F622" s="5">
        <v>44128</v>
      </c>
      <c r="G622" s="5">
        <v>44159</v>
      </c>
      <c r="H622" s="2">
        <v>1</v>
      </c>
      <c r="I622" s="6"/>
      <c r="J622" s="6"/>
      <c r="K622" s="7">
        <v>0.5</v>
      </c>
      <c r="L622" s="7">
        <v>28.5868</v>
      </c>
      <c r="M622" t="s">
        <v>17</v>
      </c>
      <c r="N622" s="16">
        <f>POWER(SQRT(WorkOrders27[[#This Row],[WorkDate]]-WorkOrders27[[#This Row],[ReqDate]]),2)</f>
        <v>30.999999999999996</v>
      </c>
      <c r="O622" s="8">
        <f t="array" ref="O622">INDEX(TechRate,MATCH(H622,TechNum,0))</f>
        <v>80</v>
      </c>
      <c r="P622" s="10">
        <f>WorkOrders27[[#This Row],[Techs]]*(WorkOrders27[[#This Row],[PartsCost]]*WorkOrders27[[#This Row],[LbrHrs]])</f>
        <v>14.2934</v>
      </c>
      <c r="Q622" s="10">
        <f t="shared" si="54"/>
        <v>14.2934</v>
      </c>
      <c r="R622" s="10">
        <f t="shared" si="55"/>
        <v>28.5868</v>
      </c>
      <c r="S622" s="10">
        <f t="shared" si="56"/>
        <v>42.880200000000002</v>
      </c>
      <c r="T622" s="10">
        <f t="shared" si="57"/>
        <v>42.880200000000002</v>
      </c>
      <c r="U622" s="8" t="str">
        <f t="shared" si="58"/>
        <v>Sat</v>
      </c>
      <c r="V622" s="8" t="str">
        <f t="shared" si="58"/>
        <v>Tue</v>
      </c>
    </row>
    <row r="623" spans="1:22" x14ac:dyDescent="0.25">
      <c r="A623" t="s">
        <v>167</v>
      </c>
      <c r="B623" t="s">
        <v>38</v>
      </c>
      <c r="C623" t="s">
        <v>9</v>
      </c>
      <c r="D623" t="s">
        <v>13</v>
      </c>
      <c r="F623" s="5">
        <v>44128</v>
      </c>
      <c r="G623" s="5">
        <v>44179</v>
      </c>
      <c r="H623" s="2">
        <v>2</v>
      </c>
      <c r="I623" s="6"/>
      <c r="J623" s="6"/>
      <c r="K623" s="7">
        <v>2.5</v>
      </c>
      <c r="L623" s="7">
        <v>213.48050000000001</v>
      </c>
      <c r="M623" t="s">
        <v>17</v>
      </c>
      <c r="N623" s="16">
        <f>POWER(SQRT(WorkOrders27[[#This Row],[WorkDate]]-WorkOrders27[[#This Row],[ReqDate]]),2)</f>
        <v>51.000000000000007</v>
      </c>
      <c r="O623" s="8">
        <f t="array" ref="O623">INDEX(TechRate,MATCH(H623,TechNum,0))</f>
        <v>140</v>
      </c>
      <c r="P623" s="10">
        <f>WorkOrders27[[#This Row],[Techs]]*(WorkOrders27[[#This Row],[PartsCost]]*WorkOrders27[[#This Row],[LbrHrs]])</f>
        <v>1067.4025000000001</v>
      </c>
      <c r="Q623" s="10">
        <f t="shared" si="54"/>
        <v>1067.4025000000001</v>
      </c>
      <c r="R623" s="10">
        <f t="shared" si="55"/>
        <v>213.48050000000001</v>
      </c>
      <c r="S623" s="10">
        <f t="shared" si="56"/>
        <v>1280.8830000000003</v>
      </c>
      <c r="T623" s="10">
        <f t="shared" si="57"/>
        <v>1280.8830000000003</v>
      </c>
      <c r="U623" s="8" t="str">
        <f t="shared" si="58"/>
        <v>Sat</v>
      </c>
      <c r="V623" s="8" t="str">
        <f t="shared" si="58"/>
        <v>Mon</v>
      </c>
    </row>
    <row r="624" spans="1:22" x14ac:dyDescent="0.25">
      <c r="A624" t="s">
        <v>168</v>
      </c>
      <c r="B624" t="s">
        <v>38</v>
      </c>
      <c r="C624" t="s">
        <v>8</v>
      </c>
      <c r="D624" t="s">
        <v>12</v>
      </c>
      <c r="F624" s="5">
        <v>44130</v>
      </c>
      <c r="G624" s="5">
        <v>44131</v>
      </c>
      <c r="H624" s="2">
        <v>1</v>
      </c>
      <c r="I624" s="6"/>
      <c r="J624" s="6"/>
      <c r="K624" s="7">
        <v>0.5</v>
      </c>
      <c r="L624" s="7">
        <v>83.441299999999998</v>
      </c>
      <c r="M624" t="s">
        <v>17</v>
      </c>
      <c r="N624" s="16">
        <f>POWER(SQRT(WorkOrders27[[#This Row],[WorkDate]]-WorkOrders27[[#This Row],[ReqDate]]),2)</f>
        <v>1</v>
      </c>
      <c r="O624" s="8">
        <f t="array" ref="O624">INDEX(TechRate,MATCH(H624,TechNum,0))</f>
        <v>80</v>
      </c>
      <c r="P624" s="10">
        <f>WorkOrders27[[#This Row],[Techs]]*(WorkOrders27[[#This Row],[PartsCost]]*WorkOrders27[[#This Row],[LbrHrs]])</f>
        <v>41.720649999999999</v>
      </c>
      <c r="Q624" s="10">
        <f t="shared" si="54"/>
        <v>41.720649999999999</v>
      </c>
      <c r="R624" s="10">
        <f t="shared" si="55"/>
        <v>83.441299999999998</v>
      </c>
      <c r="S624" s="10">
        <f t="shared" si="56"/>
        <v>125.16194999999999</v>
      </c>
      <c r="T624" s="10">
        <f t="shared" si="57"/>
        <v>125.16194999999999</v>
      </c>
      <c r="U624" s="8" t="str">
        <f t="shared" si="58"/>
        <v>Mon</v>
      </c>
      <c r="V624" s="8" t="str">
        <f t="shared" si="58"/>
        <v>Tue</v>
      </c>
    </row>
    <row r="625" spans="1:22" x14ac:dyDescent="0.25">
      <c r="A625" t="s">
        <v>169</v>
      </c>
      <c r="B625" t="s">
        <v>39</v>
      </c>
      <c r="C625" t="s">
        <v>8</v>
      </c>
      <c r="D625" t="s">
        <v>2</v>
      </c>
      <c r="F625" s="5">
        <v>44130</v>
      </c>
      <c r="G625" s="5">
        <v>44152</v>
      </c>
      <c r="H625" s="2">
        <v>2</v>
      </c>
      <c r="I625" s="6"/>
      <c r="J625" s="6"/>
      <c r="K625" s="7">
        <v>1</v>
      </c>
      <c r="L625" s="7">
        <v>25</v>
      </c>
      <c r="M625" t="s">
        <v>18</v>
      </c>
      <c r="N625" s="16">
        <f>POWER(SQRT(WorkOrders27[[#This Row],[WorkDate]]-WorkOrders27[[#This Row],[ReqDate]]),2)</f>
        <v>22</v>
      </c>
      <c r="O625" s="8">
        <f t="array" ref="O625">INDEX(TechRate,MATCH(H625,TechNum,0))</f>
        <v>140</v>
      </c>
      <c r="P625" s="10">
        <f>WorkOrders27[[#This Row],[Techs]]*(WorkOrders27[[#This Row],[PartsCost]]*WorkOrders27[[#This Row],[LbrHrs]])</f>
        <v>50</v>
      </c>
      <c r="Q625" s="10">
        <f t="shared" si="54"/>
        <v>50</v>
      </c>
      <c r="R625" s="10">
        <f t="shared" si="55"/>
        <v>25</v>
      </c>
      <c r="S625" s="10">
        <f t="shared" si="56"/>
        <v>75</v>
      </c>
      <c r="T625" s="10">
        <f t="shared" si="57"/>
        <v>75</v>
      </c>
      <c r="U625" s="8" t="str">
        <f t="shared" si="58"/>
        <v>Mon</v>
      </c>
      <c r="V625" s="8" t="str">
        <f t="shared" si="58"/>
        <v>Tue</v>
      </c>
    </row>
    <row r="626" spans="1:22" x14ac:dyDescent="0.25">
      <c r="A626" t="s">
        <v>170</v>
      </c>
      <c r="B626" t="s">
        <v>37</v>
      </c>
      <c r="C626" t="s">
        <v>43</v>
      </c>
      <c r="D626" t="s">
        <v>12</v>
      </c>
      <c r="F626" s="5">
        <v>44131</v>
      </c>
      <c r="G626" s="5">
        <v>44152</v>
      </c>
      <c r="H626" s="2">
        <v>1</v>
      </c>
      <c r="I626" s="6"/>
      <c r="J626" s="6"/>
      <c r="K626" s="7">
        <v>0.25</v>
      </c>
      <c r="L626" s="7">
        <v>67.961500000000001</v>
      </c>
      <c r="M626" t="s">
        <v>17</v>
      </c>
      <c r="N626" s="16">
        <f>POWER(SQRT(WorkOrders27[[#This Row],[WorkDate]]-WorkOrders27[[#This Row],[ReqDate]]),2)</f>
        <v>21</v>
      </c>
      <c r="O626" s="8">
        <f t="array" ref="O626">INDEX(TechRate,MATCH(H626,TechNum,0))</f>
        <v>80</v>
      </c>
      <c r="P626" s="10">
        <f>WorkOrders27[[#This Row],[Techs]]*(WorkOrders27[[#This Row],[PartsCost]]*WorkOrders27[[#This Row],[LbrHrs]])</f>
        <v>16.990375</v>
      </c>
      <c r="Q626" s="10">
        <f t="shared" si="54"/>
        <v>16.990375</v>
      </c>
      <c r="R626" s="10">
        <f t="shared" si="55"/>
        <v>67.961500000000001</v>
      </c>
      <c r="S626" s="10">
        <f t="shared" si="56"/>
        <v>84.951875000000001</v>
      </c>
      <c r="T626" s="10">
        <f t="shared" si="57"/>
        <v>84.951875000000001</v>
      </c>
      <c r="U626" s="8" t="str">
        <f t="shared" si="58"/>
        <v>Tue</v>
      </c>
      <c r="V626" s="8" t="str">
        <f t="shared" si="58"/>
        <v>Tue</v>
      </c>
    </row>
    <row r="627" spans="1:22" x14ac:dyDescent="0.25">
      <c r="A627" t="s">
        <v>171</v>
      </c>
      <c r="B627" t="s">
        <v>38</v>
      </c>
      <c r="C627" t="s">
        <v>8</v>
      </c>
      <c r="D627" t="s">
        <v>13</v>
      </c>
      <c r="F627" s="5">
        <v>44131</v>
      </c>
      <c r="G627" s="5">
        <v>44181</v>
      </c>
      <c r="H627" s="2">
        <v>1</v>
      </c>
      <c r="I627" s="6"/>
      <c r="J627" s="6"/>
      <c r="K627" s="7">
        <v>0.5</v>
      </c>
      <c r="L627" s="7">
        <v>172.02</v>
      </c>
      <c r="M627" t="s">
        <v>19</v>
      </c>
      <c r="N627" s="16">
        <f>POWER(SQRT(WorkOrders27[[#This Row],[WorkDate]]-WorkOrders27[[#This Row],[ReqDate]]),2)</f>
        <v>50.000000000000007</v>
      </c>
      <c r="O627" s="8">
        <f t="array" ref="O627">INDEX(TechRate,MATCH(H627,TechNum,0))</f>
        <v>80</v>
      </c>
      <c r="P627" s="10">
        <f>WorkOrders27[[#This Row],[Techs]]*(WorkOrders27[[#This Row],[PartsCost]]*WorkOrders27[[#This Row],[LbrHrs]])</f>
        <v>86.01</v>
      </c>
      <c r="Q627" s="10">
        <f t="shared" si="54"/>
        <v>86.01</v>
      </c>
      <c r="R627" s="10">
        <f t="shared" si="55"/>
        <v>172.02</v>
      </c>
      <c r="S627" s="10">
        <f t="shared" si="56"/>
        <v>258.03000000000003</v>
      </c>
      <c r="T627" s="10">
        <f t="shared" si="57"/>
        <v>258.03000000000003</v>
      </c>
      <c r="U627" s="8" t="str">
        <f t="shared" si="58"/>
        <v>Tue</v>
      </c>
      <c r="V627" s="8" t="str">
        <f t="shared" si="58"/>
        <v>Wed</v>
      </c>
    </row>
    <row r="628" spans="1:22" x14ac:dyDescent="0.25">
      <c r="A628" t="s">
        <v>172</v>
      </c>
      <c r="B628" t="s">
        <v>37</v>
      </c>
      <c r="C628" t="s">
        <v>43</v>
      </c>
      <c r="D628" t="s">
        <v>12</v>
      </c>
      <c r="F628" s="5">
        <v>44131</v>
      </c>
      <c r="G628" s="5">
        <v>44212</v>
      </c>
      <c r="H628" s="2">
        <v>1</v>
      </c>
      <c r="I628" s="6"/>
      <c r="J628" s="6"/>
      <c r="K628" s="7">
        <v>0.5</v>
      </c>
      <c r="L628" s="7">
        <v>102.22320000000001</v>
      </c>
      <c r="M628" t="s">
        <v>19</v>
      </c>
      <c r="N628" s="16">
        <f>POWER(SQRT(WorkOrders27[[#This Row],[WorkDate]]-WorkOrders27[[#This Row],[ReqDate]]),2)</f>
        <v>81</v>
      </c>
      <c r="O628" s="8">
        <f t="array" ref="O628">INDEX(TechRate,MATCH(H628,TechNum,0))</f>
        <v>80</v>
      </c>
      <c r="P628" s="10">
        <f>WorkOrders27[[#This Row],[Techs]]*(WorkOrders27[[#This Row],[PartsCost]]*WorkOrders27[[#This Row],[LbrHrs]])</f>
        <v>51.111600000000003</v>
      </c>
      <c r="Q628" s="10">
        <f t="shared" si="54"/>
        <v>51.111600000000003</v>
      </c>
      <c r="R628" s="10">
        <f t="shared" si="55"/>
        <v>102.22320000000001</v>
      </c>
      <c r="S628" s="10">
        <f t="shared" si="56"/>
        <v>153.3348</v>
      </c>
      <c r="T628" s="10">
        <f t="shared" si="57"/>
        <v>153.3348</v>
      </c>
      <c r="U628" s="8" t="str">
        <f t="shared" si="58"/>
        <v>Tue</v>
      </c>
      <c r="V628" s="8" t="str">
        <f t="shared" si="58"/>
        <v>Sat</v>
      </c>
    </row>
    <row r="629" spans="1:22" x14ac:dyDescent="0.25">
      <c r="A629" t="s">
        <v>173</v>
      </c>
      <c r="B629" t="s">
        <v>37</v>
      </c>
      <c r="C629" t="s">
        <v>43</v>
      </c>
      <c r="D629" t="s">
        <v>13</v>
      </c>
      <c r="F629" s="5">
        <v>44132</v>
      </c>
      <c r="G629" s="5">
        <v>44165</v>
      </c>
      <c r="H629" s="2">
        <v>1</v>
      </c>
      <c r="I629" s="6"/>
      <c r="J629" s="6"/>
      <c r="K629" s="7">
        <v>0.5</v>
      </c>
      <c r="L629" s="7">
        <v>373.55279999999999</v>
      </c>
      <c r="M629" t="s">
        <v>17</v>
      </c>
      <c r="N629" s="16">
        <f>POWER(SQRT(WorkOrders27[[#This Row],[WorkDate]]-WorkOrders27[[#This Row],[ReqDate]]),2)</f>
        <v>33</v>
      </c>
      <c r="O629" s="8">
        <f t="array" ref="O629">INDEX(TechRate,MATCH(H629,TechNum,0))</f>
        <v>80</v>
      </c>
      <c r="P629" s="10">
        <f>WorkOrders27[[#This Row],[Techs]]*(WorkOrders27[[#This Row],[PartsCost]]*WorkOrders27[[#This Row],[LbrHrs]])</f>
        <v>186.7764</v>
      </c>
      <c r="Q629" s="10">
        <f t="shared" si="54"/>
        <v>186.7764</v>
      </c>
      <c r="R629" s="10">
        <f t="shared" si="55"/>
        <v>373.55279999999999</v>
      </c>
      <c r="S629" s="10">
        <f t="shared" si="56"/>
        <v>560.32920000000001</v>
      </c>
      <c r="T629" s="10">
        <f t="shared" si="57"/>
        <v>560.32920000000001</v>
      </c>
      <c r="U629" s="8" t="str">
        <f t="shared" si="58"/>
        <v>Wed</v>
      </c>
      <c r="V629" s="8" t="str">
        <f t="shared" si="58"/>
        <v>Mon</v>
      </c>
    </row>
    <row r="630" spans="1:22" x14ac:dyDescent="0.25">
      <c r="A630" t="s">
        <v>174</v>
      </c>
      <c r="B630" t="s">
        <v>37</v>
      </c>
      <c r="C630" t="s">
        <v>43</v>
      </c>
      <c r="D630" t="s">
        <v>1</v>
      </c>
      <c r="F630" s="5">
        <v>44132</v>
      </c>
      <c r="G630" s="5">
        <v>44166</v>
      </c>
      <c r="H630" s="2">
        <v>3</v>
      </c>
      <c r="I630" s="6"/>
      <c r="J630" s="6"/>
      <c r="K630" s="7">
        <v>2.75</v>
      </c>
      <c r="L630" s="7">
        <v>1249.0878</v>
      </c>
      <c r="M630" t="s">
        <v>17</v>
      </c>
      <c r="N630" s="16">
        <f>POWER(SQRT(WorkOrders27[[#This Row],[WorkDate]]-WorkOrders27[[#This Row],[ReqDate]]),2)</f>
        <v>34</v>
      </c>
      <c r="O630" s="8">
        <f t="array" ref="O630">INDEX(TechRate,MATCH(H630,TechNum,0))</f>
        <v>195</v>
      </c>
      <c r="P630" s="10">
        <f>WorkOrders27[[#This Row],[Techs]]*(WorkOrders27[[#This Row],[PartsCost]]*WorkOrders27[[#This Row],[LbrHrs]])</f>
        <v>10304.97435</v>
      </c>
      <c r="Q630" s="10">
        <f t="shared" si="54"/>
        <v>10304.97435</v>
      </c>
      <c r="R630" s="10">
        <f t="shared" si="55"/>
        <v>1249.0878</v>
      </c>
      <c r="S630" s="10">
        <f t="shared" si="56"/>
        <v>11554.06215</v>
      </c>
      <c r="T630" s="10">
        <f t="shared" si="57"/>
        <v>11554.06215</v>
      </c>
      <c r="U630" s="8" t="str">
        <f t="shared" si="58"/>
        <v>Wed</v>
      </c>
      <c r="V630" s="8" t="str">
        <f t="shared" si="58"/>
        <v>Tue</v>
      </c>
    </row>
    <row r="631" spans="1:22" x14ac:dyDescent="0.25">
      <c r="A631" t="s">
        <v>175</v>
      </c>
      <c r="B631" t="s">
        <v>35</v>
      </c>
      <c r="C631" t="s">
        <v>8</v>
      </c>
      <c r="D631" t="s">
        <v>11</v>
      </c>
      <c r="F631" s="5">
        <v>44133</v>
      </c>
      <c r="G631" s="5">
        <v>44141</v>
      </c>
      <c r="H631" s="2">
        <v>1</v>
      </c>
      <c r="I631" s="6"/>
      <c r="J631" s="6"/>
      <c r="K631" s="7">
        <v>0.25</v>
      </c>
      <c r="L631" s="7">
        <v>240</v>
      </c>
      <c r="M631" t="s">
        <v>17</v>
      </c>
      <c r="N631" s="16">
        <f>POWER(SQRT(WorkOrders27[[#This Row],[WorkDate]]-WorkOrders27[[#This Row],[ReqDate]]),2)</f>
        <v>8.0000000000000018</v>
      </c>
      <c r="O631" s="8">
        <f t="array" ref="O631">INDEX(TechRate,MATCH(H631,TechNum,0))</f>
        <v>80</v>
      </c>
      <c r="P631" s="10">
        <f>WorkOrders27[[#This Row],[Techs]]*(WorkOrders27[[#This Row],[PartsCost]]*WorkOrders27[[#This Row],[LbrHrs]])</f>
        <v>60</v>
      </c>
      <c r="Q631" s="10">
        <f t="shared" ref="Q631:Q694" si="59">IF(I631="Yes",0,P631)</f>
        <v>60</v>
      </c>
      <c r="R631" s="10">
        <f t="shared" ref="R631:R694" si="60">IF(J631="Yes",0,L631)</f>
        <v>240</v>
      </c>
      <c r="S631" s="10">
        <f t="shared" ref="S631:S694" si="61">SUM(L631,P631)</f>
        <v>300</v>
      </c>
      <c r="T631" s="10">
        <f t="shared" ref="T631:T694" si="62">SUM(Q631,R631)</f>
        <v>300</v>
      </c>
      <c r="U631" s="8" t="str">
        <f t="shared" si="58"/>
        <v>Thu</v>
      </c>
      <c r="V631" s="8" t="str">
        <f t="shared" si="58"/>
        <v>Fri</v>
      </c>
    </row>
    <row r="632" spans="1:22" x14ac:dyDescent="0.25">
      <c r="A632" t="s">
        <v>176</v>
      </c>
      <c r="B632" t="s">
        <v>35</v>
      </c>
      <c r="C632" t="s">
        <v>44</v>
      </c>
      <c r="D632" t="s">
        <v>11</v>
      </c>
      <c r="F632" s="5">
        <v>44133</v>
      </c>
      <c r="G632" s="5">
        <v>44153</v>
      </c>
      <c r="H632" s="2">
        <v>1</v>
      </c>
      <c r="I632" s="6"/>
      <c r="J632" s="6"/>
      <c r="K632" s="7">
        <v>0.25</v>
      </c>
      <c r="L632" s="7">
        <v>27</v>
      </c>
      <c r="M632" t="s">
        <v>18</v>
      </c>
      <c r="N632" s="16">
        <f>POWER(SQRT(WorkOrders27[[#This Row],[WorkDate]]-WorkOrders27[[#This Row],[ReqDate]]),2)</f>
        <v>20.000000000000004</v>
      </c>
      <c r="O632" s="8">
        <f t="array" ref="O632">INDEX(TechRate,MATCH(H632,TechNum,0))</f>
        <v>80</v>
      </c>
      <c r="P632" s="10">
        <f>WorkOrders27[[#This Row],[Techs]]*(WorkOrders27[[#This Row],[PartsCost]]*WorkOrders27[[#This Row],[LbrHrs]])</f>
        <v>6.75</v>
      </c>
      <c r="Q632" s="10">
        <f t="shared" si="59"/>
        <v>6.75</v>
      </c>
      <c r="R632" s="10">
        <f t="shared" si="60"/>
        <v>27</v>
      </c>
      <c r="S632" s="10">
        <f t="shared" si="61"/>
        <v>33.75</v>
      </c>
      <c r="T632" s="10">
        <f t="shared" si="62"/>
        <v>33.75</v>
      </c>
      <c r="U632" s="8" t="str">
        <f t="shared" si="58"/>
        <v>Thu</v>
      </c>
      <c r="V632" s="8" t="str">
        <f t="shared" si="58"/>
        <v>Wed</v>
      </c>
    </row>
    <row r="633" spans="1:22" x14ac:dyDescent="0.25">
      <c r="A633" t="s">
        <v>177</v>
      </c>
      <c r="B633" t="s">
        <v>38</v>
      </c>
      <c r="C633" t="s">
        <v>8</v>
      </c>
      <c r="D633" t="s">
        <v>13</v>
      </c>
      <c r="F633" s="5">
        <v>44137</v>
      </c>
      <c r="G633" s="5">
        <v>44139</v>
      </c>
      <c r="H633" s="2">
        <v>2</v>
      </c>
      <c r="I633" s="6"/>
      <c r="J633" s="6"/>
      <c r="K633" s="7">
        <v>1</v>
      </c>
      <c r="L633" s="7">
        <v>228.6335</v>
      </c>
      <c r="M633" t="s">
        <v>18</v>
      </c>
      <c r="N633" s="16">
        <f>POWER(SQRT(WorkOrders27[[#This Row],[WorkDate]]-WorkOrders27[[#This Row],[ReqDate]]),2)</f>
        <v>2.0000000000000004</v>
      </c>
      <c r="O633" s="8">
        <f t="array" ref="O633">INDEX(TechRate,MATCH(H633,TechNum,0))</f>
        <v>140</v>
      </c>
      <c r="P633" s="10">
        <f>WorkOrders27[[#This Row],[Techs]]*(WorkOrders27[[#This Row],[PartsCost]]*WorkOrders27[[#This Row],[LbrHrs]])</f>
        <v>457.267</v>
      </c>
      <c r="Q633" s="10">
        <f t="shared" si="59"/>
        <v>457.267</v>
      </c>
      <c r="R633" s="10">
        <f t="shared" si="60"/>
        <v>228.6335</v>
      </c>
      <c r="S633" s="10">
        <f t="shared" si="61"/>
        <v>685.90049999999997</v>
      </c>
      <c r="T633" s="10">
        <f t="shared" si="62"/>
        <v>685.90049999999997</v>
      </c>
      <c r="U633" s="8" t="str">
        <f t="shared" si="58"/>
        <v>Mon</v>
      </c>
      <c r="V633" s="8" t="str">
        <f t="shared" si="58"/>
        <v>Wed</v>
      </c>
    </row>
    <row r="634" spans="1:22" x14ac:dyDescent="0.25">
      <c r="A634" t="s">
        <v>178</v>
      </c>
      <c r="B634" t="s">
        <v>38</v>
      </c>
      <c r="C634" t="s">
        <v>6</v>
      </c>
      <c r="D634" t="s">
        <v>12</v>
      </c>
      <c r="F634" s="5">
        <v>44137</v>
      </c>
      <c r="G634" s="5">
        <v>44160</v>
      </c>
      <c r="H634" s="2">
        <v>1</v>
      </c>
      <c r="I634" s="6"/>
      <c r="J634" s="6"/>
      <c r="K634" s="7">
        <v>0.5</v>
      </c>
      <c r="L634" s="7">
        <v>26.582599999999999</v>
      </c>
      <c r="M634" t="s">
        <v>17</v>
      </c>
      <c r="N634" s="16">
        <f>POWER(SQRT(WorkOrders27[[#This Row],[WorkDate]]-WorkOrders27[[#This Row],[ReqDate]]),2)</f>
        <v>22.999999999999996</v>
      </c>
      <c r="O634" s="8">
        <f t="array" ref="O634">INDEX(TechRate,MATCH(H634,TechNum,0))</f>
        <v>80</v>
      </c>
      <c r="P634" s="10">
        <f>WorkOrders27[[#This Row],[Techs]]*(WorkOrders27[[#This Row],[PartsCost]]*WorkOrders27[[#This Row],[LbrHrs]])</f>
        <v>13.2913</v>
      </c>
      <c r="Q634" s="10">
        <f t="shared" si="59"/>
        <v>13.2913</v>
      </c>
      <c r="R634" s="10">
        <f t="shared" si="60"/>
        <v>26.582599999999999</v>
      </c>
      <c r="S634" s="10">
        <f t="shared" si="61"/>
        <v>39.873899999999999</v>
      </c>
      <c r="T634" s="10">
        <f t="shared" si="62"/>
        <v>39.873899999999999</v>
      </c>
      <c r="U634" s="8" t="str">
        <f t="shared" si="58"/>
        <v>Mon</v>
      </c>
      <c r="V634" s="8" t="str">
        <f t="shared" si="58"/>
        <v>Wed</v>
      </c>
    </row>
    <row r="635" spans="1:22" x14ac:dyDescent="0.25">
      <c r="A635" t="s">
        <v>179</v>
      </c>
      <c r="B635" t="s">
        <v>36</v>
      </c>
      <c r="C635" t="s">
        <v>6</v>
      </c>
      <c r="D635" t="s">
        <v>13</v>
      </c>
      <c r="F635" s="5">
        <v>44137</v>
      </c>
      <c r="G635" s="5">
        <v>44172</v>
      </c>
      <c r="H635" s="2">
        <v>2</v>
      </c>
      <c r="I635" s="6"/>
      <c r="J635" s="6"/>
      <c r="K635" s="7">
        <v>0.75</v>
      </c>
      <c r="L635" s="7">
        <v>5.71</v>
      </c>
      <c r="M635" t="s">
        <v>17</v>
      </c>
      <c r="N635" s="16">
        <f>POWER(SQRT(WorkOrders27[[#This Row],[WorkDate]]-WorkOrders27[[#This Row],[ReqDate]]),2)</f>
        <v>35</v>
      </c>
      <c r="O635" s="8">
        <f t="array" ref="O635">INDEX(TechRate,MATCH(H635,TechNum,0))</f>
        <v>140</v>
      </c>
      <c r="P635" s="10">
        <f>WorkOrders27[[#This Row],[Techs]]*(WorkOrders27[[#This Row],[PartsCost]]*WorkOrders27[[#This Row],[LbrHrs]])</f>
        <v>8.5649999999999995</v>
      </c>
      <c r="Q635" s="10">
        <f t="shared" si="59"/>
        <v>8.5649999999999995</v>
      </c>
      <c r="R635" s="10">
        <f t="shared" si="60"/>
        <v>5.71</v>
      </c>
      <c r="S635" s="10">
        <f t="shared" si="61"/>
        <v>14.274999999999999</v>
      </c>
      <c r="T635" s="10">
        <f t="shared" si="62"/>
        <v>14.274999999999999</v>
      </c>
      <c r="U635" s="8" t="str">
        <f t="shared" si="58"/>
        <v>Mon</v>
      </c>
      <c r="V635" s="8" t="str">
        <f t="shared" si="58"/>
        <v>Mon</v>
      </c>
    </row>
    <row r="636" spans="1:22" x14ac:dyDescent="0.25">
      <c r="A636" t="s">
        <v>180</v>
      </c>
      <c r="B636" t="s">
        <v>34</v>
      </c>
      <c r="C636" t="s">
        <v>6</v>
      </c>
      <c r="D636" t="s">
        <v>13</v>
      </c>
      <c r="F636" s="5">
        <v>44137</v>
      </c>
      <c r="G636" s="5">
        <v>44207</v>
      </c>
      <c r="H636" s="2">
        <v>2</v>
      </c>
      <c r="I636" s="6"/>
      <c r="J636" s="6"/>
      <c r="K636" s="7">
        <v>0.5</v>
      </c>
      <c r="L636" s="7">
        <v>263.0523</v>
      </c>
      <c r="M636" t="s">
        <v>18</v>
      </c>
      <c r="N636" s="16">
        <f>POWER(SQRT(WorkOrders27[[#This Row],[WorkDate]]-WorkOrders27[[#This Row],[ReqDate]]),2)</f>
        <v>70</v>
      </c>
      <c r="O636" s="8">
        <f t="array" ref="O636">INDEX(TechRate,MATCH(H636,TechNum,0))</f>
        <v>140</v>
      </c>
      <c r="P636" s="10">
        <f>WorkOrders27[[#This Row],[Techs]]*(WorkOrders27[[#This Row],[PartsCost]]*WorkOrders27[[#This Row],[LbrHrs]])</f>
        <v>263.0523</v>
      </c>
      <c r="Q636" s="10">
        <f t="shared" si="59"/>
        <v>263.0523</v>
      </c>
      <c r="R636" s="10">
        <f t="shared" si="60"/>
        <v>263.0523</v>
      </c>
      <c r="S636" s="10">
        <f t="shared" si="61"/>
        <v>526.1046</v>
      </c>
      <c r="T636" s="10">
        <f t="shared" si="62"/>
        <v>526.1046</v>
      </c>
      <c r="U636" s="8" t="str">
        <f t="shared" si="58"/>
        <v>Mon</v>
      </c>
      <c r="V636" s="8" t="str">
        <f t="shared" si="58"/>
        <v>Mon</v>
      </c>
    </row>
    <row r="637" spans="1:22" x14ac:dyDescent="0.25">
      <c r="A637" t="s">
        <v>181</v>
      </c>
      <c r="B637" t="s">
        <v>39</v>
      </c>
      <c r="C637" t="s">
        <v>44</v>
      </c>
      <c r="D637" t="s">
        <v>13</v>
      </c>
      <c r="F637" s="5">
        <v>44137</v>
      </c>
      <c r="G637" s="5">
        <v>44301</v>
      </c>
      <c r="H637" s="2">
        <v>2</v>
      </c>
      <c r="I637" s="6"/>
      <c r="J637" s="6"/>
      <c r="K637" s="7">
        <v>1.75</v>
      </c>
      <c r="L637" s="7">
        <v>8.25</v>
      </c>
      <c r="M637" t="s">
        <v>17</v>
      </c>
      <c r="N637" s="16">
        <f>POWER(SQRT(WorkOrders27[[#This Row],[WorkDate]]-WorkOrders27[[#This Row],[ReqDate]]),2)</f>
        <v>164</v>
      </c>
      <c r="O637" s="8">
        <f t="array" ref="O637">INDEX(TechRate,MATCH(H637,TechNum,0))</f>
        <v>140</v>
      </c>
      <c r="P637" s="10">
        <f>WorkOrders27[[#This Row],[Techs]]*(WorkOrders27[[#This Row],[PartsCost]]*WorkOrders27[[#This Row],[LbrHrs]])</f>
        <v>28.875</v>
      </c>
      <c r="Q637" s="10">
        <f t="shared" si="59"/>
        <v>28.875</v>
      </c>
      <c r="R637" s="10">
        <f t="shared" si="60"/>
        <v>8.25</v>
      </c>
      <c r="S637" s="10">
        <f t="shared" si="61"/>
        <v>37.125</v>
      </c>
      <c r="T637" s="10">
        <f t="shared" si="62"/>
        <v>37.125</v>
      </c>
      <c r="U637" s="8" t="str">
        <f t="shared" si="58"/>
        <v>Mon</v>
      </c>
      <c r="V637" s="8" t="str">
        <f t="shared" si="58"/>
        <v>Thu</v>
      </c>
    </row>
    <row r="638" spans="1:22" x14ac:dyDescent="0.25">
      <c r="A638" t="s">
        <v>182</v>
      </c>
      <c r="B638" t="s">
        <v>39</v>
      </c>
      <c r="C638" t="s">
        <v>8</v>
      </c>
      <c r="D638" t="s">
        <v>13</v>
      </c>
      <c r="F638" s="5">
        <v>44138</v>
      </c>
      <c r="G638" s="5">
        <v>44165</v>
      </c>
      <c r="H638" s="2">
        <v>1</v>
      </c>
      <c r="I638" s="6"/>
      <c r="J638" s="6"/>
      <c r="K638" s="7">
        <v>0.5</v>
      </c>
      <c r="L638" s="7">
        <v>15.63</v>
      </c>
      <c r="M638" t="s">
        <v>17</v>
      </c>
      <c r="N638" s="16">
        <f>POWER(SQRT(WorkOrders27[[#This Row],[WorkDate]]-WorkOrders27[[#This Row],[ReqDate]]),2)</f>
        <v>27</v>
      </c>
      <c r="O638" s="8">
        <f t="array" ref="O638">INDEX(TechRate,MATCH(H638,TechNum,0))</f>
        <v>80</v>
      </c>
      <c r="P638" s="10">
        <f>WorkOrders27[[#This Row],[Techs]]*(WorkOrders27[[#This Row],[PartsCost]]*WorkOrders27[[#This Row],[LbrHrs]])</f>
        <v>7.8150000000000004</v>
      </c>
      <c r="Q638" s="10">
        <f t="shared" si="59"/>
        <v>7.8150000000000004</v>
      </c>
      <c r="R638" s="10">
        <f t="shared" si="60"/>
        <v>15.63</v>
      </c>
      <c r="S638" s="10">
        <f t="shared" si="61"/>
        <v>23.445</v>
      </c>
      <c r="T638" s="10">
        <f t="shared" si="62"/>
        <v>23.445</v>
      </c>
      <c r="U638" s="8" t="str">
        <f t="shared" si="58"/>
        <v>Tue</v>
      </c>
      <c r="V638" s="8" t="str">
        <f t="shared" si="58"/>
        <v>Mon</v>
      </c>
    </row>
    <row r="639" spans="1:22" x14ac:dyDescent="0.25">
      <c r="A639" t="s">
        <v>183</v>
      </c>
      <c r="B639" t="s">
        <v>34</v>
      </c>
      <c r="C639" t="s">
        <v>6</v>
      </c>
      <c r="D639" t="s">
        <v>13</v>
      </c>
      <c r="F639" s="5">
        <v>44138</v>
      </c>
      <c r="G639" s="5">
        <v>44167</v>
      </c>
      <c r="H639" s="2">
        <v>1</v>
      </c>
      <c r="I639" s="6"/>
      <c r="J639" s="6"/>
      <c r="K639" s="7">
        <v>0.5</v>
      </c>
      <c r="L639" s="7">
        <v>15.63</v>
      </c>
      <c r="M639" t="s">
        <v>17</v>
      </c>
      <c r="N639" s="16">
        <f>POWER(SQRT(WorkOrders27[[#This Row],[WorkDate]]-WorkOrders27[[#This Row],[ReqDate]]),2)</f>
        <v>28.999999999999996</v>
      </c>
      <c r="O639" s="8">
        <f t="array" ref="O639">INDEX(TechRate,MATCH(H639,TechNum,0))</f>
        <v>80</v>
      </c>
      <c r="P639" s="10">
        <f>WorkOrders27[[#This Row],[Techs]]*(WorkOrders27[[#This Row],[PartsCost]]*WorkOrders27[[#This Row],[LbrHrs]])</f>
        <v>7.8150000000000004</v>
      </c>
      <c r="Q639" s="10">
        <f t="shared" si="59"/>
        <v>7.8150000000000004</v>
      </c>
      <c r="R639" s="10">
        <f t="shared" si="60"/>
        <v>15.63</v>
      </c>
      <c r="S639" s="10">
        <f t="shared" si="61"/>
        <v>23.445</v>
      </c>
      <c r="T639" s="10">
        <f t="shared" si="62"/>
        <v>23.445</v>
      </c>
      <c r="U639" s="8" t="str">
        <f t="shared" si="58"/>
        <v>Tue</v>
      </c>
      <c r="V639" s="8" t="str">
        <f t="shared" si="58"/>
        <v>Wed</v>
      </c>
    </row>
    <row r="640" spans="1:22" x14ac:dyDescent="0.25">
      <c r="A640" t="s">
        <v>184</v>
      </c>
      <c r="B640" t="s">
        <v>39</v>
      </c>
      <c r="C640" t="s">
        <v>9</v>
      </c>
      <c r="D640" t="s">
        <v>12</v>
      </c>
      <c r="F640" s="5">
        <v>44138</v>
      </c>
      <c r="G640" s="5">
        <v>44173</v>
      </c>
      <c r="H640" s="2">
        <v>1</v>
      </c>
      <c r="I640" s="6"/>
      <c r="J640" s="6"/>
      <c r="K640" s="7">
        <v>0.75</v>
      </c>
      <c r="L640" s="7">
        <v>28.5</v>
      </c>
      <c r="M640" t="s">
        <v>18</v>
      </c>
      <c r="N640" s="16">
        <f>POWER(SQRT(WorkOrders27[[#This Row],[WorkDate]]-WorkOrders27[[#This Row],[ReqDate]]),2)</f>
        <v>35</v>
      </c>
      <c r="O640" s="8">
        <f t="array" ref="O640">INDEX(TechRate,MATCH(H640,TechNum,0))</f>
        <v>80</v>
      </c>
      <c r="P640" s="10">
        <f>WorkOrders27[[#This Row],[Techs]]*(WorkOrders27[[#This Row],[PartsCost]]*WorkOrders27[[#This Row],[LbrHrs]])</f>
        <v>21.375</v>
      </c>
      <c r="Q640" s="10">
        <f t="shared" si="59"/>
        <v>21.375</v>
      </c>
      <c r="R640" s="10">
        <f t="shared" si="60"/>
        <v>28.5</v>
      </c>
      <c r="S640" s="10">
        <f t="shared" si="61"/>
        <v>49.875</v>
      </c>
      <c r="T640" s="10">
        <f t="shared" si="62"/>
        <v>49.875</v>
      </c>
      <c r="U640" s="8" t="str">
        <f t="shared" si="58"/>
        <v>Tue</v>
      </c>
      <c r="V640" s="8" t="str">
        <f t="shared" si="58"/>
        <v>Tue</v>
      </c>
    </row>
    <row r="641" spans="1:22" x14ac:dyDescent="0.25">
      <c r="A641" t="s">
        <v>185</v>
      </c>
      <c r="B641" t="s">
        <v>38</v>
      </c>
      <c r="C641" t="s">
        <v>8</v>
      </c>
      <c r="D641" t="s">
        <v>13</v>
      </c>
      <c r="F641" s="5">
        <v>44139</v>
      </c>
      <c r="G641" s="5">
        <v>44144</v>
      </c>
      <c r="H641" s="2">
        <v>1</v>
      </c>
      <c r="I641" s="6"/>
      <c r="J641" s="6"/>
      <c r="K641" s="7">
        <v>0.5</v>
      </c>
      <c r="L641" s="7">
        <v>748.44</v>
      </c>
      <c r="M641" t="s">
        <v>17</v>
      </c>
      <c r="N641" s="16">
        <f>POWER(SQRT(WorkOrders27[[#This Row],[WorkDate]]-WorkOrders27[[#This Row],[ReqDate]]),2)</f>
        <v>5.0000000000000009</v>
      </c>
      <c r="O641" s="8">
        <f t="array" ref="O641">INDEX(TechRate,MATCH(H641,TechNum,0))</f>
        <v>80</v>
      </c>
      <c r="P641" s="10">
        <f>WorkOrders27[[#This Row],[Techs]]*(WorkOrders27[[#This Row],[PartsCost]]*WorkOrders27[[#This Row],[LbrHrs]])</f>
        <v>374.22</v>
      </c>
      <c r="Q641" s="10">
        <f t="shared" si="59"/>
        <v>374.22</v>
      </c>
      <c r="R641" s="10">
        <f t="shared" si="60"/>
        <v>748.44</v>
      </c>
      <c r="S641" s="10">
        <f t="shared" si="61"/>
        <v>1122.6600000000001</v>
      </c>
      <c r="T641" s="10">
        <f t="shared" si="62"/>
        <v>1122.6600000000001</v>
      </c>
      <c r="U641" s="8" t="str">
        <f t="shared" si="58"/>
        <v>Wed</v>
      </c>
      <c r="V641" s="8" t="str">
        <f t="shared" si="58"/>
        <v>Mon</v>
      </c>
    </row>
    <row r="642" spans="1:22" x14ac:dyDescent="0.25">
      <c r="A642" t="s">
        <v>186</v>
      </c>
      <c r="B642" t="s">
        <v>38</v>
      </c>
      <c r="C642" t="s">
        <v>6</v>
      </c>
      <c r="D642" t="s">
        <v>1</v>
      </c>
      <c r="F642" s="5">
        <v>44139</v>
      </c>
      <c r="G642" s="5">
        <v>44152</v>
      </c>
      <c r="H642" s="2">
        <v>1</v>
      </c>
      <c r="I642" s="6"/>
      <c r="J642" s="6"/>
      <c r="K642" s="7">
        <v>1</v>
      </c>
      <c r="L642" s="7">
        <v>86.356300000000005</v>
      </c>
      <c r="M642" t="s">
        <v>19</v>
      </c>
      <c r="N642" s="16">
        <f>POWER(SQRT(WorkOrders27[[#This Row],[WorkDate]]-WorkOrders27[[#This Row],[ReqDate]]),2)</f>
        <v>12.999999999999998</v>
      </c>
      <c r="O642" s="8">
        <f t="array" ref="O642">INDEX(TechRate,MATCH(H642,TechNum,0))</f>
        <v>80</v>
      </c>
      <c r="P642" s="10">
        <f>WorkOrders27[[#This Row],[Techs]]*(WorkOrders27[[#This Row],[PartsCost]]*WorkOrders27[[#This Row],[LbrHrs]])</f>
        <v>86.356300000000005</v>
      </c>
      <c r="Q642" s="10">
        <f t="shared" si="59"/>
        <v>86.356300000000005</v>
      </c>
      <c r="R642" s="10">
        <f t="shared" si="60"/>
        <v>86.356300000000005</v>
      </c>
      <c r="S642" s="10">
        <f t="shared" si="61"/>
        <v>172.71260000000001</v>
      </c>
      <c r="T642" s="10">
        <f t="shared" si="62"/>
        <v>172.71260000000001</v>
      </c>
      <c r="U642" s="8" t="str">
        <f t="shared" si="58"/>
        <v>Wed</v>
      </c>
      <c r="V642" s="8" t="str">
        <f t="shared" si="58"/>
        <v>Tue</v>
      </c>
    </row>
    <row r="643" spans="1:22" x14ac:dyDescent="0.25">
      <c r="A643" t="s">
        <v>187</v>
      </c>
      <c r="B643" t="s">
        <v>36</v>
      </c>
      <c r="C643" t="s">
        <v>44</v>
      </c>
      <c r="D643" t="s">
        <v>11</v>
      </c>
      <c r="F643" s="5">
        <v>44139</v>
      </c>
      <c r="G643" s="5">
        <v>44152</v>
      </c>
      <c r="H643" s="2">
        <v>1</v>
      </c>
      <c r="I643" s="6"/>
      <c r="J643" s="6"/>
      <c r="K643" s="7">
        <v>0.25</v>
      </c>
      <c r="L643" s="7">
        <v>107.99550000000001</v>
      </c>
      <c r="M643" t="s">
        <v>19</v>
      </c>
      <c r="N643" s="16">
        <f>POWER(SQRT(WorkOrders27[[#This Row],[WorkDate]]-WorkOrders27[[#This Row],[ReqDate]]),2)</f>
        <v>12.999999999999998</v>
      </c>
      <c r="O643" s="8">
        <f t="array" ref="O643">INDEX(TechRate,MATCH(H643,TechNum,0))</f>
        <v>80</v>
      </c>
      <c r="P643" s="10">
        <f>WorkOrders27[[#This Row],[Techs]]*(WorkOrders27[[#This Row],[PartsCost]]*WorkOrders27[[#This Row],[LbrHrs]])</f>
        <v>26.998875000000002</v>
      </c>
      <c r="Q643" s="10">
        <f t="shared" si="59"/>
        <v>26.998875000000002</v>
      </c>
      <c r="R643" s="10">
        <f t="shared" si="60"/>
        <v>107.99550000000001</v>
      </c>
      <c r="S643" s="10">
        <f t="shared" si="61"/>
        <v>134.99437500000002</v>
      </c>
      <c r="T643" s="10">
        <f t="shared" si="62"/>
        <v>134.99437500000002</v>
      </c>
      <c r="U643" s="8" t="str">
        <f t="shared" si="58"/>
        <v>Wed</v>
      </c>
      <c r="V643" s="8" t="str">
        <f t="shared" si="58"/>
        <v>Tue</v>
      </c>
    </row>
    <row r="644" spans="1:22" x14ac:dyDescent="0.25">
      <c r="A644" t="s">
        <v>188</v>
      </c>
      <c r="B644" t="s">
        <v>34</v>
      </c>
      <c r="C644" t="s">
        <v>44</v>
      </c>
      <c r="D644" t="s">
        <v>13</v>
      </c>
      <c r="F644" s="5">
        <v>44139</v>
      </c>
      <c r="G644" s="5">
        <v>44159</v>
      </c>
      <c r="H644" s="2">
        <v>2</v>
      </c>
      <c r="I644" s="6"/>
      <c r="J644" s="6"/>
      <c r="K644" s="7">
        <v>0.5</v>
      </c>
      <c r="L644" s="7">
        <v>279.31</v>
      </c>
      <c r="M644" t="s">
        <v>17</v>
      </c>
      <c r="N644" s="16">
        <f>POWER(SQRT(WorkOrders27[[#This Row],[WorkDate]]-WorkOrders27[[#This Row],[ReqDate]]),2)</f>
        <v>20.000000000000004</v>
      </c>
      <c r="O644" s="8">
        <f t="array" ref="O644">INDEX(TechRate,MATCH(H644,TechNum,0))</f>
        <v>140</v>
      </c>
      <c r="P644" s="10">
        <f>WorkOrders27[[#This Row],[Techs]]*(WorkOrders27[[#This Row],[PartsCost]]*WorkOrders27[[#This Row],[LbrHrs]])</f>
        <v>279.31</v>
      </c>
      <c r="Q644" s="10">
        <f t="shared" si="59"/>
        <v>279.31</v>
      </c>
      <c r="R644" s="10">
        <f t="shared" si="60"/>
        <v>279.31</v>
      </c>
      <c r="S644" s="10">
        <f t="shared" si="61"/>
        <v>558.62</v>
      </c>
      <c r="T644" s="10">
        <f t="shared" si="62"/>
        <v>558.62</v>
      </c>
      <c r="U644" s="8" t="str">
        <f t="shared" si="58"/>
        <v>Wed</v>
      </c>
      <c r="V644" s="8" t="str">
        <f t="shared" si="58"/>
        <v>Tue</v>
      </c>
    </row>
    <row r="645" spans="1:22" x14ac:dyDescent="0.25">
      <c r="A645" t="s">
        <v>189</v>
      </c>
      <c r="B645" t="s">
        <v>38</v>
      </c>
      <c r="C645" t="s">
        <v>8</v>
      </c>
      <c r="D645" t="s">
        <v>12</v>
      </c>
      <c r="F645" s="5">
        <v>44139</v>
      </c>
      <c r="G645" s="5">
        <v>44167</v>
      </c>
      <c r="H645" s="2">
        <v>1</v>
      </c>
      <c r="I645" s="6"/>
      <c r="J645" s="6"/>
      <c r="K645" s="7">
        <v>0.5</v>
      </c>
      <c r="L645" s="7">
        <v>25.26</v>
      </c>
      <c r="M645" t="s">
        <v>17</v>
      </c>
      <c r="N645" s="16">
        <f>POWER(SQRT(WorkOrders27[[#This Row],[WorkDate]]-WorkOrders27[[#This Row],[ReqDate]]),2)</f>
        <v>28.000000000000004</v>
      </c>
      <c r="O645" s="8">
        <f t="array" ref="O645">INDEX(TechRate,MATCH(H645,TechNum,0))</f>
        <v>80</v>
      </c>
      <c r="P645" s="10">
        <f>WorkOrders27[[#This Row],[Techs]]*(WorkOrders27[[#This Row],[PartsCost]]*WorkOrders27[[#This Row],[LbrHrs]])</f>
        <v>12.63</v>
      </c>
      <c r="Q645" s="10">
        <f t="shared" si="59"/>
        <v>12.63</v>
      </c>
      <c r="R645" s="10">
        <f t="shared" si="60"/>
        <v>25.26</v>
      </c>
      <c r="S645" s="10">
        <f t="shared" si="61"/>
        <v>37.89</v>
      </c>
      <c r="T645" s="10">
        <f t="shared" si="62"/>
        <v>37.89</v>
      </c>
      <c r="U645" s="8" t="str">
        <f t="shared" si="58"/>
        <v>Wed</v>
      </c>
      <c r="V645" s="8" t="str">
        <f t="shared" si="58"/>
        <v>Wed</v>
      </c>
    </row>
    <row r="646" spans="1:22" x14ac:dyDescent="0.25">
      <c r="A646" t="s">
        <v>190</v>
      </c>
      <c r="B646" t="s">
        <v>34</v>
      </c>
      <c r="C646" t="s">
        <v>44</v>
      </c>
      <c r="D646" t="s">
        <v>13</v>
      </c>
      <c r="F646" s="5">
        <v>44140</v>
      </c>
      <c r="G646" s="5">
        <v>44153</v>
      </c>
      <c r="H646" s="2">
        <v>1</v>
      </c>
      <c r="I646" s="6"/>
      <c r="J646" s="6"/>
      <c r="K646" s="7">
        <v>1</v>
      </c>
      <c r="L646" s="7">
        <v>351.02069999999998</v>
      </c>
      <c r="M646" t="s">
        <v>18</v>
      </c>
      <c r="N646" s="16">
        <f>POWER(SQRT(WorkOrders27[[#This Row],[WorkDate]]-WorkOrders27[[#This Row],[ReqDate]]),2)</f>
        <v>12.999999999999998</v>
      </c>
      <c r="O646" s="8">
        <f t="array" ref="O646">INDEX(TechRate,MATCH(H646,TechNum,0))</f>
        <v>80</v>
      </c>
      <c r="P646" s="10">
        <f>WorkOrders27[[#This Row],[Techs]]*(WorkOrders27[[#This Row],[PartsCost]]*WorkOrders27[[#This Row],[LbrHrs]])</f>
        <v>351.02069999999998</v>
      </c>
      <c r="Q646" s="10">
        <f t="shared" si="59"/>
        <v>351.02069999999998</v>
      </c>
      <c r="R646" s="10">
        <f t="shared" si="60"/>
        <v>351.02069999999998</v>
      </c>
      <c r="S646" s="10">
        <f t="shared" si="61"/>
        <v>702.04139999999995</v>
      </c>
      <c r="T646" s="10">
        <f t="shared" si="62"/>
        <v>702.04139999999995</v>
      </c>
      <c r="U646" s="8" t="str">
        <f t="shared" si="58"/>
        <v>Thu</v>
      </c>
      <c r="V646" s="8" t="str">
        <f t="shared" si="58"/>
        <v>Wed</v>
      </c>
    </row>
    <row r="647" spans="1:22" x14ac:dyDescent="0.25">
      <c r="A647" t="s">
        <v>191</v>
      </c>
      <c r="B647" t="s">
        <v>38</v>
      </c>
      <c r="C647" t="s">
        <v>6</v>
      </c>
      <c r="D647" t="s">
        <v>13</v>
      </c>
      <c r="F647" s="5">
        <v>44140</v>
      </c>
      <c r="G647" s="5">
        <v>44160</v>
      </c>
      <c r="H647" s="2">
        <v>1</v>
      </c>
      <c r="I647" s="6"/>
      <c r="J647" s="6"/>
      <c r="K647" s="7">
        <v>0.5</v>
      </c>
      <c r="L647" s="7">
        <v>27.953900000000001</v>
      </c>
      <c r="M647" t="s">
        <v>17</v>
      </c>
      <c r="N647" s="16">
        <f>POWER(SQRT(WorkOrders27[[#This Row],[WorkDate]]-WorkOrders27[[#This Row],[ReqDate]]),2)</f>
        <v>20.000000000000004</v>
      </c>
      <c r="O647" s="8">
        <f t="array" ref="O647">INDEX(TechRate,MATCH(H647,TechNum,0))</f>
        <v>80</v>
      </c>
      <c r="P647" s="10">
        <f>WorkOrders27[[#This Row],[Techs]]*(WorkOrders27[[#This Row],[PartsCost]]*WorkOrders27[[#This Row],[LbrHrs]])</f>
        <v>13.97695</v>
      </c>
      <c r="Q647" s="10">
        <f t="shared" si="59"/>
        <v>13.97695</v>
      </c>
      <c r="R647" s="10">
        <f t="shared" si="60"/>
        <v>27.953900000000001</v>
      </c>
      <c r="S647" s="10">
        <f t="shared" si="61"/>
        <v>41.93085</v>
      </c>
      <c r="T647" s="10">
        <f t="shared" si="62"/>
        <v>41.93085</v>
      </c>
      <c r="U647" s="8" t="str">
        <f t="shared" ref="U647:V710" si="63">TEXT(F647,"ddd")</f>
        <v>Thu</v>
      </c>
      <c r="V647" s="8" t="str">
        <f t="shared" si="63"/>
        <v>Wed</v>
      </c>
    </row>
    <row r="648" spans="1:22" x14ac:dyDescent="0.25">
      <c r="A648" t="s">
        <v>192</v>
      </c>
      <c r="B648" t="s">
        <v>35</v>
      </c>
      <c r="C648" t="s">
        <v>9</v>
      </c>
      <c r="D648" t="s">
        <v>12</v>
      </c>
      <c r="F648" s="5">
        <v>44142</v>
      </c>
      <c r="G648" s="5">
        <v>44174</v>
      </c>
      <c r="H648" s="2">
        <v>2</v>
      </c>
      <c r="I648" s="6"/>
      <c r="J648" s="6"/>
      <c r="K648" s="7">
        <v>0.75</v>
      </c>
      <c r="L648" s="7">
        <v>62.13</v>
      </c>
      <c r="M648" t="s">
        <v>17</v>
      </c>
      <c r="N648" s="16">
        <f>POWER(SQRT(WorkOrders27[[#This Row],[WorkDate]]-WorkOrders27[[#This Row],[ReqDate]]),2)</f>
        <v>32.000000000000007</v>
      </c>
      <c r="O648" s="8">
        <f t="array" ref="O648">INDEX(TechRate,MATCH(H648,TechNum,0))</f>
        <v>140</v>
      </c>
      <c r="P648" s="10">
        <f>WorkOrders27[[#This Row],[Techs]]*(WorkOrders27[[#This Row],[PartsCost]]*WorkOrders27[[#This Row],[LbrHrs]])</f>
        <v>93.195000000000007</v>
      </c>
      <c r="Q648" s="10">
        <f t="shared" si="59"/>
        <v>93.195000000000007</v>
      </c>
      <c r="R648" s="10">
        <f t="shared" si="60"/>
        <v>62.13</v>
      </c>
      <c r="S648" s="10">
        <f t="shared" si="61"/>
        <v>155.32500000000002</v>
      </c>
      <c r="T648" s="10">
        <f t="shared" si="62"/>
        <v>155.32500000000002</v>
      </c>
      <c r="U648" s="8" t="str">
        <f t="shared" si="63"/>
        <v>Sat</v>
      </c>
      <c r="V648" s="8" t="str">
        <f t="shared" si="63"/>
        <v>Wed</v>
      </c>
    </row>
    <row r="649" spans="1:22" x14ac:dyDescent="0.25">
      <c r="A649" t="s">
        <v>193</v>
      </c>
      <c r="B649" t="s">
        <v>37</v>
      </c>
      <c r="C649" t="s">
        <v>43</v>
      </c>
      <c r="D649" t="s">
        <v>1</v>
      </c>
      <c r="F649" s="5">
        <v>44144</v>
      </c>
      <c r="G649" s="5">
        <v>44161</v>
      </c>
      <c r="H649" s="2">
        <v>1</v>
      </c>
      <c r="I649" s="6"/>
      <c r="J649" s="6"/>
      <c r="K649" s="7">
        <v>7</v>
      </c>
      <c r="L649" s="7">
        <v>3396.25</v>
      </c>
      <c r="M649" t="s">
        <v>19</v>
      </c>
      <c r="N649" s="16">
        <f>POWER(SQRT(WorkOrders27[[#This Row],[WorkDate]]-WorkOrders27[[#This Row],[ReqDate]]),2)</f>
        <v>17</v>
      </c>
      <c r="O649" s="8">
        <f t="array" ref="O649">INDEX(TechRate,MATCH(H649,TechNum,0))</f>
        <v>80</v>
      </c>
      <c r="P649" s="10">
        <f>WorkOrders27[[#This Row],[Techs]]*(WorkOrders27[[#This Row],[PartsCost]]*WorkOrders27[[#This Row],[LbrHrs]])</f>
        <v>23773.75</v>
      </c>
      <c r="Q649" s="10">
        <f t="shared" si="59"/>
        <v>23773.75</v>
      </c>
      <c r="R649" s="10">
        <f t="shared" si="60"/>
        <v>3396.25</v>
      </c>
      <c r="S649" s="10">
        <f t="shared" si="61"/>
        <v>27170</v>
      </c>
      <c r="T649" s="10">
        <f t="shared" si="62"/>
        <v>27170</v>
      </c>
      <c r="U649" s="8" t="str">
        <f t="shared" si="63"/>
        <v>Mon</v>
      </c>
      <c r="V649" s="8" t="str">
        <f t="shared" si="63"/>
        <v>Thu</v>
      </c>
    </row>
    <row r="650" spans="1:22" x14ac:dyDescent="0.25">
      <c r="A650" t="s">
        <v>194</v>
      </c>
      <c r="B650" t="s">
        <v>40</v>
      </c>
      <c r="C650" t="s">
        <v>7</v>
      </c>
      <c r="D650" t="s">
        <v>13</v>
      </c>
      <c r="F650" s="5">
        <v>44144</v>
      </c>
      <c r="G650" s="5">
        <v>44258</v>
      </c>
      <c r="H650" s="2">
        <v>2</v>
      </c>
      <c r="I650" s="6"/>
      <c r="J650" s="6"/>
      <c r="K650" s="7">
        <v>0.5</v>
      </c>
      <c r="L650" s="7">
        <v>22</v>
      </c>
      <c r="M650" t="s">
        <v>17</v>
      </c>
      <c r="N650" s="16">
        <f>POWER(SQRT(WorkOrders27[[#This Row],[WorkDate]]-WorkOrders27[[#This Row],[ReqDate]]),2)</f>
        <v>114</v>
      </c>
      <c r="O650" s="8">
        <f t="array" ref="O650">INDEX(TechRate,MATCH(H650,TechNum,0))</f>
        <v>140</v>
      </c>
      <c r="P650" s="10">
        <f>WorkOrders27[[#This Row],[Techs]]*(WorkOrders27[[#This Row],[PartsCost]]*WorkOrders27[[#This Row],[LbrHrs]])</f>
        <v>22</v>
      </c>
      <c r="Q650" s="10">
        <f t="shared" si="59"/>
        <v>22</v>
      </c>
      <c r="R650" s="10">
        <f t="shared" si="60"/>
        <v>22</v>
      </c>
      <c r="S650" s="10">
        <f t="shared" si="61"/>
        <v>44</v>
      </c>
      <c r="T650" s="10">
        <f t="shared" si="62"/>
        <v>44</v>
      </c>
      <c r="U650" s="8" t="str">
        <f t="shared" si="63"/>
        <v>Mon</v>
      </c>
      <c r="V650" s="8" t="str">
        <f t="shared" si="63"/>
        <v>Wed</v>
      </c>
    </row>
    <row r="651" spans="1:22" x14ac:dyDescent="0.25">
      <c r="A651" t="s">
        <v>195</v>
      </c>
      <c r="B651" t="s">
        <v>38</v>
      </c>
      <c r="C651" t="s">
        <v>8</v>
      </c>
      <c r="D651" t="s">
        <v>13</v>
      </c>
      <c r="F651" s="5">
        <v>44145</v>
      </c>
      <c r="G651" s="5">
        <v>44174</v>
      </c>
      <c r="H651" s="2">
        <v>1</v>
      </c>
      <c r="I651" s="6"/>
      <c r="J651" s="6"/>
      <c r="K651" s="7">
        <v>0.5</v>
      </c>
      <c r="L651" s="7">
        <v>163.36609999999999</v>
      </c>
      <c r="M651" t="s">
        <v>19</v>
      </c>
      <c r="N651" s="16">
        <f>POWER(SQRT(WorkOrders27[[#This Row],[WorkDate]]-WorkOrders27[[#This Row],[ReqDate]]),2)</f>
        <v>28.999999999999996</v>
      </c>
      <c r="O651" s="8">
        <f t="array" ref="O651">INDEX(TechRate,MATCH(H651,TechNum,0))</f>
        <v>80</v>
      </c>
      <c r="P651" s="10">
        <f>WorkOrders27[[#This Row],[Techs]]*(WorkOrders27[[#This Row],[PartsCost]]*WorkOrders27[[#This Row],[LbrHrs]])</f>
        <v>81.683049999999994</v>
      </c>
      <c r="Q651" s="10">
        <f t="shared" si="59"/>
        <v>81.683049999999994</v>
      </c>
      <c r="R651" s="10">
        <f t="shared" si="60"/>
        <v>163.36609999999999</v>
      </c>
      <c r="S651" s="10">
        <f t="shared" si="61"/>
        <v>245.04915</v>
      </c>
      <c r="T651" s="10">
        <f t="shared" si="62"/>
        <v>245.04915</v>
      </c>
      <c r="U651" s="8" t="str">
        <f t="shared" si="63"/>
        <v>Tue</v>
      </c>
      <c r="V651" s="8" t="str">
        <f t="shared" si="63"/>
        <v>Wed</v>
      </c>
    </row>
    <row r="652" spans="1:22" x14ac:dyDescent="0.25">
      <c r="A652" t="s">
        <v>196</v>
      </c>
      <c r="B652" t="s">
        <v>37</v>
      </c>
      <c r="C652" t="s">
        <v>43</v>
      </c>
      <c r="D652" t="s">
        <v>12</v>
      </c>
      <c r="F652" s="5">
        <v>44146</v>
      </c>
      <c r="G652" s="5">
        <v>44160</v>
      </c>
      <c r="H652" s="2">
        <v>1</v>
      </c>
      <c r="I652" s="6"/>
      <c r="J652" s="6"/>
      <c r="K652" s="7">
        <v>0.25</v>
      </c>
      <c r="L652" s="7">
        <v>25.407900000000001</v>
      </c>
      <c r="M652" t="s">
        <v>17</v>
      </c>
      <c r="N652" s="16">
        <f>POWER(SQRT(WorkOrders27[[#This Row],[WorkDate]]-WorkOrders27[[#This Row],[ReqDate]]),2)</f>
        <v>14</v>
      </c>
      <c r="O652" s="8">
        <f t="array" ref="O652">INDEX(TechRate,MATCH(H652,TechNum,0))</f>
        <v>80</v>
      </c>
      <c r="P652" s="10">
        <f>WorkOrders27[[#This Row],[Techs]]*(WorkOrders27[[#This Row],[PartsCost]]*WorkOrders27[[#This Row],[LbrHrs]])</f>
        <v>6.3519750000000004</v>
      </c>
      <c r="Q652" s="10">
        <f t="shared" si="59"/>
        <v>6.3519750000000004</v>
      </c>
      <c r="R652" s="10">
        <f t="shared" si="60"/>
        <v>25.407900000000001</v>
      </c>
      <c r="S652" s="10">
        <f t="shared" si="61"/>
        <v>31.759875000000001</v>
      </c>
      <c r="T652" s="10">
        <f t="shared" si="62"/>
        <v>31.759875000000001</v>
      </c>
      <c r="U652" s="8" t="str">
        <f t="shared" si="63"/>
        <v>Wed</v>
      </c>
      <c r="V652" s="8" t="str">
        <f t="shared" si="63"/>
        <v>Wed</v>
      </c>
    </row>
    <row r="653" spans="1:22" x14ac:dyDescent="0.25">
      <c r="A653" t="s">
        <v>197</v>
      </c>
      <c r="B653" t="s">
        <v>39</v>
      </c>
      <c r="C653" t="s">
        <v>44</v>
      </c>
      <c r="D653" t="s">
        <v>13</v>
      </c>
      <c r="F653" s="5">
        <v>44146</v>
      </c>
      <c r="G653" s="5">
        <v>44168</v>
      </c>
      <c r="H653" s="2">
        <v>2</v>
      </c>
      <c r="I653" s="6"/>
      <c r="J653" s="6"/>
      <c r="K653" s="7">
        <v>0.75</v>
      </c>
      <c r="L653" s="7">
        <v>182.7</v>
      </c>
      <c r="M653" t="s">
        <v>18</v>
      </c>
      <c r="N653" s="16">
        <f>POWER(SQRT(WorkOrders27[[#This Row],[WorkDate]]-WorkOrders27[[#This Row],[ReqDate]]),2)</f>
        <v>22</v>
      </c>
      <c r="O653" s="8">
        <f t="array" ref="O653">INDEX(TechRate,MATCH(H653,TechNum,0))</f>
        <v>140</v>
      </c>
      <c r="P653" s="10">
        <f>WorkOrders27[[#This Row],[Techs]]*(WorkOrders27[[#This Row],[PartsCost]]*WorkOrders27[[#This Row],[LbrHrs]])</f>
        <v>274.04999999999995</v>
      </c>
      <c r="Q653" s="10">
        <f t="shared" si="59"/>
        <v>274.04999999999995</v>
      </c>
      <c r="R653" s="10">
        <f t="shared" si="60"/>
        <v>182.7</v>
      </c>
      <c r="S653" s="10">
        <f t="shared" si="61"/>
        <v>456.74999999999994</v>
      </c>
      <c r="T653" s="10">
        <f t="shared" si="62"/>
        <v>456.74999999999994</v>
      </c>
      <c r="U653" s="8" t="str">
        <f t="shared" si="63"/>
        <v>Wed</v>
      </c>
      <c r="V653" s="8" t="str">
        <f t="shared" si="63"/>
        <v>Thu</v>
      </c>
    </row>
    <row r="654" spans="1:22" x14ac:dyDescent="0.25">
      <c r="A654" t="s">
        <v>198</v>
      </c>
      <c r="B654" t="s">
        <v>39</v>
      </c>
      <c r="C654" t="s">
        <v>8</v>
      </c>
      <c r="D654" t="s">
        <v>13</v>
      </c>
      <c r="F654" s="5">
        <v>44146</v>
      </c>
      <c r="G654" s="5">
        <v>44165</v>
      </c>
      <c r="H654" s="2">
        <v>1</v>
      </c>
      <c r="I654" s="6"/>
      <c r="J654" s="6"/>
      <c r="K654" s="7">
        <v>0.5</v>
      </c>
      <c r="L654" s="7">
        <v>73.508899999999997</v>
      </c>
      <c r="M654" t="s">
        <v>18</v>
      </c>
      <c r="N654" s="16">
        <f>POWER(SQRT(WorkOrders27[[#This Row],[WorkDate]]-WorkOrders27[[#This Row],[ReqDate]]),2)</f>
        <v>19.000000000000004</v>
      </c>
      <c r="O654" s="8">
        <f t="array" ref="O654">INDEX(TechRate,MATCH(H654,TechNum,0))</f>
        <v>80</v>
      </c>
      <c r="P654" s="10">
        <f>WorkOrders27[[#This Row],[Techs]]*(WorkOrders27[[#This Row],[PartsCost]]*WorkOrders27[[#This Row],[LbrHrs]])</f>
        <v>36.754449999999999</v>
      </c>
      <c r="Q654" s="10">
        <f t="shared" si="59"/>
        <v>36.754449999999999</v>
      </c>
      <c r="R654" s="10">
        <f t="shared" si="60"/>
        <v>73.508899999999997</v>
      </c>
      <c r="S654" s="10">
        <f t="shared" si="61"/>
        <v>110.26335</v>
      </c>
      <c r="T654" s="10">
        <f t="shared" si="62"/>
        <v>110.26335</v>
      </c>
      <c r="U654" s="8" t="str">
        <f t="shared" si="63"/>
        <v>Wed</v>
      </c>
      <c r="V654" s="8" t="str">
        <f t="shared" si="63"/>
        <v>Mon</v>
      </c>
    </row>
    <row r="655" spans="1:22" x14ac:dyDescent="0.25">
      <c r="A655" t="s">
        <v>199</v>
      </c>
      <c r="B655" t="s">
        <v>34</v>
      </c>
      <c r="C655" t="s">
        <v>44</v>
      </c>
      <c r="D655" t="s">
        <v>13</v>
      </c>
      <c r="E655" t="s">
        <v>3</v>
      </c>
      <c r="F655" s="5">
        <v>44146</v>
      </c>
      <c r="G655" s="5">
        <v>44166</v>
      </c>
      <c r="H655" s="2">
        <v>2</v>
      </c>
      <c r="I655" s="6"/>
      <c r="J655" s="6"/>
      <c r="K655" s="7">
        <v>0.5</v>
      </c>
      <c r="L655" s="7">
        <v>115.22490000000001</v>
      </c>
      <c r="M655" t="s">
        <v>17</v>
      </c>
      <c r="N655" s="16">
        <f>POWER(SQRT(WorkOrders27[[#This Row],[WorkDate]]-WorkOrders27[[#This Row],[ReqDate]]),2)</f>
        <v>20.000000000000004</v>
      </c>
      <c r="O655" s="8">
        <f t="array" ref="O655">INDEX(TechRate,MATCH(H655,TechNum,0))</f>
        <v>140</v>
      </c>
      <c r="P655" s="10">
        <f>WorkOrders27[[#This Row],[Techs]]*(WorkOrders27[[#This Row],[PartsCost]]*WorkOrders27[[#This Row],[LbrHrs]])</f>
        <v>115.22490000000001</v>
      </c>
      <c r="Q655" s="10">
        <f t="shared" si="59"/>
        <v>115.22490000000001</v>
      </c>
      <c r="R655" s="10">
        <f t="shared" si="60"/>
        <v>115.22490000000001</v>
      </c>
      <c r="S655" s="10">
        <f t="shared" si="61"/>
        <v>230.44980000000001</v>
      </c>
      <c r="T655" s="10">
        <f t="shared" si="62"/>
        <v>230.44980000000001</v>
      </c>
      <c r="U655" s="8" t="str">
        <f t="shared" si="63"/>
        <v>Wed</v>
      </c>
      <c r="V655" s="8" t="str">
        <f t="shared" si="63"/>
        <v>Tue</v>
      </c>
    </row>
    <row r="656" spans="1:22" x14ac:dyDescent="0.25">
      <c r="A656" t="s">
        <v>200</v>
      </c>
      <c r="B656" t="s">
        <v>35</v>
      </c>
      <c r="C656" t="s">
        <v>44</v>
      </c>
      <c r="D656" t="s">
        <v>13</v>
      </c>
      <c r="F656" s="5">
        <v>44147</v>
      </c>
      <c r="G656" s="5">
        <v>44154</v>
      </c>
      <c r="H656" s="2">
        <v>2</v>
      </c>
      <c r="I656" s="6"/>
      <c r="J656" s="6"/>
      <c r="K656" s="7">
        <v>0.75</v>
      </c>
      <c r="L656" s="7">
        <v>340.45229999999998</v>
      </c>
      <c r="M656" t="s">
        <v>18</v>
      </c>
      <c r="N656" s="16">
        <f>POWER(SQRT(WorkOrders27[[#This Row],[WorkDate]]-WorkOrders27[[#This Row],[ReqDate]]),2)</f>
        <v>7.0000000000000009</v>
      </c>
      <c r="O656" s="8">
        <f t="array" ref="O656">INDEX(TechRate,MATCH(H656,TechNum,0))</f>
        <v>140</v>
      </c>
      <c r="P656" s="10">
        <f>WorkOrders27[[#This Row],[Techs]]*(WorkOrders27[[#This Row],[PartsCost]]*WorkOrders27[[#This Row],[LbrHrs]])</f>
        <v>510.67845</v>
      </c>
      <c r="Q656" s="10">
        <f t="shared" si="59"/>
        <v>510.67845</v>
      </c>
      <c r="R656" s="10">
        <f t="shared" si="60"/>
        <v>340.45229999999998</v>
      </c>
      <c r="S656" s="10">
        <f t="shared" si="61"/>
        <v>851.13075000000003</v>
      </c>
      <c r="T656" s="10">
        <f t="shared" si="62"/>
        <v>851.13075000000003</v>
      </c>
      <c r="U656" s="8" t="str">
        <f t="shared" si="63"/>
        <v>Thu</v>
      </c>
      <c r="V656" s="8" t="str">
        <f t="shared" si="63"/>
        <v>Thu</v>
      </c>
    </row>
    <row r="657" spans="1:22" x14ac:dyDescent="0.25">
      <c r="A657" t="s">
        <v>201</v>
      </c>
      <c r="B657" t="s">
        <v>38</v>
      </c>
      <c r="C657" t="s">
        <v>8</v>
      </c>
      <c r="D657" t="s">
        <v>12</v>
      </c>
      <c r="F657" s="5">
        <v>44147</v>
      </c>
      <c r="G657" s="5">
        <v>44161</v>
      </c>
      <c r="H657" s="2">
        <v>1</v>
      </c>
      <c r="I657" s="6"/>
      <c r="J657" s="6"/>
      <c r="K657" s="7">
        <v>0.5</v>
      </c>
      <c r="L657" s="7">
        <v>12</v>
      </c>
      <c r="M657" t="s">
        <v>17</v>
      </c>
      <c r="N657" s="16">
        <f>POWER(SQRT(WorkOrders27[[#This Row],[WorkDate]]-WorkOrders27[[#This Row],[ReqDate]]),2)</f>
        <v>14</v>
      </c>
      <c r="O657" s="8">
        <f t="array" ref="O657">INDEX(TechRate,MATCH(H657,TechNum,0))</f>
        <v>80</v>
      </c>
      <c r="P657" s="10">
        <f>WorkOrders27[[#This Row],[Techs]]*(WorkOrders27[[#This Row],[PartsCost]]*WorkOrders27[[#This Row],[LbrHrs]])</f>
        <v>6</v>
      </c>
      <c r="Q657" s="10">
        <f t="shared" si="59"/>
        <v>6</v>
      </c>
      <c r="R657" s="10">
        <f t="shared" si="60"/>
        <v>12</v>
      </c>
      <c r="S657" s="10">
        <f t="shared" si="61"/>
        <v>18</v>
      </c>
      <c r="T657" s="10">
        <f t="shared" si="62"/>
        <v>18</v>
      </c>
      <c r="U657" s="8" t="str">
        <f t="shared" si="63"/>
        <v>Thu</v>
      </c>
      <c r="V657" s="8" t="str">
        <f t="shared" si="63"/>
        <v>Thu</v>
      </c>
    </row>
    <row r="658" spans="1:22" x14ac:dyDescent="0.25">
      <c r="A658" t="s">
        <v>202</v>
      </c>
      <c r="B658" t="s">
        <v>39</v>
      </c>
      <c r="C658" t="s">
        <v>8</v>
      </c>
      <c r="D658" t="s">
        <v>13</v>
      </c>
      <c r="F658" s="5">
        <v>44148</v>
      </c>
      <c r="G658" s="5">
        <v>44159</v>
      </c>
      <c r="H658" s="2">
        <v>1</v>
      </c>
      <c r="I658" s="6"/>
      <c r="J658" s="6"/>
      <c r="K658" s="7">
        <v>0.5</v>
      </c>
      <c r="L658" s="7">
        <v>36.754399999999997</v>
      </c>
      <c r="M658" t="s">
        <v>17</v>
      </c>
      <c r="N658" s="16">
        <f>POWER(SQRT(WorkOrders27[[#This Row],[WorkDate]]-WorkOrders27[[#This Row],[ReqDate]]),2)</f>
        <v>11</v>
      </c>
      <c r="O658" s="8">
        <f t="array" ref="O658">INDEX(TechRate,MATCH(H658,TechNum,0))</f>
        <v>80</v>
      </c>
      <c r="P658" s="10">
        <f>WorkOrders27[[#This Row],[Techs]]*(WorkOrders27[[#This Row],[PartsCost]]*WorkOrders27[[#This Row],[LbrHrs]])</f>
        <v>18.377199999999998</v>
      </c>
      <c r="Q658" s="10">
        <f t="shared" si="59"/>
        <v>18.377199999999998</v>
      </c>
      <c r="R658" s="10">
        <f t="shared" si="60"/>
        <v>36.754399999999997</v>
      </c>
      <c r="S658" s="10">
        <f t="shared" si="61"/>
        <v>55.131599999999992</v>
      </c>
      <c r="T658" s="10">
        <f t="shared" si="62"/>
        <v>55.131599999999992</v>
      </c>
      <c r="U658" s="8" t="str">
        <f t="shared" si="63"/>
        <v>Fri</v>
      </c>
      <c r="V658" s="8" t="str">
        <f t="shared" si="63"/>
        <v>Tue</v>
      </c>
    </row>
    <row r="659" spans="1:22" x14ac:dyDescent="0.25">
      <c r="A659" t="s">
        <v>203</v>
      </c>
      <c r="B659" t="s">
        <v>37</v>
      </c>
      <c r="C659" t="s">
        <v>43</v>
      </c>
      <c r="D659" t="s">
        <v>1</v>
      </c>
      <c r="F659" s="5">
        <v>44149</v>
      </c>
      <c r="G659" s="5">
        <v>44170</v>
      </c>
      <c r="H659" s="2">
        <v>1</v>
      </c>
      <c r="I659" s="6"/>
      <c r="J659" s="6"/>
      <c r="K659" s="7">
        <v>1.75</v>
      </c>
      <c r="L659" s="7">
        <v>183.95</v>
      </c>
      <c r="M659" t="s">
        <v>19</v>
      </c>
      <c r="N659" s="16">
        <f>POWER(SQRT(WorkOrders27[[#This Row],[WorkDate]]-WorkOrders27[[#This Row],[ReqDate]]),2)</f>
        <v>21</v>
      </c>
      <c r="O659" s="8">
        <f t="array" ref="O659">INDEX(TechRate,MATCH(H659,TechNum,0))</f>
        <v>80</v>
      </c>
      <c r="P659" s="10">
        <f>WorkOrders27[[#This Row],[Techs]]*(WorkOrders27[[#This Row],[PartsCost]]*WorkOrders27[[#This Row],[LbrHrs]])</f>
        <v>321.91249999999997</v>
      </c>
      <c r="Q659" s="10">
        <f t="shared" si="59"/>
        <v>321.91249999999997</v>
      </c>
      <c r="R659" s="10">
        <f t="shared" si="60"/>
        <v>183.95</v>
      </c>
      <c r="S659" s="10">
        <f t="shared" si="61"/>
        <v>505.86249999999995</v>
      </c>
      <c r="T659" s="10">
        <f t="shared" si="62"/>
        <v>505.86249999999995</v>
      </c>
      <c r="U659" s="8" t="str">
        <f t="shared" si="63"/>
        <v>Sat</v>
      </c>
      <c r="V659" s="8" t="str">
        <f t="shared" si="63"/>
        <v>Sat</v>
      </c>
    </row>
    <row r="660" spans="1:22" x14ac:dyDescent="0.25">
      <c r="A660" t="s">
        <v>204</v>
      </c>
      <c r="B660" t="s">
        <v>38</v>
      </c>
      <c r="C660" t="s">
        <v>8</v>
      </c>
      <c r="D660" t="s">
        <v>12</v>
      </c>
      <c r="E660" t="s">
        <v>3</v>
      </c>
      <c r="F660" s="5">
        <v>44149</v>
      </c>
      <c r="G660" s="5">
        <v>44167</v>
      </c>
      <c r="H660" s="2">
        <v>1</v>
      </c>
      <c r="I660" s="6"/>
      <c r="J660" s="6"/>
      <c r="K660" s="7">
        <v>0.25</v>
      </c>
      <c r="L660" s="7">
        <v>26.582599999999999</v>
      </c>
      <c r="M660" t="s">
        <v>19</v>
      </c>
      <c r="N660" s="16">
        <f>POWER(SQRT(WorkOrders27[[#This Row],[WorkDate]]-WorkOrders27[[#This Row],[ReqDate]]),2)</f>
        <v>17.999999999999996</v>
      </c>
      <c r="O660" s="8">
        <f t="array" ref="O660">INDEX(TechRate,MATCH(H660,TechNum,0))</f>
        <v>80</v>
      </c>
      <c r="P660" s="10">
        <f>WorkOrders27[[#This Row],[Techs]]*(WorkOrders27[[#This Row],[PartsCost]]*WorkOrders27[[#This Row],[LbrHrs]])</f>
        <v>6.6456499999999998</v>
      </c>
      <c r="Q660" s="10">
        <f t="shared" si="59"/>
        <v>6.6456499999999998</v>
      </c>
      <c r="R660" s="10">
        <f t="shared" si="60"/>
        <v>26.582599999999999</v>
      </c>
      <c r="S660" s="10">
        <f t="shared" si="61"/>
        <v>33.228250000000003</v>
      </c>
      <c r="T660" s="10">
        <f t="shared" si="62"/>
        <v>33.228250000000003</v>
      </c>
      <c r="U660" s="8" t="str">
        <f t="shared" si="63"/>
        <v>Sat</v>
      </c>
      <c r="V660" s="8" t="str">
        <f t="shared" si="63"/>
        <v>Wed</v>
      </c>
    </row>
    <row r="661" spans="1:22" x14ac:dyDescent="0.25">
      <c r="A661" t="s">
        <v>205</v>
      </c>
      <c r="B661" t="s">
        <v>38</v>
      </c>
      <c r="C661" t="s">
        <v>8</v>
      </c>
      <c r="D661" t="s">
        <v>12</v>
      </c>
      <c r="F661" s="5">
        <v>44151</v>
      </c>
      <c r="G661" s="5">
        <v>44167</v>
      </c>
      <c r="H661" s="2">
        <v>1</v>
      </c>
      <c r="I661" s="6"/>
      <c r="J661" s="6"/>
      <c r="K661" s="7">
        <v>0.5</v>
      </c>
      <c r="L661" s="7">
        <v>13.42</v>
      </c>
      <c r="M661" t="s">
        <v>18</v>
      </c>
      <c r="N661" s="16">
        <f>POWER(SQRT(WorkOrders27[[#This Row],[WorkDate]]-WorkOrders27[[#This Row],[ReqDate]]),2)</f>
        <v>16</v>
      </c>
      <c r="O661" s="8">
        <f t="array" ref="O661">INDEX(TechRate,MATCH(H661,TechNum,0))</f>
        <v>80</v>
      </c>
      <c r="P661" s="10">
        <f>WorkOrders27[[#This Row],[Techs]]*(WorkOrders27[[#This Row],[PartsCost]]*WorkOrders27[[#This Row],[LbrHrs]])</f>
        <v>6.71</v>
      </c>
      <c r="Q661" s="10">
        <f t="shared" si="59"/>
        <v>6.71</v>
      </c>
      <c r="R661" s="10">
        <f t="shared" si="60"/>
        <v>13.42</v>
      </c>
      <c r="S661" s="10">
        <f t="shared" si="61"/>
        <v>20.13</v>
      </c>
      <c r="T661" s="10">
        <f t="shared" si="62"/>
        <v>20.13</v>
      </c>
      <c r="U661" s="8" t="str">
        <f t="shared" si="63"/>
        <v>Mon</v>
      </c>
      <c r="V661" s="8" t="str">
        <f t="shared" si="63"/>
        <v>Wed</v>
      </c>
    </row>
    <row r="662" spans="1:22" x14ac:dyDescent="0.25">
      <c r="A662" t="s">
        <v>206</v>
      </c>
      <c r="B662" t="s">
        <v>38</v>
      </c>
      <c r="C662" t="s">
        <v>8</v>
      </c>
      <c r="D662" t="s">
        <v>1</v>
      </c>
      <c r="F662" s="5">
        <v>44151</v>
      </c>
      <c r="G662" s="5">
        <v>44168</v>
      </c>
      <c r="H662" s="2">
        <v>1</v>
      </c>
      <c r="I662" s="6"/>
      <c r="J662" s="6"/>
      <c r="K662" s="7">
        <v>1</v>
      </c>
      <c r="L662" s="7">
        <v>324</v>
      </c>
      <c r="M662" t="s">
        <v>19</v>
      </c>
      <c r="N662" s="16">
        <f>POWER(SQRT(WorkOrders27[[#This Row],[WorkDate]]-WorkOrders27[[#This Row],[ReqDate]]),2)</f>
        <v>17</v>
      </c>
      <c r="O662" s="8">
        <f t="array" ref="O662">INDEX(TechRate,MATCH(H662,TechNum,0))</f>
        <v>80</v>
      </c>
      <c r="P662" s="10">
        <f>WorkOrders27[[#This Row],[Techs]]*(WorkOrders27[[#This Row],[PartsCost]]*WorkOrders27[[#This Row],[LbrHrs]])</f>
        <v>324</v>
      </c>
      <c r="Q662" s="10">
        <f t="shared" si="59"/>
        <v>324</v>
      </c>
      <c r="R662" s="10">
        <f t="shared" si="60"/>
        <v>324</v>
      </c>
      <c r="S662" s="10">
        <f t="shared" si="61"/>
        <v>648</v>
      </c>
      <c r="T662" s="10">
        <f t="shared" si="62"/>
        <v>648</v>
      </c>
      <c r="U662" s="8" t="str">
        <f t="shared" si="63"/>
        <v>Mon</v>
      </c>
      <c r="V662" s="8" t="str">
        <f t="shared" si="63"/>
        <v>Thu</v>
      </c>
    </row>
    <row r="663" spans="1:22" x14ac:dyDescent="0.25">
      <c r="A663" t="s">
        <v>207</v>
      </c>
      <c r="B663" t="s">
        <v>39</v>
      </c>
      <c r="C663" t="s">
        <v>8</v>
      </c>
      <c r="D663" t="s">
        <v>13</v>
      </c>
      <c r="F663" s="5">
        <v>44152</v>
      </c>
      <c r="G663" s="5">
        <v>44174</v>
      </c>
      <c r="H663" s="2">
        <v>2</v>
      </c>
      <c r="I663" s="6"/>
      <c r="J663" s="6"/>
      <c r="K663" s="7">
        <v>0.5</v>
      </c>
      <c r="L663" s="7">
        <v>504.21269999999998</v>
      </c>
      <c r="M663" t="s">
        <v>18</v>
      </c>
      <c r="N663" s="16">
        <f>POWER(SQRT(WorkOrders27[[#This Row],[WorkDate]]-WorkOrders27[[#This Row],[ReqDate]]),2)</f>
        <v>22</v>
      </c>
      <c r="O663" s="8">
        <f t="array" ref="O663">INDEX(TechRate,MATCH(H663,TechNum,0))</f>
        <v>140</v>
      </c>
      <c r="P663" s="10">
        <f>WorkOrders27[[#This Row],[Techs]]*(WorkOrders27[[#This Row],[PartsCost]]*WorkOrders27[[#This Row],[LbrHrs]])</f>
        <v>504.21269999999998</v>
      </c>
      <c r="Q663" s="10">
        <f t="shared" si="59"/>
        <v>504.21269999999998</v>
      </c>
      <c r="R663" s="10">
        <f t="shared" si="60"/>
        <v>504.21269999999998</v>
      </c>
      <c r="S663" s="10">
        <f t="shared" si="61"/>
        <v>1008.4254</v>
      </c>
      <c r="T663" s="10">
        <f t="shared" si="62"/>
        <v>1008.4254</v>
      </c>
      <c r="U663" s="8" t="str">
        <f t="shared" si="63"/>
        <v>Tue</v>
      </c>
      <c r="V663" s="8" t="str">
        <f t="shared" si="63"/>
        <v>Wed</v>
      </c>
    </row>
    <row r="664" spans="1:22" x14ac:dyDescent="0.25">
      <c r="A664" t="s">
        <v>208</v>
      </c>
      <c r="B664" t="s">
        <v>34</v>
      </c>
      <c r="C664" t="s">
        <v>8</v>
      </c>
      <c r="D664" t="s">
        <v>12</v>
      </c>
      <c r="E664" t="s">
        <v>3</v>
      </c>
      <c r="F664" s="5">
        <v>44152</v>
      </c>
      <c r="G664" s="5">
        <v>44180</v>
      </c>
      <c r="H664" s="2">
        <v>2</v>
      </c>
      <c r="I664" s="6"/>
      <c r="J664" s="6"/>
      <c r="K664" s="7">
        <v>0.5</v>
      </c>
      <c r="L664" s="7">
        <v>338.0702</v>
      </c>
      <c r="M664" t="s">
        <v>17</v>
      </c>
      <c r="N664" s="16">
        <f>POWER(SQRT(WorkOrders27[[#This Row],[WorkDate]]-WorkOrders27[[#This Row],[ReqDate]]),2)</f>
        <v>28.000000000000004</v>
      </c>
      <c r="O664" s="8">
        <f t="array" ref="O664">INDEX(TechRate,MATCH(H664,TechNum,0))</f>
        <v>140</v>
      </c>
      <c r="P664" s="10">
        <f>WorkOrders27[[#This Row],[Techs]]*(WorkOrders27[[#This Row],[PartsCost]]*WorkOrders27[[#This Row],[LbrHrs]])</f>
        <v>338.0702</v>
      </c>
      <c r="Q664" s="10">
        <f t="shared" si="59"/>
        <v>338.0702</v>
      </c>
      <c r="R664" s="10">
        <f t="shared" si="60"/>
        <v>338.0702</v>
      </c>
      <c r="S664" s="10">
        <f t="shared" si="61"/>
        <v>676.1404</v>
      </c>
      <c r="T664" s="10">
        <f t="shared" si="62"/>
        <v>676.1404</v>
      </c>
      <c r="U664" s="8" t="str">
        <f t="shared" si="63"/>
        <v>Tue</v>
      </c>
      <c r="V664" s="8" t="str">
        <f t="shared" si="63"/>
        <v>Tue</v>
      </c>
    </row>
    <row r="665" spans="1:22" x14ac:dyDescent="0.25">
      <c r="A665" t="s">
        <v>209</v>
      </c>
      <c r="B665" t="s">
        <v>39</v>
      </c>
      <c r="C665" t="s">
        <v>9</v>
      </c>
      <c r="D665" t="s">
        <v>12</v>
      </c>
      <c r="F665" s="5">
        <v>44153</v>
      </c>
      <c r="G665" s="5">
        <v>44165</v>
      </c>
      <c r="H665" s="2">
        <v>2</v>
      </c>
      <c r="I665" s="6"/>
      <c r="J665" s="6"/>
      <c r="K665" s="7">
        <v>1.5</v>
      </c>
      <c r="L665" s="7">
        <v>0.98399999999999999</v>
      </c>
      <c r="M665" t="s">
        <v>18</v>
      </c>
      <c r="N665" s="16">
        <f>POWER(SQRT(WorkOrders27[[#This Row],[WorkDate]]-WorkOrders27[[#This Row],[ReqDate]]),2)</f>
        <v>11.999999999999998</v>
      </c>
      <c r="O665" s="8">
        <f t="array" ref="O665">INDEX(TechRate,MATCH(H665,TechNum,0))</f>
        <v>140</v>
      </c>
      <c r="P665" s="10">
        <f>WorkOrders27[[#This Row],[Techs]]*(WorkOrders27[[#This Row],[PartsCost]]*WorkOrders27[[#This Row],[LbrHrs]])</f>
        <v>2.952</v>
      </c>
      <c r="Q665" s="10">
        <f t="shared" si="59"/>
        <v>2.952</v>
      </c>
      <c r="R665" s="10">
        <f t="shared" si="60"/>
        <v>0.98399999999999999</v>
      </c>
      <c r="S665" s="10">
        <f t="shared" si="61"/>
        <v>3.9359999999999999</v>
      </c>
      <c r="T665" s="10">
        <f t="shared" si="62"/>
        <v>3.9359999999999999</v>
      </c>
      <c r="U665" s="8" t="str">
        <f t="shared" si="63"/>
        <v>Wed</v>
      </c>
      <c r="V665" s="8" t="str">
        <f t="shared" si="63"/>
        <v>Mon</v>
      </c>
    </row>
    <row r="666" spans="1:22" x14ac:dyDescent="0.25">
      <c r="A666" t="s">
        <v>210</v>
      </c>
      <c r="B666" t="s">
        <v>39</v>
      </c>
      <c r="C666" t="s">
        <v>8</v>
      </c>
      <c r="D666" t="s">
        <v>12</v>
      </c>
      <c r="F666" s="5">
        <v>44153</v>
      </c>
      <c r="G666" s="5">
        <v>44165</v>
      </c>
      <c r="H666" s="2">
        <v>1</v>
      </c>
      <c r="I666" s="6"/>
      <c r="J666" s="6"/>
      <c r="K666" s="7">
        <v>0.5</v>
      </c>
      <c r="L666" s="7">
        <v>14.88</v>
      </c>
      <c r="M666" t="s">
        <v>17</v>
      </c>
      <c r="N666" s="16">
        <f>POWER(SQRT(WorkOrders27[[#This Row],[WorkDate]]-WorkOrders27[[#This Row],[ReqDate]]),2)</f>
        <v>11.999999999999998</v>
      </c>
      <c r="O666" s="8">
        <f t="array" ref="O666">INDEX(TechRate,MATCH(H666,TechNum,0))</f>
        <v>80</v>
      </c>
      <c r="P666" s="10">
        <f>WorkOrders27[[#This Row],[Techs]]*(WorkOrders27[[#This Row],[PartsCost]]*WorkOrders27[[#This Row],[LbrHrs]])</f>
        <v>7.44</v>
      </c>
      <c r="Q666" s="10">
        <f t="shared" si="59"/>
        <v>7.44</v>
      </c>
      <c r="R666" s="10">
        <f t="shared" si="60"/>
        <v>14.88</v>
      </c>
      <c r="S666" s="10">
        <f t="shared" si="61"/>
        <v>22.32</v>
      </c>
      <c r="T666" s="10">
        <f t="shared" si="62"/>
        <v>22.32</v>
      </c>
      <c r="U666" s="8" t="str">
        <f t="shared" si="63"/>
        <v>Wed</v>
      </c>
      <c r="V666" s="8" t="str">
        <f t="shared" si="63"/>
        <v>Mon</v>
      </c>
    </row>
    <row r="667" spans="1:22" x14ac:dyDescent="0.25">
      <c r="A667" t="s">
        <v>211</v>
      </c>
      <c r="B667" t="s">
        <v>37</v>
      </c>
      <c r="C667" t="s">
        <v>43</v>
      </c>
      <c r="D667" t="s">
        <v>12</v>
      </c>
      <c r="F667" s="5">
        <v>44154</v>
      </c>
      <c r="G667" s="5">
        <v>44165</v>
      </c>
      <c r="H667" s="2">
        <v>1</v>
      </c>
      <c r="I667" s="6"/>
      <c r="J667" s="6"/>
      <c r="K667" s="7">
        <v>0.5</v>
      </c>
      <c r="L667" s="7">
        <v>81.900000000000006</v>
      </c>
      <c r="M667" t="s">
        <v>17</v>
      </c>
      <c r="N667" s="16">
        <f>POWER(SQRT(WorkOrders27[[#This Row],[WorkDate]]-WorkOrders27[[#This Row],[ReqDate]]),2)</f>
        <v>11</v>
      </c>
      <c r="O667" s="8">
        <f t="array" ref="O667">INDEX(TechRate,MATCH(H667,TechNum,0))</f>
        <v>80</v>
      </c>
      <c r="P667" s="10">
        <f>WorkOrders27[[#This Row],[Techs]]*(WorkOrders27[[#This Row],[PartsCost]]*WorkOrders27[[#This Row],[LbrHrs]])</f>
        <v>40.950000000000003</v>
      </c>
      <c r="Q667" s="10">
        <f t="shared" si="59"/>
        <v>40.950000000000003</v>
      </c>
      <c r="R667" s="10">
        <f t="shared" si="60"/>
        <v>81.900000000000006</v>
      </c>
      <c r="S667" s="10">
        <f t="shared" si="61"/>
        <v>122.85000000000001</v>
      </c>
      <c r="T667" s="10">
        <f t="shared" si="62"/>
        <v>122.85000000000001</v>
      </c>
      <c r="U667" s="8" t="str">
        <f t="shared" si="63"/>
        <v>Thu</v>
      </c>
      <c r="V667" s="8" t="str">
        <f t="shared" si="63"/>
        <v>Mon</v>
      </c>
    </row>
    <row r="668" spans="1:22" x14ac:dyDescent="0.25">
      <c r="A668" t="s">
        <v>212</v>
      </c>
      <c r="B668" t="s">
        <v>35</v>
      </c>
      <c r="C668" t="s">
        <v>9</v>
      </c>
      <c r="D668" t="s">
        <v>12</v>
      </c>
      <c r="F668" s="5">
        <v>44154</v>
      </c>
      <c r="G668" s="5">
        <v>44168</v>
      </c>
      <c r="H668" s="2">
        <v>2</v>
      </c>
      <c r="I668" s="6"/>
      <c r="J668" s="6"/>
      <c r="K668" s="7">
        <v>0.25</v>
      </c>
      <c r="L668" s="7">
        <v>21.33</v>
      </c>
      <c r="M668" t="s">
        <v>17</v>
      </c>
      <c r="N668" s="16">
        <f>POWER(SQRT(WorkOrders27[[#This Row],[WorkDate]]-WorkOrders27[[#This Row],[ReqDate]]),2)</f>
        <v>14</v>
      </c>
      <c r="O668" s="8">
        <f t="array" ref="O668">INDEX(TechRate,MATCH(H668,TechNum,0))</f>
        <v>140</v>
      </c>
      <c r="P668" s="10">
        <f>WorkOrders27[[#This Row],[Techs]]*(WorkOrders27[[#This Row],[PartsCost]]*WorkOrders27[[#This Row],[LbrHrs]])</f>
        <v>10.664999999999999</v>
      </c>
      <c r="Q668" s="10">
        <f t="shared" si="59"/>
        <v>10.664999999999999</v>
      </c>
      <c r="R668" s="10">
        <f t="shared" si="60"/>
        <v>21.33</v>
      </c>
      <c r="S668" s="10">
        <f t="shared" si="61"/>
        <v>31.994999999999997</v>
      </c>
      <c r="T668" s="10">
        <f t="shared" si="62"/>
        <v>31.994999999999997</v>
      </c>
      <c r="U668" s="8" t="str">
        <f t="shared" si="63"/>
        <v>Thu</v>
      </c>
      <c r="V668" s="8" t="str">
        <f t="shared" si="63"/>
        <v>Thu</v>
      </c>
    </row>
    <row r="669" spans="1:22" x14ac:dyDescent="0.25">
      <c r="A669" t="s">
        <v>213</v>
      </c>
      <c r="B669" t="s">
        <v>34</v>
      </c>
      <c r="C669" t="s">
        <v>8</v>
      </c>
      <c r="D669" t="s">
        <v>12</v>
      </c>
      <c r="F669" s="5">
        <v>44154</v>
      </c>
      <c r="G669" s="5">
        <v>44168</v>
      </c>
      <c r="H669" s="2">
        <v>1</v>
      </c>
      <c r="I669" s="6"/>
      <c r="J669" s="6"/>
      <c r="K669" s="7">
        <v>0.25</v>
      </c>
      <c r="L669" s="7">
        <v>120</v>
      </c>
      <c r="M669" t="s">
        <v>19</v>
      </c>
      <c r="N669" s="16">
        <f>POWER(SQRT(WorkOrders27[[#This Row],[WorkDate]]-WorkOrders27[[#This Row],[ReqDate]]),2)</f>
        <v>14</v>
      </c>
      <c r="O669" s="8">
        <f t="array" ref="O669">INDEX(TechRate,MATCH(H669,TechNum,0))</f>
        <v>80</v>
      </c>
      <c r="P669" s="10">
        <f>WorkOrders27[[#This Row],[Techs]]*(WorkOrders27[[#This Row],[PartsCost]]*WorkOrders27[[#This Row],[LbrHrs]])</f>
        <v>30</v>
      </c>
      <c r="Q669" s="10">
        <f t="shared" si="59"/>
        <v>30</v>
      </c>
      <c r="R669" s="10">
        <f t="shared" si="60"/>
        <v>120</v>
      </c>
      <c r="S669" s="10">
        <f t="shared" si="61"/>
        <v>150</v>
      </c>
      <c r="T669" s="10">
        <f t="shared" si="62"/>
        <v>150</v>
      </c>
      <c r="U669" s="8" t="str">
        <f t="shared" si="63"/>
        <v>Thu</v>
      </c>
      <c r="V669" s="8" t="str">
        <f t="shared" si="63"/>
        <v>Thu</v>
      </c>
    </row>
    <row r="670" spans="1:22" x14ac:dyDescent="0.25">
      <c r="A670" t="s">
        <v>214</v>
      </c>
      <c r="B670" t="s">
        <v>35</v>
      </c>
      <c r="C670" t="s">
        <v>6</v>
      </c>
      <c r="D670" t="s">
        <v>13</v>
      </c>
      <c r="F670" s="5">
        <v>44154</v>
      </c>
      <c r="G670" s="5">
        <v>44182</v>
      </c>
      <c r="H670" s="2">
        <v>2</v>
      </c>
      <c r="I670" s="6"/>
      <c r="J670" s="6"/>
      <c r="K670" s="7">
        <v>0.5</v>
      </c>
      <c r="L670" s="7">
        <v>1579.4</v>
      </c>
      <c r="M670" t="s">
        <v>17</v>
      </c>
      <c r="N670" s="16">
        <f>POWER(SQRT(WorkOrders27[[#This Row],[WorkDate]]-WorkOrders27[[#This Row],[ReqDate]]),2)</f>
        <v>28.000000000000004</v>
      </c>
      <c r="O670" s="8">
        <f t="array" ref="O670">INDEX(TechRate,MATCH(H670,TechNum,0))</f>
        <v>140</v>
      </c>
      <c r="P670" s="10">
        <f>WorkOrders27[[#This Row],[Techs]]*(WorkOrders27[[#This Row],[PartsCost]]*WorkOrders27[[#This Row],[LbrHrs]])</f>
        <v>1579.4</v>
      </c>
      <c r="Q670" s="10">
        <f t="shared" si="59"/>
        <v>1579.4</v>
      </c>
      <c r="R670" s="10">
        <f t="shared" si="60"/>
        <v>1579.4</v>
      </c>
      <c r="S670" s="10">
        <f t="shared" si="61"/>
        <v>3158.8</v>
      </c>
      <c r="T670" s="10">
        <f t="shared" si="62"/>
        <v>3158.8</v>
      </c>
      <c r="U670" s="8" t="str">
        <f t="shared" si="63"/>
        <v>Thu</v>
      </c>
      <c r="V670" s="8" t="str">
        <f t="shared" si="63"/>
        <v>Thu</v>
      </c>
    </row>
    <row r="671" spans="1:22" x14ac:dyDescent="0.25">
      <c r="A671" t="s">
        <v>215</v>
      </c>
      <c r="B671" t="s">
        <v>37</v>
      </c>
      <c r="C671" t="s">
        <v>8</v>
      </c>
      <c r="D671" t="s">
        <v>13</v>
      </c>
      <c r="F671" s="5">
        <v>44156</v>
      </c>
      <c r="G671" s="5">
        <v>44165</v>
      </c>
      <c r="H671" s="2">
        <v>2</v>
      </c>
      <c r="I671" s="6"/>
      <c r="J671" s="6"/>
      <c r="K671" s="7">
        <v>0.5</v>
      </c>
      <c r="L671" s="7">
        <v>174.18029999999999</v>
      </c>
      <c r="M671" t="s">
        <v>18</v>
      </c>
      <c r="N671" s="16">
        <f>POWER(SQRT(WorkOrders27[[#This Row],[WorkDate]]-WorkOrders27[[#This Row],[ReqDate]]),2)</f>
        <v>9</v>
      </c>
      <c r="O671" s="8">
        <f t="array" ref="O671">INDEX(TechRate,MATCH(H671,TechNum,0))</f>
        <v>140</v>
      </c>
      <c r="P671" s="10">
        <f>WorkOrders27[[#This Row],[Techs]]*(WorkOrders27[[#This Row],[PartsCost]]*WorkOrders27[[#This Row],[LbrHrs]])</f>
        <v>174.18029999999999</v>
      </c>
      <c r="Q671" s="10">
        <f t="shared" si="59"/>
        <v>174.18029999999999</v>
      </c>
      <c r="R671" s="10">
        <f t="shared" si="60"/>
        <v>174.18029999999999</v>
      </c>
      <c r="S671" s="10">
        <f t="shared" si="61"/>
        <v>348.36059999999998</v>
      </c>
      <c r="T671" s="10">
        <f t="shared" si="62"/>
        <v>348.36059999999998</v>
      </c>
      <c r="U671" s="8" t="str">
        <f t="shared" si="63"/>
        <v>Sat</v>
      </c>
      <c r="V671" s="8" t="str">
        <f t="shared" si="63"/>
        <v>Mon</v>
      </c>
    </row>
    <row r="672" spans="1:22" x14ac:dyDescent="0.25">
      <c r="A672" t="s">
        <v>216</v>
      </c>
      <c r="B672" t="s">
        <v>34</v>
      </c>
      <c r="C672" t="s">
        <v>9</v>
      </c>
      <c r="D672" t="s">
        <v>13</v>
      </c>
      <c r="F672" s="5">
        <v>44158</v>
      </c>
      <c r="G672" s="5">
        <v>44172</v>
      </c>
      <c r="H672" s="2">
        <v>1</v>
      </c>
      <c r="I672" s="6"/>
      <c r="J672" s="6"/>
      <c r="K672" s="7">
        <v>0.75</v>
      </c>
      <c r="L672" s="7">
        <v>20</v>
      </c>
      <c r="M672" t="s">
        <v>17</v>
      </c>
      <c r="N672" s="16">
        <f>POWER(SQRT(WorkOrders27[[#This Row],[WorkDate]]-WorkOrders27[[#This Row],[ReqDate]]),2)</f>
        <v>14</v>
      </c>
      <c r="O672" s="8">
        <f t="array" ref="O672">INDEX(TechRate,MATCH(H672,TechNum,0))</f>
        <v>80</v>
      </c>
      <c r="P672" s="10">
        <f>WorkOrders27[[#This Row],[Techs]]*(WorkOrders27[[#This Row],[PartsCost]]*WorkOrders27[[#This Row],[LbrHrs]])</f>
        <v>15</v>
      </c>
      <c r="Q672" s="10">
        <f t="shared" si="59"/>
        <v>15</v>
      </c>
      <c r="R672" s="10">
        <f t="shared" si="60"/>
        <v>20</v>
      </c>
      <c r="S672" s="10">
        <f t="shared" si="61"/>
        <v>35</v>
      </c>
      <c r="T672" s="10">
        <f t="shared" si="62"/>
        <v>35</v>
      </c>
      <c r="U672" s="8" t="str">
        <f t="shared" si="63"/>
        <v>Mon</v>
      </c>
      <c r="V672" s="8" t="str">
        <f t="shared" si="63"/>
        <v>Mon</v>
      </c>
    </row>
    <row r="673" spans="1:22" x14ac:dyDescent="0.25">
      <c r="A673" t="s">
        <v>217</v>
      </c>
      <c r="B673" t="s">
        <v>35</v>
      </c>
      <c r="C673" t="s">
        <v>8</v>
      </c>
      <c r="D673" t="s">
        <v>1</v>
      </c>
      <c r="F673" s="5">
        <v>44158</v>
      </c>
      <c r="G673" s="5">
        <v>44201</v>
      </c>
      <c r="H673" s="2">
        <v>1</v>
      </c>
      <c r="I673" s="6"/>
      <c r="J673" s="6"/>
      <c r="K673" s="7">
        <v>2.5</v>
      </c>
      <c r="L673" s="7">
        <v>689.15409999999997</v>
      </c>
      <c r="M673" t="s">
        <v>19</v>
      </c>
      <c r="N673" s="16">
        <f>POWER(SQRT(WorkOrders27[[#This Row],[WorkDate]]-WorkOrders27[[#This Row],[ReqDate]]),2)</f>
        <v>42.999999999999993</v>
      </c>
      <c r="O673" s="8">
        <f t="array" ref="O673">INDEX(TechRate,MATCH(H673,TechNum,0))</f>
        <v>80</v>
      </c>
      <c r="P673" s="10">
        <f>WorkOrders27[[#This Row],[Techs]]*(WorkOrders27[[#This Row],[PartsCost]]*WorkOrders27[[#This Row],[LbrHrs]])</f>
        <v>1722.8852499999998</v>
      </c>
      <c r="Q673" s="10">
        <f t="shared" si="59"/>
        <v>1722.8852499999998</v>
      </c>
      <c r="R673" s="10">
        <f t="shared" si="60"/>
        <v>689.15409999999997</v>
      </c>
      <c r="S673" s="10">
        <f t="shared" si="61"/>
        <v>2412.03935</v>
      </c>
      <c r="T673" s="10">
        <f t="shared" si="62"/>
        <v>2412.03935</v>
      </c>
      <c r="U673" s="8" t="str">
        <f t="shared" si="63"/>
        <v>Mon</v>
      </c>
      <c r="V673" s="8" t="str">
        <f t="shared" si="63"/>
        <v>Tue</v>
      </c>
    </row>
    <row r="674" spans="1:22" x14ac:dyDescent="0.25">
      <c r="A674" t="s">
        <v>218</v>
      </c>
      <c r="B674" t="s">
        <v>39</v>
      </c>
      <c r="C674" t="s">
        <v>6</v>
      </c>
      <c r="D674" t="s">
        <v>12</v>
      </c>
      <c r="F674" s="5">
        <v>44158</v>
      </c>
      <c r="G674" s="5">
        <v>44203</v>
      </c>
      <c r="H674" s="2">
        <v>1</v>
      </c>
      <c r="I674" s="6"/>
      <c r="J674" s="6"/>
      <c r="K674" s="7">
        <v>0.25</v>
      </c>
      <c r="L674" s="7">
        <v>156</v>
      </c>
      <c r="M674" t="s">
        <v>17</v>
      </c>
      <c r="N674" s="16">
        <f>POWER(SQRT(WorkOrders27[[#This Row],[WorkDate]]-WorkOrders27[[#This Row],[ReqDate]]),2)</f>
        <v>45.000000000000007</v>
      </c>
      <c r="O674" s="8">
        <f t="array" ref="O674">INDEX(TechRate,MATCH(H674,TechNum,0))</f>
        <v>80</v>
      </c>
      <c r="P674" s="10">
        <f>WorkOrders27[[#This Row],[Techs]]*(WorkOrders27[[#This Row],[PartsCost]]*WorkOrders27[[#This Row],[LbrHrs]])</f>
        <v>39</v>
      </c>
      <c r="Q674" s="10">
        <f t="shared" si="59"/>
        <v>39</v>
      </c>
      <c r="R674" s="10">
        <f t="shared" si="60"/>
        <v>156</v>
      </c>
      <c r="S674" s="10">
        <f t="shared" si="61"/>
        <v>195</v>
      </c>
      <c r="T674" s="10">
        <f t="shared" si="62"/>
        <v>195</v>
      </c>
      <c r="U674" s="8" t="str">
        <f t="shared" si="63"/>
        <v>Mon</v>
      </c>
      <c r="V674" s="8" t="str">
        <f t="shared" si="63"/>
        <v>Thu</v>
      </c>
    </row>
    <row r="675" spans="1:22" x14ac:dyDescent="0.25">
      <c r="A675" t="s">
        <v>219</v>
      </c>
      <c r="B675" t="s">
        <v>37</v>
      </c>
      <c r="C675" t="s">
        <v>43</v>
      </c>
      <c r="D675" t="s">
        <v>12</v>
      </c>
      <c r="F675" s="5">
        <v>44158</v>
      </c>
      <c r="G675" s="5">
        <v>44212</v>
      </c>
      <c r="H675" s="2">
        <v>1</v>
      </c>
      <c r="I675" s="6"/>
      <c r="J675" s="6"/>
      <c r="K675" s="7">
        <v>0.25</v>
      </c>
      <c r="L675" s="7">
        <v>45.734099999999998</v>
      </c>
      <c r="M675" t="s">
        <v>17</v>
      </c>
      <c r="N675" s="16">
        <f>POWER(SQRT(WorkOrders27[[#This Row],[WorkDate]]-WorkOrders27[[#This Row],[ReqDate]]),2)</f>
        <v>54</v>
      </c>
      <c r="O675" s="8">
        <f t="array" ref="O675">INDEX(TechRate,MATCH(H675,TechNum,0))</f>
        <v>80</v>
      </c>
      <c r="P675" s="10">
        <f>WorkOrders27[[#This Row],[Techs]]*(WorkOrders27[[#This Row],[PartsCost]]*WorkOrders27[[#This Row],[LbrHrs]])</f>
        <v>11.433524999999999</v>
      </c>
      <c r="Q675" s="10">
        <f t="shared" si="59"/>
        <v>11.433524999999999</v>
      </c>
      <c r="R675" s="10">
        <f t="shared" si="60"/>
        <v>45.734099999999998</v>
      </c>
      <c r="S675" s="10">
        <f t="shared" si="61"/>
        <v>57.167625000000001</v>
      </c>
      <c r="T675" s="10">
        <f t="shared" si="62"/>
        <v>57.167625000000001</v>
      </c>
      <c r="U675" s="8" t="str">
        <f t="shared" si="63"/>
        <v>Mon</v>
      </c>
      <c r="V675" s="8" t="str">
        <f t="shared" si="63"/>
        <v>Sat</v>
      </c>
    </row>
    <row r="676" spans="1:22" x14ac:dyDescent="0.25">
      <c r="A676" t="s">
        <v>220</v>
      </c>
      <c r="B676" t="s">
        <v>40</v>
      </c>
      <c r="C676" t="s">
        <v>7</v>
      </c>
      <c r="D676" t="s">
        <v>13</v>
      </c>
      <c r="F676" s="5">
        <v>44158</v>
      </c>
      <c r="G676" s="5">
        <v>44236</v>
      </c>
      <c r="H676" s="2">
        <v>2</v>
      </c>
      <c r="I676" s="6"/>
      <c r="J676" s="6"/>
      <c r="K676" s="7">
        <v>0.5</v>
      </c>
      <c r="L676" s="7">
        <v>204.28399999999999</v>
      </c>
      <c r="M676" t="s">
        <v>17</v>
      </c>
      <c r="N676" s="16">
        <f>POWER(SQRT(WorkOrders27[[#This Row],[WorkDate]]-WorkOrders27[[#This Row],[ReqDate]]),2)</f>
        <v>78.000000000000014</v>
      </c>
      <c r="O676" s="8">
        <f t="array" ref="O676">INDEX(TechRate,MATCH(H676,TechNum,0))</f>
        <v>140</v>
      </c>
      <c r="P676" s="10">
        <f>WorkOrders27[[#This Row],[Techs]]*(WorkOrders27[[#This Row],[PartsCost]]*WorkOrders27[[#This Row],[LbrHrs]])</f>
        <v>204.28399999999999</v>
      </c>
      <c r="Q676" s="10">
        <f t="shared" si="59"/>
        <v>204.28399999999999</v>
      </c>
      <c r="R676" s="10">
        <f t="shared" si="60"/>
        <v>204.28399999999999</v>
      </c>
      <c r="S676" s="10">
        <f t="shared" si="61"/>
        <v>408.56799999999998</v>
      </c>
      <c r="T676" s="10">
        <f t="shared" si="62"/>
        <v>408.56799999999998</v>
      </c>
      <c r="U676" s="8" t="str">
        <f t="shared" si="63"/>
        <v>Mon</v>
      </c>
      <c r="V676" s="8" t="str">
        <f t="shared" si="63"/>
        <v>Tue</v>
      </c>
    </row>
    <row r="677" spans="1:22" x14ac:dyDescent="0.25">
      <c r="A677" t="s">
        <v>221</v>
      </c>
      <c r="B677" t="s">
        <v>35</v>
      </c>
      <c r="C677" t="s">
        <v>8</v>
      </c>
      <c r="D677" t="s">
        <v>11</v>
      </c>
      <c r="E677" t="s">
        <v>3</v>
      </c>
      <c r="F677" s="5">
        <v>44159</v>
      </c>
      <c r="G677" s="5">
        <v>44161</v>
      </c>
      <c r="H677" s="2">
        <v>1</v>
      </c>
      <c r="I677" s="6"/>
      <c r="J677" s="6"/>
      <c r="K677" s="7">
        <v>0.25</v>
      </c>
      <c r="L677" s="7">
        <v>21.33</v>
      </c>
      <c r="M677" t="s">
        <v>17</v>
      </c>
      <c r="N677" s="16">
        <f>POWER(SQRT(WorkOrders27[[#This Row],[WorkDate]]-WorkOrders27[[#This Row],[ReqDate]]),2)</f>
        <v>2.0000000000000004</v>
      </c>
      <c r="O677" s="8">
        <f t="array" ref="O677">INDEX(TechRate,MATCH(H677,TechNum,0))</f>
        <v>80</v>
      </c>
      <c r="P677" s="10">
        <f>WorkOrders27[[#This Row],[Techs]]*(WorkOrders27[[#This Row],[PartsCost]]*WorkOrders27[[#This Row],[LbrHrs]])</f>
        <v>5.3324999999999996</v>
      </c>
      <c r="Q677" s="10">
        <f t="shared" si="59"/>
        <v>5.3324999999999996</v>
      </c>
      <c r="R677" s="10">
        <f t="shared" si="60"/>
        <v>21.33</v>
      </c>
      <c r="S677" s="10">
        <f t="shared" si="61"/>
        <v>26.662499999999998</v>
      </c>
      <c r="T677" s="10">
        <f t="shared" si="62"/>
        <v>26.662499999999998</v>
      </c>
      <c r="U677" s="8" t="str">
        <f t="shared" si="63"/>
        <v>Tue</v>
      </c>
      <c r="V677" s="8" t="str">
        <f t="shared" si="63"/>
        <v>Thu</v>
      </c>
    </row>
    <row r="678" spans="1:22" x14ac:dyDescent="0.25">
      <c r="A678" t="s">
        <v>222</v>
      </c>
      <c r="B678" t="s">
        <v>39</v>
      </c>
      <c r="C678" t="s">
        <v>8</v>
      </c>
      <c r="D678" t="s">
        <v>13</v>
      </c>
      <c r="F678" s="5">
        <v>44159</v>
      </c>
      <c r="G678" s="5">
        <v>44168</v>
      </c>
      <c r="H678" s="2">
        <v>1</v>
      </c>
      <c r="I678" s="6"/>
      <c r="J678" s="6"/>
      <c r="K678" s="7">
        <v>0.5</v>
      </c>
      <c r="L678" s="7">
        <v>34.08</v>
      </c>
      <c r="M678" t="s">
        <v>19</v>
      </c>
      <c r="N678" s="16">
        <f>POWER(SQRT(WorkOrders27[[#This Row],[WorkDate]]-WorkOrders27[[#This Row],[ReqDate]]),2)</f>
        <v>9</v>
      </c>
      <c r="O678" s="8">
        <f t="array" ref="O678">INDEX(TechRate,MATCH(H678,TechNum,0))</f>
        <v>80</v>
      </c>
      <c r="P678" s="10">
        <f>WorkOrders27[[#This Row],[Techs]]*(WorkOrders27[[#This Row],[PartsCost]]*WorkOrders27[[#This Row],[LbrHrs]])</f>
        <v>17.04</v>
      </c>
      <c r="Q678" s="10">
        <f t="shared" si="59"/>
        <v>17.04</v>
      </c>
      <c r="R678" s="10">
        <f t="shared" si="60"/>
        <v>34.08</v>
      </c>
      <c r="S678" s="10">
        <f t="shared" si="61"/>
        <v>51.12</v>
      </c>
      <c r="T678" s="10">
        <f t="shared" si="62"/>
        <v>51.12</v>
      </c>
      <c r="U678" s="8" t="str">
        <f t="shared" si="63"/>
        <v>Tue</v>
      </c>
      <c r="V678" s="8" t="str">
        <f t="shared" si="63"/>
        <v>Thu</v>
      </c>
    </row>
    <row r="679" spans="1:22" x14ac:dyDescent="0.25">
      <c r="A679" t="s">
        <v>223</v>
      </c>
      <c r="B679" t="s">
        <v>35</v>
      </c>
      <c r="C679" t="s">
        <v>6</v>
      </c>
      <c r="D679" t="s">
        <v>13</v>
      </c>
      <c r="F679" s="5">
        <v>44159</v>
      </c>
      <c r="G679" s="5">
        <v>44168</v>
      </c>
      <c r="H679" s="2">
        <v>2</v>
      </c>
      <c r="I679" s="6"/>
      <c r="J679" s="6"/>
      <c r="K679" s="7">
        <v>0.75</v>
      </c>
      <c r="L679" s="7">
        <v>212.0085</v>
      </c>
      <c r="M679" t="s">
        <v>17</v>
      </c>
      <c r="N679" s="16">
        <f>POWER(SQRT(WorkOrders27[[#This Row],[WorkDate]]-WorkOrders27[[#This Row],[ReqDate]]),2)</f>
        <v>9</v>
      </c>
      <c r="O679" s="8">
        <f t="array" ref="O679">INDEX(TechRate,MATCH(H679,TechNum,0))</f>
        <v>140</v>
      </c>
      <c r="P679" s="10">
        <f>WorkOrders27[[#This Row],[Techs]]*(WorkOrders27[[#This Row],[PartsCost]]*WorkOrders27[[#This Row],[LbrHrs]])</f>
        <v>318.01274999999998</v>
      </c>
      <c r="Q679" s="10">
        <f t="shared" si="59"/>
        <v>318.01274999999998</v>
      </c>
      <c r="R679" s="10">
        <f t="shared" si="60"/>
        <v>212.0085</v>
      </c>
      <c r="S679" s="10">
        <f t="shared" si="61"/>
        <v>530.02125000000001</v>
      </c>
      <c r="T679" s="10">
        <f t="shared" si="62"/>
        <v>530.02125000000001</v>
      </c>
      <c r="U679" s="8" t="str">
        <f t="shared" si="63"/>
        <v>Tue</v>
      </c>
      <c r="V679" s="8" t="str">
        <f t="shared" si="63"/>
        <v>Thu</v>
      </c>
    </row>
    <row r="680" spans="1:22" x14ac:dyDescent="0.25">
      <c r="A680" t="s">
        <v>224</v>
      </c>
      <c r="B680" t="s">
        <v>35</v>
      </c>
      <c r="C680" t="s">
        <v>8</v>
      </c>
      <c r="D680" t="s">
        <v>2</v>
      </c>
      <c r="F680" s="5">
        <v>44159</v>
      </c>
      <c r="G680" s="5">
        <v>44172</v>
      </c>
      <c r="H680" s="2">
        <v>1</v>
      </c>
      <c r="I680" s="6"/>
      <c r="J680" s="6"/>
      <c r="K680" s="7">
        <v>1</v>
      </c>
      <c r="L680" s="7">
        <v>341.2672</v>
      </c>
      <c r="M680" t="s">
        <v>18</v>
      </c>
      <c r="N680" s="16">
        <f>POWER(SQRT(WorkOrders27[[#This Row],[WorkDate]]-WorkOrders27[[#This Row],[ReqDate]]),2)</f>
        <v>12.999999999999998</v>
      </c>
      <c r="O680" s="8">
        <f t="array" ref="O680">INDEX(TechRate,MATCH(H680,TechNum,0))</f>
        <v>80</v>
      </c>
      <c r="P680" s="10">
        <f>WorkOrders27[[#This Row],[Techs]]*(WorkOrders27[[#This Row],[PartsCost]]*WorkOrders27[[#This Row],[LbrHrs]])</f>
        <v>341.2672</v>
      </c>
      <c r="Q680" s="10">
        <f t="shared" si="59"/>
        <v>341.2672</v>
      </c>
      <c r="R680" s="10">
        <f t="shared" si="60"/>
        <v>341.2672</v>
      </c>
      <c r="S680" s="10">
        <f t="shared" si="61"/>
        <v>682.53440000000001</v>
      </c>
      <c r="T680" s="10">
        <f t="shared" si="62"/>
        <v>682.53440000000001</v>
      </c>
      <c r="U680" s="8" t="str">
        <f t="shared" si="63"/>
        <v>Tue</v>
      </c>
      <c r="V680" s="8" t="str">
        <f t="shared" si="63"/>
        <v>Mon</v>
      </c>
    </row>
    <row r="681" spans="1:22" x14ac:dyDescent="0.25">
      <c r="A681" t="s">
        <v>225</v>
      </c>
      <c r="B681" t="s">
        <v>34</v>
      </c>
      <c r="C681" t="s">
        <v>44</v>
      </c>
      <c r="D681" t="s">
        <v>13</v>
      </c>
      <c r="F681" s="5">
        <v>44159</v>
      </c>
      <c r="G681" s="5">
        <v>44245</v>
      </c>
      <c r="H681" s="2">
        <v>1</v>
      </c>
      <c r="I681" s="6"/>
      <c r="J681" s="6"/>
      <c r="K681" s="7">
        <v>0.5</v>
      </c>
      <c r="L681" s="7">
        <v>25.773599999999998</v>
      </c>
      <c r="M681" t="s">
        <v>17</v>
      </c>
      <c r="N681" s="16">
        <f>POWER(SQRT(WorkOrders27[[#This Row],[WorkDate]]-WorkOrders27[[#This Row],[ReqDate]]),2)</f>
        <v>86</v>
      </c>
      <c r="O681" s="8">
        <f t="array" ref="O681">INDEX(TechRate,MATCH(H681,TechNum,0))</f>
        <v>80</v>
      </c>
      <c r="P681" s="10">
        <f>WorkOrders27[[#This Row],[Techs]]*(WorkOrders27[[#This Row],[PartsCost]]*WorkOrders27[[#This Row],[LbrHrs]])</f>
        <v>12.886799999999999</v>
      </c>
      <c r="Q681" s="10">
        <f t="shared" si="59"/>
        <v>12.886799999999999</v>
      </c>
      <c r="R681" s="10">
        <f t="shared" si="60"/>
        <v>25.773599999999998</v>
      </c>
      <c r="S681" s="10">
        <f t="shared" si="61"/>
        <v>38.660399999999996</v>
      </c>
      <c r="T681" s="10">
        <f t="shared" si="62"/>
        <v>38.660399999999996</v>
      </c>
      <c r="U681" s="8" t="str">
        <f t="shared" si="63"/>
        <v>Tue</v>
      </c>
      <c r="V681" s="8" t="str">
        <f t="shared" si="63"/>
        <v>Thu</v>
      </c>
    </row>
    <row r="682" spans="1:22" x14ac:dyDescent="0.25">
      <c r="A682" t="s">
        <v>226</v>
      </c>
      <c r="B682" t="s">
        <v>39</v>
      </c>
      <c r="C682" t="s">
        <v>8</v>
      </c>
      <c r="D682" t="s">
        <v>12</v>
      </c>
      <c r="E682" t="s">
        <v>3</v>
      </c>
      <c r="F682" s="5">
        <v>44160</v>
      </c>
      <c r="G682" s="5">
        <v>44172</v>
      </c>
      <c r="H682" s="2">
        <v>1</v>
      </c>
      <c r="I682" s="6"/>
      <c r="J682" s="6"/>
      <c r="K682" s="7">
        <v>0.5</v>
      </c>
      <c r="L682" s="7">
        <v>133.36609999999999</v>
      </c>
      <c r="M682" t="s">
        <v>17</v>
      </c>
      <c r="N682" s="16">
        <f>POWER(SQRT(WorkOrders27[[#This Row],[WorkDate]]-WorkOrders27[[#This Row],[ReqDate]]),2)</f>
        <v>11.999999999999998</v>
      </c>
      <c r="O682" s="8">
        <f t="array" ref="O682">INDEX(TechRate,MATCH(H682,TechNum,0))</f>
        <v>80</v>
      </c>
      <c r="P682" s="10">
        <f>WorkOrders27[[#This Row],[Techs]]*(WorkOrders27[[#This Row],[PartsCost]]*WorkOrders27[[#This Row],[LbrHrs]])</f>
        <v>66.683049999999994</v>
      </c>
      <c r="Q682" s="10">
        <f t="shared" si="59"/>
        <v>66.683049999999994</v>
      </c>
      <c r="R682" s="10">
        <f t="shared" si="60"/>
        <v>133.36609999999999</v>
      </c>
      <c r="S682" s="10">
        <f t="shared" si="61"/>
        <v>200.04915</v>
      </c>
      <c r="T682" s="10">
        <f t="shared" si="62"/>
        <v>200.04915</v>
      </c>
      <c r="U682" s="8" t="str">
        <f t="shared" si="63"/>
        <v>Wed</v>
      </c>
      <c r="V682" s="8" t="str">
        <f t="shared" si="63"/>
        <v>Mon</v>
      </c>
    </row>
    <row r="683" spans="1:22" x14ac:dyDescent="0.25">
      <c r="A683" t="s">
        <v>227</v>
      </c>
      <c r="B683" t="s">
        <v>38</v>
      </c>
      <c r="C683" t="s">
        <v>8</v>
      </c>
      <c r="D683" t="s">
        <v>12</v>
      </c>
      <c r="F683" s="5">
        <v>44160</v>
      </c>
      <c r="G683" s="5">
        <v>44200</v>
      </c>
      <c r="H683" s="2">
        <v>1</v>
      </c>
      <c r="I683" s="6"/>
      <c r="J683" s="6"/>
      <c r="K683" s="7">
        <v>0.5</v>
      </c>
      <c r="L683" s="7">
        <v>66.864900000000006</v>
      </c>
      <c r="M683" t="s">
        <v>17</v>
      </c>
      <c r="N683" s="16">
        <f>POWER(SQRT(WorkOrders27[[#This Row],[WorkDate]]-WorkOrders27[[#This Row],[ReqDate]]),2)</f>
        <v>40.000000000000007</v>
      </c>
      <c r="O683" s="8">
        <f t="array" ref="O683">INDEX(TechRate,MATCH(H683,TechNum,0))</f>
        <v>80</v>
      </c>
      <c r="P683" s="10">
        <f>WorkOrders27[[#This Row],[Techs]]*(WorkOrders27[[#This Row],[PartsCost]]*WorkOrders27[[#This Row],[LbrHrs]])</f>
        <v>33.432450000000003</v>
      </c>
      <c r="Q683" s="10">
        <f t="shared" si="59"/>
        <v>33.432450000000003</v>
      </c>
      <c r="R683" s="10">
        <f t="shared" si="60"/>
        <v>66.864900000000006</v>
      </c>
      <c r="S683" s="10">
        <f t="shared" si="61"/>
        <v>100.29735000000001</v>
      </c>
      <c r="T683" s="10">
        <f t="shared" si="62"/>
        <v>100.29735000000001</v>
      </c>
      <c r="U683" s="8" t="str">
        <f t="shared" si="63"/>
        <v>Wed</v>
      </c>
      <c r="V683" s="8" t="str">
        <f t="shared" si="63"/>
        <v>Mon</v>
      </c>
    </row>
    <row r="684" spans="1:22" x14ac:dyDescent="0.25">
      <c r="A684" t="s">
        <v>228</v>
      </c>
      <c r="B684" t="s">
        <v>38</v>
      </c>
      <c r="C684" t="s">
        <v>8</v>
      </c>
      <c r="D684" t="s">
        <v>12</v>
      </c>
      <c r="F684" s="5">
        <v>44160</v>
      </c>
      <c r="G684" s="5">
        <v>44200</v>
      </c>
      <c r="H684" s="2">
        <v>1</v>
      </c>
      <c r="I684" s="6"/>
      <c r="J684" s="6"/>
      <c r="K684" s="7">
        <v>0.75</v>
      </c>
      <c r="L684" s="7">
        <v>94.26</v>
      </c>
      <c r="M684" t="s">
        <v>19</v>
      </c>
      <c r="N684" s="16">
        <f>POWER(SQRT(WorkOrders27[[#This Row],[WorkDate]]-WorkOrders27[[#This Row],[ReqDate]]),2)</f>
        <v>40.000000000000007</v>
      </c>
      <c r="O684" s="8">
        <f t="array" ref="O684">INDEX(TechRate,MATCH(H684,TechNum,0))</f>
        <v>80</v>
      </c>
      <c r="P684" s="10">
        <f>WorkOrders27[[#This Row],[Techs]]*(WorkOrders27[[#This Row],[PartsCost]]*WorkOrders27[[#This Row],[LbrHrs]])</f>
        <v>70.695000000000007</v>
      </c>
      <c r="Q684" s="10">
        <f t="shared" si="59"/>
        <v>70.695000000000007</v>
      </c>
      <c r="R684" s="10">
        <f t="shared" si="60"/>
        <v>94.26</v>
      </c>
      <c r="S684" s="10">
        <f t="shared" si="61"/>
        <v>164.95500000000001</v>
      </c>
      <c r="T684" s="10">
        <f t="shared" si="62"/>
        <v>164.95500000000001</v>
      </c>
      <c r="U684" s="8" t="str">
        <f t="shared" si="63"/>
        <v>Wed</v>
      </c>
      <c r="V684" s="8" t="str">
        <f t="shared" si="63"/>
        <v>Mon</v>
      </c>
    </row>
    <row r="685" spans="1:22" x14ac:dyDescent="0.25">
      <c r="A685" t="s">
        <v>229</v>
      </c>
      <c r="B685" t="s">
        <v>38</v>
      </c>
      <c r="C685" t="s">
        <v>8</v>
      </c>
      <c r="D685" t="s">
        <v>12</v>
      </c>
      <c r="F685" s="5">
        <v>44160</v>
      </c>
      <c r="G685" s="5">
        <v>44200</v>
      </c>
      <c r="H685" s="2">
        <v>1</v>
      </c>
      <c r="I685" s="6"/>
      <c r="J685" s="6"/>
      <c r="K685" s="7">
        <v>0.25</v>
      </c>
      <c r="L685" s="7">
        <v>120</v>
      </c>
      <c r="M685" t="s">
        <v>18</v>
      </c>
      <c r="N685" s="16">
        <f>POWER(SQRT(WorkOrders27[[#This Row],[WorkDate]]-WorkOrders27[[#This Row],[ReqDate]]),2)</f>
        <v>40.000000000000007</v>
      </c>
      <c r="O685" s="8">
        <f t="array" ref="O685">INDEX(TechRate,MATCH(H685,TechNum,0))</f>
        <v>80</v>
      </c>
      <c r="P685" s="10">
        <f>WorkOrders27[[#This Row],[Techs]]*(WorkOrders27[[#This Row],[PartsCost]]*WorkOrders27[[#This Row],[LbrHrs]])</f>
        <v>30</v>
      </c>
      <c r="Q685" s="10">
        <f t="shared" si="59"/>
        <v>30</v>
      </c>
      <c r="R685" s="10">
        <f t="shared" si="60"/>
        <v>120</v>
      </c>
      <c r="S685" s="10">
        <f t="shared" si="61"/>
        <v>150</v>
      </c>
      <c r="T685" s="10">
        <f t="shared" si="62"/>
        <v>150</v>
      </c>
      <c r="U685" s="8" t="str">
        <f t="shared" si="63"/>
        <v>Wed</v>
      </c>
      <c r="V685" s="8" t="str">
        <f t="shared" si="63"/>
        <v>Mon</v>
      </c>
    </row>
    <row r="686" spans="1:22" x14ac:dyDescent="0.25">
      <c r="A686" t="s">
        <v>230</v>
      </c>
      <c r="B686" t="s">
        <v>38</v>
      </c>
      <c r="C686" t="s">
        <v>8</v>
      </c>
      <c r="D686" t="s">
        <v>11</v>
      </c>
      <c r="F686" s="5">
        <v>44161</v>
      </c>
      <c r="G686" s="5">
        <v>44167</v>
      </c>
      <c r="H686" s="2">
        <v>1</v>
      </c>
      <c r="I686" s="6"/>
      <c r="J686" s="6"/>
      <c r="K686" s="7">
        <v>0.25</v>
      </c>
      <c r="L686" s="7">
        <v>120</v>
      </c>
      <c r="M686" t="s">
        <v>17</v>
      </c>
      <c r="N686" s="16">
        <f>POWER(SQRT(WorkOrders27[[#This Row],[WorkDate]]-WorkOrders27[[#This Row],[ReqDate]]),2)</f>
        <v>5.9999999999999991</v>
      </c>
      <c r="O686" s="8">
        <f t="array" ref="O686">INDEX(TechRate,MATCH(H686,TechNum,0))</f>
        <v>80</v>
      </c>
      <c r="P686" s="10">
        <f>WorkOrders27[[#This Row],[Techs]]*(WorkOrders27[[#This Row],[PartsCost]]*WorkOrders27[[#This Row],[LbrHrs]])</f>
        <v>30</v>
      </c>
      <c r="Q686" s="10">
        <f t="shared" si="59"/>
        <v>30</v>
      </c>
      <c r="R686" s="10">
        <f t="shared" si="60"/>
        <v>120</v>
      </c>
      <c r="S686" s="10">
        <f t="shared" si="61"/>
        <v>150</v>
      </c>
      <c r="T686" s="10">
        <f t="shared" si="62"/>
        <v>150</v>
      </c>
      <c r="U686" s="8" t="str">
        <f t="shared" si="63"/>
        <v>Thu</v>
      </c>
      <c r="V686" s="8" t="str">
        <f t="shared" si="63"/>
        <v>Wed</v>
      </c>
    </row>
    <row r="687" spans="1:22" x14ac:dyDescent="0.25">
      <c r="A687" t="s">
        <v>231</v>
      </c>
      <c r="B687" t="s">
        <v>35</v>
      </c>
      <c r="C687" t="s">
        <v>9</v>
      </c>
      <c r="D687" t="s">
        <v>11</v>
      </c>
      <c r="E687" t="s">
        <v>3</v>
      </c>
      <c r="F687" s="5">
        <v>44161</v>
      </c>
      <c r="G687" s="5">
        <v>44168</v>
      </c>
      <c r="H687" s="2">
        <v>1</v>
      </c>
      <c r="I687" s="6"/>
      <c r="J687" s="6"/>
      <c r="K687" s="7">
        <v>0.25</v>
      </c>
      <c r="L687" s="7">
        <v>45.99</v>
      </c>
      <c r="M687" t="s">
        <v>19</v>
      </c>
      <c r="N687" s="16">
        <f>POWER(SQRT(WorkOrders27[[#This Row],[WorkDate]]-WorkOrders27[[#This Row],[ReqDate]]),2)</f>
        <v>7.0000000000000009</v>
      </c>
      <c r="O687" s="8">
        <f t="array" ref="O687">INDEX(TechRate,MATCH(H687,TechNum,0))</f>
        <v>80</v>
      </c>
      <c r="P687" s="10">
        <f>WorkOrders27[[#This Row],[Techs]]*(WorkOrders27[[#This Row],[PartsCost]]*WorkOrders27[[#This Row],[LbrHrs]])</f>
        <v>11.4975</v>
      </c>
      <c r="Q687" s="10">
        <f t="shared" si="59"/>
        <v>11.4975</v>
      </c>
      <c r="R687" s="10">
        <f t="shared" si="60"/>
        <v>45.99</v>
      </c>
      <c r="S687" s="10">
        <f t="shared" si="61"/>
        <v>57.487500000000004</v>
      </c>
      <c r="T687" s="10">
        <f t="shared" si="62"/>
        <v>57.487500000000004</v>
      </c>
      <c r="U687" s="8" t="str">
        <f t="shared" si="63"/>
        <v>Thu</v>
      </c>
      <c r="V687" s="8" t="str">
        <f t="shared" si="63"/>
        <v>Thu</v>
      </c>
    </row>
    <row r="688" spans="1:22" x14ac:dyDescent="0.25">
      <c r="A688" t="s">
        <v>232</v>
      </c>
      <c r="B688" t="s">
        <v>39</v>
      </c>
      <c r="C688" t="s">
        <v>9</v>
      </c>
      <c r="D688" t="s">
        <v>12</v>
      </c>
      <c r="F688" s="5">
        <v>44161</v>
      </c>
      <c r="G688" s="5">
        <v>44175</v>
      </c>
      <c r="H688" s="2">
        <v>1</v>
      </c>
      <c r="I688" s="6"/>
      <c r="J688" s="6"/>
      <c r="K688" s="7">
        <v>0.5</v>
      </c>
      <c r="L688" s="7">
        <v>33</v>
      </c>
      <c r="M688" t="s">
        <v>18</v>
      </c>
      <c r="N688" s="16">
        <f>POWER(SQRT(WorkOrders27[[#This Row],[WorkDate]]-WorkOrders27[[#This Row],[ReqDate]]),2)</f>
        <v>14</v>
      </c>
      <c r="O688" s="8">
        <f t="array" ref="O688">INDEX(TechRate,MATCH(H688,TechNum,0))</f>
        <v>80</v>
      </c>
      <c r="P688" s="10">
        <f>WorkOrders27[[#This Row],[Techs]]*(WorkOrders27[[#This Row],[PartsCost]]*WorkOrders27[[#This Row],[LbrHrs]])</f>
        <v>16.5</v>
      </c>
      <c r="Q688" s="10">
        <f t="shared" si="59"/>
        <v>16.5</v>
      </c>
      <c r="R688" s="10">
        <f t="shared" si="60"/>
        <v>33</v>
      </c>
      <c r="S688" s="10">
        <f t="shared" si="61"/>
        <v>49.5</v>
      </c>
      <c r="T688" s="10">
        <f t="shared" si="62"/>
        <v>49.5</v>
      </c>
      <c r="U688" s="8" t="str">
        <f t="shared" si="63"/>
        <v>Thu</v>
      </c>
      <c r="V688" s="8" t="str">
        <f t="shared" si="63"/>
        <v>Thu</v>
      </c>
    </row>
    <row r="689" spans="1:22" x14ac:dyDescent="0.25">
      <c r="A689" t="s">
        <v>233</v>
      </c>
      <c r="B689" t="s">
        <v>35</v>
      </c>
      <c r="C689" t="s">
        <v>6</v>
      </c>
      <c r="D689" t="s">
        <v>12</v>
      </c>
      <c r="F689" s="5">
        <v>44161</v>
      </c>
      <c r="G689" s="5">
        <v>44207</v>
      </c>
      <c r="H689" s="2">
        <v>1</v>
      </c>
      <c r="I689" s="6"/>
      <c r="J689" s="6"/>
      <c r="K689" s="7">
        <v>0.25</v>
      </c>
      <c r="L689" s="7">
        <v>21.33</v>
      </c>
      <c r="M689" t="s">
        <v>18</v>
      </c>
      <c r="N689" s="16">
        <f>POWER(SQRT(WorkOrders27[[#This Row],[WorkDate]]-WorkOrders27[[#This Row],[ReqDate]]),2)</f>
        <v>46</v>
      </c>
      <c r="O689" s="8">
        <f t="array" ref="O689">INDEX(TechRate,MATCH(H689,TechNum,0))</f>
        <v>80</v>
      </c>
      <c r="P689" s="10">
        <f>WorkOrders27[[#This Row],[Techs]]*(WorkOrders27[[#This Row],[PartsCost]]*WorkOrders27[[#This Row],[LbrHrs]])</f>
        <v>5.3324999999999996</v>
      </c>
      <c r="Q689" s="10">
        <f t="shared" si="59"/>
        <v>5.3324999999999996</v>
      </c>
      <c r="R689" s="10">
        <f t="shared" si="60"/>
        <v>21.33</v>
      </c>
      <c r="S689" s="10">
        <f t="shared" si="61"/>
        <v>26.662499999999998</v>
      </c>
      <c r="T689" s="10">
        <f t="shared" si="62"/>
        <v>26.662499999999998</v>
      </c>
      <c r="U689" s="8" t="str">
        <f t="shared" si="63"/>
        <v>Thu</v>
      </c>
      <c r="V689" s="8" t="str">
        <f t="shared" si="63"/>
        <v>Mon</v>
      </c>
    </row>
    <row r="690" spans="1:22" x14ac:dyDescent="0.25">
      <c r="A690" t="s">
        <v>234</v>
      </c>
      <c r="B690" t="s">
        <v>35</v>
      </c>
      <c r="C690" t="s">
        <v>44</v>
      </c>
      <c r="D690" t="s">
        <v>11</v>
      </c>
      <c r="E690" t="s">
        <v>3</v>
      </c>
      <c r="F690" s="5">
        <v>44161</v>
      </c>
      <c r="G690" s="5">
        <v>44244</v>
      </c>
      <c r="H690" s="2">
        <v>1</v>
      </c>
      <c r="I690" s="6"/>
      <c r="J690" s="6"/>
      <c r="K690" s="7">
        <v>0.25</v>
      </c>
      <c r="L690" s="7">
        <v>37.26</v>
      </c>
      <c r="M690" t="s">
        <v>17</v>
      </c>
      <c r="N690" s="16">
        <f>POWER(SQRT(WorkOrders27[[#This Row],[WorkDate]]-WorkOrders27[[#This Row],[ReqDate]]),2)</f>
        <v>83</v>
      </c>
      <c r="O690" s="8">
        <f t="array" ref="O690">INDEX(TechRate,MATCH(H690,TechNum,0))</f>
        <v>80</v>
      </c>
      <c r="P690" s="10">
        <f>WorkOrders27[[#This Row],[Techs]]*(WorkOrders27[[#This Row],[PartsCost]]*WorkOrders27[[#This Row],[LbrHrs]])</f>
        <v>9.3149999999999995</v>
      </c>
      <c r="Q690" s="10">
        <f t="shared" si="59"/>
        <v>9.3149999999999995</v>
      </c>
      <c r="R690" s="10">
        <f t="shared" si="60"/>
        <v>37.26</v>
      </c>
      <c r="S690" s="10">
        <f t="shared" si="61"/>
        <v>46.574999999999996</v>
      </c>
      <c r="T690" s="10">
        <f t="shared" si="62"/>
        <v>46.574999999999996</v>
      </c>
      <c r="U690" s="8" t="str">
        <f t="shared" si="63"/>
        <v>Thu</v>
      </c>
      <c r="V690" s="8" t="str">
        <f t="shared" si="63"/>
        <v>Wed</v>
      </c>
    </row>
    <row r="691" spans="1:22" x14ac:dyDescent="0.25">
      <c r="A691" t="s">
        <v>235</v>
      </c>
      <c r="B691" t="s">
        <v>39</v>
      </c>
      <c r="C691" t="s">
        <v>8</v>
      </c>
      <c r="D691" t="s">
        <v>13</v>
      </c>
      <c r="F691" s="5">
        <v>44162</v>
      </c>
      <c r="G691" s="5">
        <v>44187</v>
      </c>
      <c r="H691" s="2">
        <v>1</v>
      </c>
      <c r="I691" s="6"/>
      <c r="J691" s="6"/>
      <c r="K691" s="7">
        <v>1</v>
      </c>
      <c r="L691" s="7">
        <v>81.885000000000005</v>
      </c>
      <c r="M691" t="s">
        <v>18</v>
      </c>
      <c r="N691" s="16">
        <f>POWER(SQRT(WorkOrders27[[#This Row],[WorkDate]]-WorkOrders27[[#This Row],[ReqDate]]),2)</f>
        <v>25</v>
      </c>
      <c r="O691" s="8">
        <f t="array" ref="O691">INDEX(TechRate,MATCH(H691,TechNum,0))</f>
        <v>80</v>
      </c>
      <c r="P691" s="10">
        <f>WorkOrders27[[#This Row],[Techs]]*(WorkOrders27[[#This Row],[PartsCost]]*WorkOrders27[[#This Row],[LbrHrs]])</f>
        <v>81.885000000000005</v>
      </c>
      <c r="Q691" s="10">
        <f t="shared" si="59"/>
        <v>81.885000000000005</v>
      </c>
      <c r="R691" s="10">
        <f t="shared" si="60"/>
        <v>81.885000000000005</v>
      </c>
      <c r="S691" s="10">
        <f t="shared" si="61"/>
        <v>163.77000000000001</v>
      </c>
      <c r="T691" s="10">
        <f t="shared" si="62"/>
        <v>163.77000000000001</v>
      </c>
      <c r="U691" s="8" t="str">
        <f t="shared" si="63"/>
        <v>Fri</v>
      </c>
      <c r="V691" s="8" t="str">
        <f t="shared" si="63"/>
        <v>Tue</v>
      </c>
    </row>
    <row r="692" spans="1:22" x14ac:dyDescent="0.25">
      <c r="A692" t="s">
        <v>236</v>
      </c>
      <c r="B692" t="s">
        <v>34</v>
      </c>
      <c r="C692" t="s">
        <v>8</v>
      </c>
      <c r="D692" t="s">
        <v>11</v>
      </c>
      <c r="E692" t="s">
        <v>3</v>
      </c>
      <c r="F692" s="5">
        <v>44165</v>
      </c>
      <c r="G692" s="5">
        <v>44173</v>
      </c>
      <c r="H692" s="2">
        <v>1</v>
      </c>
      <c r="I692" s="6"/>
      <c r="J692" s="6"/>
      <c r="K692" s="7">
        <v>0.25</v>
      </c>
      <c r="L692" s="7">
        <v>10.103199999999999</v>
      </c>
      <c r="M692" t="s">
        <v>18</v>
      </c>
      <c r="N692" s="16">
        <f>POWER(SQRT(WorkOrders27[[#This Row],[WorkDate]]-WorkOrders27[[#This Row],[ReqDate]]),2)</f>
        <v>8.0000000000000018</v>
      </c>
      <c r="O692" s="8">
        <f t="array" ref="O692">INDEX(TechRate,MATCH(H692,TechNum,0))</f>
        <v>80</v>
      </c>
      <c r="P692" s="10">
        <f>WorkOrders27[[#This Row],[Techs]]*(WorkOrders27[[#This Row],[PartsCost]]*WorkOrders27[[#This Row],[LbrHrs]])</f>
        <v>2.5257999999999998</v>
      </c>
      <c r="Q692" s="10">
        <f t="shared" si="59"/>
        <v>2.5257999999999998</v>
      </c>
      <c r="R692" s="10">
        <f t="shared" si="60"/>
        <v>10.103199999999999</v>
      </c>
      <c r="S692" s="10">
        <f t="shared" si="61"/>
        <v>12.629</v>
      </c>
      <c r="T692" s="10">
        <f t="shared" si="62"/>
        <v>12.629</v>
      </c>
      <c r="U692" s="8" t="str">
        <f t="shared" si="63"/>
        <v>Mon</v>
      </c>
      <c r="V692" s="8" t="str">
        <f t="shared" si="63"/>
        <v>Tue</v>
      </c>
    </row>
    <row r="693" spans="1:22" x14ac:dyDescent="0.25">
      <c r="A693" t="s">
        <v>237</v>
      </c>
      <c r="B693" t="s">
        <v>39</v>
      </c>
      <c r="C693" t="s">
        <v>8</v>
      </c>
      <c r="D693" t="s">
        <v>11</v>
      </c>
      <c r="F693" s="5">
        <v>44165</v>
      </c>
      <c r="G693" s="5">
        <v>44173</v>
      </c>
      <c r="H693" s="2">
        <v>1</v>
      </c>
      <c r="I693" s="6"/>
      <c r="J693" s="6"/>
      <c r="K693" s="7">
        <v>0.25</v>
      </c>
      <c r="L693" s="7">
        <v>17.88</v>
      </c>
      <c r="M693" t="s">
        <v>17</v>
      </c>
      <c r="N693" s="16">
        <f>POWER(SQRT(WorkOrders27[[#This Row],[WorkDate]]-WorkOrders27[[#This Row],[ReqDate]]),2)</f>
        <v>8.0000000000000018</v>
      </c>
      <c r="O693" s="8">
        <f t="array" ref="O693">INDEX(TechRate,MATCH(H693,TechNum,0))</f>
        <v>80</v>
      </c>
      <c r="P693" s="10">
        <f>WorkOrders27[[#This Row],[Techs]]*(WorkOrders27[[#This Row],[PartsCost]]*WorkOrders27[[#This Row],[LbrHrs]])</f>
        <v>4.47</v>
      </c>
      <c r="Q693" s="10">
        <f t="shared" si="59"/>
        <v>4.47</v>
      </c>
      <c r="R693" s="10">
        <f t="shared" si="60"/>
        <v>17.88</v>
      </c>
      <c r="S693" s="10">
        <f t="shared" si="61"/>
        <v>22.349999999999998</v>
      </c>
      <c r="T693" s="10">
        <f t="shared" si="62"/>
        <v>22.349999999999998</v>
      </c>
      <c r="U693" s="8" t="str">
        <f t="shared" si="63"/>
        <v>Mon</v>
      </c>
      <c r="V693" s="8" t="str">
        <f t="shared" si="63"/>
        <v>Tue</v>
      </c>
    </row>
    <row r="694" spans="1:22" x14ac:dyDescent="0.25">
      <c r="A694" t="s">
        <v>238</v>
      </c>
      <c r="B694" t="s">
        <v>41</v>
      </c>
      <c r="C694" t="s">
        <v>6</v>
      </c>
      <c r="D694" t="s">
        <v>2</v>
      </c>
      <c r="F694" s="5">
        <v>44165</v>
      </c>
      <c r="G694" s="5">
        <v>44173</v>
      </c>
      <c r="H694" s="2">
        <v>2</v>
      </c>
      <c r="I694" s="6"/>
      <c r="J694" s="6"/>
      <c r="K694" s="7">
        <v>2.75</v>
      </c>
      <c r="L694" s="7">
        <v>1204.6415</v>
      </c>
      <c r="M694" t="s">
        <v>18</v>
      </c>
      <c r="N694" s="16">
        <f>POWER(SQRT(WorkOrders27[[#This Row],[WorkDate]]-WorkOrders27[[#This Row],[ReqDate]]),2)</f>
        <v>8.0000000000000018</v>
      </c>
      <c r="O694" s="8">
        <f t="array" ref="O694">INDEX(TechRate,MATCH(H694,TechNum,0))</f>
        <v>140</v>
      </c>
      <c r="P694" s="10">
        <f>WorkOrders27[[#This Row],[Techs]]*(WorkOrders27[[#This Row],[PartsCost]]*WorkOrders27[[#This Row],[LbrHrs]])</f>
        <v>6625.5282499999994</v>
      </c>
      <c r="Q694" s="10">
        <f t="shared" si="59"/>
        <v>6625.5282499999994</v>
      </c>
      <c r="R694" s="10">
        <f t="shared" si="60"/>
        <v>1204.6415</v>
      </c>
      <c r="S694" s="10">
        <f t="shared" si="61"/>
        <v>7830.1697499999991</v>
      </c>
      <c r="T694" s="10">
        <f t="shared" si="62"/>
        <v>7830.1697499999991</v>
      </c>
      <c r="U694" s="8" t="str">
        <f t="shared" si="63"/>
        <v>Mon</v>
      </c>
      <c r="V694" s="8" t="str">
        <f t="shared" si="63"/>
        <v>Tue</v>
      </c>
    </row>
    <row r="695" spans="1:22" x14ac:dyDescent="0.25">
      <c r="A695" t="s">
        <v>239</v>
      </c>
      <c r="B695" t="s">
        <v>41</v>
      </c>
      <c r="C695" t="s">
        <v>9</v>
      </c>
      <c r="D695" t="s">
        <v>2</v>
      </c>
      <c r="F695" s="5">
        <v>44165</v>
      </c>
      <c r="G695" s="5">
        <v>44182</v>
      </c>
      <c r="H695" s="2">
        <v>2</v>
      </c>
      <c r="I695" s="6"/>
      <c r="J695" s="6"/>
      <c r="K695" s="7">
        <v>3</v>
      </c>
      <c r="L695" s="7">
        <v>111</v>
      </c>
      <c r="M695" t="s">
        <v>18</v>
      </c>
      <c r="N695" s="16">
        <f>POWER(SQRT(WorkOrders27[[#This Row],[WorkDate]]-WorkOrders27[[#This Row],[ReqDate]]),2)</f>
        <v>17</v>
      </c>
      <c r="O695" s="8">
        <f t="array" ref="O695">INDEX(TechRate,MATCH(H695,TechNum,0))</f>
        <v>140</v>
      </c>
      <c r="P695" s="10">
        <f>WorkOrders27[[#This Row],[Techs]]*(WorkOrders27[[#This Row],[PartsCost]]*WorkOrders27[[#This Row],[LbrHrs]])</f>
        <v>666</v>
      </c>
      <c r="Q695" s="10">
        <f t="shared" ref="Q695:Q758" si="64">IF(I695="Yes",0,P695)</f>
        <v>666</v>
      </c>
      <c r="R695" s="10">
        <f t="shared" ref="R695:R758" si="65">IF(J695="Yes",0,L695)</f>
        <v>111</v>
      </c>
      <c r="S695" s="10">
        <f t="shared" ref="S695:S758" si="66">SUM(L695,P695)</f>
        <v>777</v>
      </c>
      <c r="T695" s="10">
        <f t="shared" ref="T695:T758" si="67">SUM(Q695,R695)</f>
        <v>777</v>
      </c>
      <c r="U695" s="8" t="str">
        <f t="shared" si="63"/>
        <v>Mon</v>
      </c>
      <c r="V695" s="8" t="str">
        <f t="shared" si="63"/>
        <v>Thu</v>
      </c>
    </row>
    <row r="696" spans="1:22" x14ac:dyDescent="0.25">
      <c r="A696" t="s">
        <v>240</v>
      </c>
      <c r="B696" t="s">
        <v>38</v>
      </c>
      <c r="C696" t="s">
        <v>8</v>
      </c>
      <c r="D696" t="s">
        <v>12</v>
      </c>
      <c r="F696" s="5">
        <v>44165</v>
      </c>
      <c r="G696" s="5">
        <v>44200</v>
      </c>
      <c r="H696" s="2">
        <v>1</v>
      </c>
      <c r="I696" s="6"/>
      <c r="J696" s="6"/>
      <c r="K696" s="7">
        <v>0.25</v>
      </c>
      <c r="L696" s="7">
        <v>21.21</v>
      </c>
      <c r="M696" t="s">
        <v>19</v>
      </c>
      <c r="N696" s="16">
        <f>POWER(SQRT(WorkOrders27[[#This Row],[WorkDate]]-WorkOrders27[[#This Row],[ReqDate]]),2)</f>
        <v>35</v>
      </c>
      <c r="O696" s="8">
        <f t="array" ref="O696">INDEX(TechRate,MATCH(H696,TechNum,0))</f>
        <v>80</v>
      </c>
      <c r="P696" s="10">
        <f>WorkOrders27[[#This Row],[Techs]]*(WorkOrders27[[#This Row],[PartsCost]]*WorkOrders27[[#This Row],[LbrHrs]])</f>
        <v>5.3025000000000002</v>
      </c>
      <c r="Q696" s="10">
        <f t="shared" si="64"/>
        <v>5.3025000000000002</v>
      </c>
      <c r="R696" s="10">
        <f t="shared" si="65"/>
        <v>21.21</v>
      </c>
      <c r="S696" s="10">
        <f t="shared" si="66"/>
        <v>26.512500000000003</v>
      </c>
      <c r="T696" s="10">
        <f t="shared" si="67"/>
        <v>26.512500000000003</v>
      </c>
      <c r="U696" s="8" t="str">
        <f t="shared" si="63"/>
        <v>Mon</v>
      </c>
      <c r="V696" s="8" t="str">
        <f t="shared" si="63"/>
        <v>Mon</v>
      </c>
    </row>
    <row r="697" spans="1:22" x14ac:dyDescent="0.25">
      <c r="A697" t="s">
        <v>241</v>
      </c>
      <c r="B697" t="s">
        <v>41</v>
      </c>
      <c r="C697" t="s">
        <v>7</v>
      </c>
      <c r="D697" t="s">
        <v>12</v>
      </c>
      <c r="F697" s="5">
        <v>44165</v>
      </c>
      <c r="G697" s="5">
        <v>44252</v>
      </c>
      <c r="H697" s="2">
        <v>2</v>
      </c>
      <c r="I697" s="6"/>
      <c r="J697" s="6"/>
      <c r="K697" s="7">
        <v>0.5</v>
      </c>
      <c r="L697" s="7">
        <v>158.31389999999999</v>
      </c>
      <c r="M697" t="s">
        <v>18</v>
      </c>
      <c r="N697" s="16">
        <f>POWER(SQRT(WorkOrders27[[#This Row],[WorkDate]]-WorkOrders27[[#This Row],[ReqDate]]),2)</f>
        <v>87.000000000000014</v>
      </c>
      <c r="O697" s="8">
        <f t="array" ref="O697">INDEX(TechRate,MATCH(H697,TechNum,0))</f>
        <v>140</v>
      </c>
      <c r="P697" s="10">
        <f>WorkOrders27[[#This Row],[Techs]]*(WorkOrders27[[#This Row],[PartsCost]]*WorkOrders27[[#This Row],[LbrHrs]])</f>
        <v>158.31389999999999</v>
      </c>
      <c r="Q697" s="10">
        <f t="shared" si="64"/>
        <v>158.31389999999999</v>
      </c>
      <c r="R697" s="10">
        <f t="shared" si="65"/>
        <v>158.31389999999999</v>
      </c>
      <c r="S697" s="10">
        <f t="shared" si="66"/>
        <v>316.62779999999998</v>
      </c>
      <c r="T697" s="10">
        <f t="shared" si="67"/>
        <v>316.62779999999998</v>
      </c>
      <c r="U697" s="8" t="str">
        <f t="shared" si="63"/>
        <v>Mon</v>
      </c>
      <c r="V697" s="8" t="str">
        <f t="shared" si="63"/>
        <v>Thu</v>
      </c>
    </row>
    <row r="698" spans="1:22" x14ac:dyDescent="0.25">
      <c r="A698" t="s">
        <v>242</v>
      </c>
      <c r="B698" t="s">
        <v>39</v>
      </c>
      <c r="C698" t="s">
        <v>9</v>
      </c>
      <c r="D698" t="s">
        <v>12</v>
      </c>
      <c r="F698" s="5">
        <v>44166</v>
      </c>
      <c r="G698" s="5">
        <v>44207</v>
      </c>
      <c r="H698" s="2">
        <v>1</v>
      </c>
      <c r="I698" s="6"/>
      <c r="J698" s="6"/>
      <c r="K698" s="7">
        <v>0.5</v>
      </c>
      <c r="L698" s="7">
        <v>36.754399999999997</v>
      </c>
      <c r="M698" t="s">
        <v>18</v>
      </c>
      <c r="N698" s="16">
        <f>POWER(SQRT(WorkOrders27[[#This Row],[WorkDate]]-WorkOrders27[[#This Row],[ReqDate]]),2)</f>
        <v>41</v>
      </c>
      <c r="O698" s="8">
        <f t="array" ref="O698">INDEX(TechRate,MATCH(H698,TechNum,0))</f>
        <v>80</v>
      </c>
      <c r="P698" s="10">
        <f>WorkOrders27[[#This Row],[Techs]]*(WorkOrders27[[#This Row],[PartsCost]]*WorkOrders27[[#This Row],[LbrHrs]])</f>
        <v>18.377199999999998</v>
      </c>
      <c r="Q698" s="10">
        <f t="shared" si="64"/>
        <v>18.377199999999998</v>
      </c>
      <c r="R698" s="10">
        <f t="shared" si="65"/>
        <v>36.754399999999997</v>
      </c>
      <c r="S698" s="10">
        <f t="shared" si="66"/>
        <v>55.131599999999992</v>
      </c>
      <c r="T698" s="10">
        <f t="shared" si="67"/>
        <v>55.131599999999992</v>
      </c>
      <c r="U698" s="8" t="str">
        <f t="shared" si="63"/>
        <v>Tue</v>
      </c>
      <c r="V698" s="8" t="str">
        <f t="shared" si="63"/>
        <v>Mon</v>
      </c>
    </row>
    <row r="699" spans="1:22" x14ac:dyDescent="0.25">
      <c r="A699" t="s">
        <v>243</v>
      </c>
      <c r="B699" t="s">
        <v>36</v>
      </c>
      <c r="C699" t="s">
        <v>7</v>
      </c>
      <c r="D699" t="s">
        <v>13</v>
      </c>
      <c r="F699" s="5">
        <v>44166</v>
      </c>
      <c r="G699" s="5">
        <v>44320</v>
      </c>
      <c r="H699" s="2">
        <v>2</v>
      </c>
      <c r="I699" s="6"/>
      <c r="J699" s="6"/>
      <c r="K699" s="7">
        <v>0.5</v>
      </c>
      <c r="L699" s="7">
        <v>242.07</v>
      </c>
      <c r="M699" t="s">
        <v>18</v>
      </c>
      <c r="N699" s="16">
        <f>POWER(SQRT(WorkOrders27[[#This Row],[WorkDate]]-WorkOrders27[[#This Row],[ReqDate]]),2)</f>
        <v>154</v>
      </c>
      <c r="O699" s="8">
        <f t="array" ref="O699">INDEX(TechRate,MATCH(H699,TechNum,0))</f>
        <v>140</v>
      </c>
      <c r="P699" s="10">
        <f>WorkOrders27[[#This Row],[Techs]]*(WorkOrders27[[#This Row],[PartsCost]]*WorkOrders27[[#This Row],[LbrHrs]])</f>
        <v>242.07</v>
      </c>
      <c r="Q699" s="10">
        <f t="shared" si="64"/>
        <v>242.07</v>
      </c>
      <c r="R699" s="10">
        <f t="shared" si="65"/>
        <v>242.07</v>
      </c>
      <c r="S699" s="10">
        <f t="shared" si="66"/>
        <v>484.14</v>
      </c>
      <c r="T699" s="10">
        <f t="shared" si="67"/>
        <v>484.14</v>
      </c>
      <c r="U699" s="8" t="str">
        <f t="shared" si="63"/>
        <v>Tue</v>
      </c>
      <c r="V699" s="8" t="str">
        <f t="shared" si="63"/>
        <v>Tue</v>
      </c>
    </row>
    <row r="700" spans="1:22" x14ac:dyDescent="0.25">
      <c r="A700" t="s">
        <v>244</v>
      </c>
      <c r="B700" t="s">
        <v>35</v>
      </c>
      <c r="C700" t="s">
        <v>8</v>
      </c>
      <c r="D700" t="s">
        <v>12</v>
      </c>
      <c r="F700" s="5">
        <v>44167</v>
      </c>
      <c r="G700" s="5">
        <v>44182</v>
      </c>
      <c r="H700" s="2">
        <v>1</v>
      </c>
      <c r="I700" s="6"/>
      <c r="J700" s="6"/>
      <c r="K700" s="7">
        <v>0.5</v>
      </c>
      <c r="L700" s="7">
        <v>30</v>
      </c>
      <c r="M700" t="s">
        <v>18</v>
      </c>
      <c r="N700" s="16">
        <f>POWER(SQRT(WorkOrders27[[#This Row],[WorkDate]]-WorkOrders27[[#This Row],[ReqDate]]),2)</f>
        <v>15.000000000000002</v>
      </c>
      <c r="O700" s="8">
        <f t="array" ref="O700">INDEX(TechRate,MATCH(H700,TechNum,0))</f>
        <v>80</v>
      </c>
      <c r="P700" s="10">
        <f>WorkOrders27[[#This Row],[Techs]]*(WorkOrders27[[#This Row],[PartsCost]]*WorkOrders27[[#This Row],[LbrHrs]])</f>
        <v>15</v>
      </c>
      <c r="Q700" s="10">
        <f t="shared" si="64"/>
        <v>15</v>
      </c>
      <c r="R700" s="10">
        <f t="shared" si="65"/>
        <v>30</v>
      </c>
      <c r="S700" s="10">
        <f t="shared" si="66"/>
        <v>45</v>
      </c>
      <c r="T700" s="10">
        <f t="shared" si="67"/>
        <v>45</v>
      </c>
      <c r="U700" s="8" t="str">
        <f t="shared" si="63"/>
        <v>Wed</v>
      </c>
      <c r="V700" s="8" t="str">
        <f t="shared" si="63"/>
        <v>Thu</v>
      </c>
    </row>
    <row r="701" spans="1:22" x14ac:dyDescent="0.25">
      <c r="A701" t="s">
        <v>245</v>
      </c>
      <c r="B701" t="s">
        <v>35</v>
      </c>
      <c r="C701" t="s">
        <v>8</v>
      </c>
      <c r="D701" t="s">
        <v>12</v>
      </c>
      <c r="E701" t="s">
        <v>3</v>
      </c>
      <c r="F701" s="5">
        <v>44167</v>
      </c>
      <c r="G701" s="5">
        <v>44180</v>
      </c>
      <c r="H701" s="2">
        <v>1</v>
      </c>
      <c r="I701" s="6"/>
      <c r="J701" s="6"/>
      <c r="K701" s="7">
        <v>0.5</v>
      </c>
      <c r="L701" s="7">
        <v>52.8994</v>
      </c>
      <c r="M701" t="s">
        <v>18</v>
      </c>
      <c r="N701" s="16">
        <f>POWER(SQRT(WorkOrders27[[#This Row],[WorkDate]]-WorkOrders27[[#This Row],[ReqDate]]),2)</f>
        <v>12.999999999999998</v>
      </c>
      <c r="O701" s="8">
        <f t="array" ref="O701">INDEX(TechRate,MATCH(H701,TechNum,0))</f>
        <v>80</v>
      </c>
      <c r="P701" s="10">
        <f>WorkOrders27[[#This Row],[Techs]]*(WorkOrders27[[#This Row],[PartsCost]]*WorkOrders27[[#This Row],[LbrHrs]])</f>
        <v>26.4497</v>
      </c>
      <c r="Q701" s="10">
        <f t="shared" si="64"/>
        <v>26.4497</v>
      </c>
      <c r="R701" s="10">
        <f t="shared" si="65"/>
        <v>52.8994</v>
      </c>
      <c r="S701" s="10">
        <f t="shared" si="66"/>
        <v>79.349099999999993</v>
      </c>
      <c r="T701" s="10">
        <f t="shared" si="67"/>
        <v>79.349099999999993</v>
      </c>
      <c r="U701" s="8" t="str">
        <f t="shared" si="63"/>
        <v>Wed</v>
      </c>
      <c r="V701" s="8" t="str">
        <f t="shared" si="63"/>
        <v>Tue</v>
      </c>
    </row>
    <row r="702" spans="1:22" x14ac:dyDescent="0.25">
      <c r="A702" t="s">
        <v>246</v>
      </c>
      <c r="B702" t="s">
        <v>35</v>
      </c>
      <c r="C702" t="s">
        <v>44</v>
      </c>
      <c r="D702" t="s">
        <v>11</v>
      </c>
      <c r="E702" t="s">
        <v>3</v>
      </c>
      <c r="F702" s="5">
        <v>44167</v>
      </c>
      <c r="G702" s="5">
        <v>44182</v>
      </c>
      <c r="H702" s="2">
        <v>1</v>
      </c>
      <c r="I702" s="6"/>
      <c r="J702" s="6"/>
      <c r="K702" s="7">
        <v>0.25</v>
      </c>
      <c r="L702" s="7">
        <v>36.754399999999997</v>
      </c>
      <c r="M702" t="s">
        <v>17</v>
      </c>
      <c r="N702" s="16">
        <f>POWER(SQRT(WorkOrders27[[#This Row],[WorkDate]]-WorkOrders27[[#This Row],[ReqDate]]),2)</f>
        <v>15.000000000000002</v>
      </c>
      <c r="O702" s="8">
        <f t="array" ref="O702">INDEX(TechRate,MATCH(H702,TechNum,0))</f>
        <v>80</v>
      </c>
      <c r="P702" s="10">
        <f>WorkOrders27[[#This Row],[Techs]]*(WorkOrders27[[#This Row],[PartsCost]]*WorkOrders27[[#This Row],[LbrHrs]])</f>
        <v>9.1885999999999992</v>
      </c>
      <c r="Q702" s="10">
        <f t="shared" si="64"/>
        <v>9.1885999999999992</v>
      </c>
      <c r="R702" s="10">
        <f t="shared" si="65"/>
        <v>36.754399999999997</v>
      </c>
      <c r="S702" s="10">
        <f t="shared" si="66"/>
        <v>45.942999999999998</v>
      </c>
      <c r="T702" s="10">
        <f t="shared" si="67"/>
        <v>45.942999999999998</v>
      </c>
      <c r="U702" s="8" t="str">
        <f t="shared" si="63"/>
        <v>Wed</v>
      </c>
      <c r="V702" s="8" t="str">
        <f t="shared" si="63"/>
        <v>Thu</v>
      </c>
    </row>
    <row r="703" spans="1:22" x14ac:dyDescent="0.25">
      <c r="A703" t="s">
        <v>247</v>
      </c>
      <c r="B703" t="s">
        <v>39</v>
      </c>
      <c r="C703" t="s">
        <v>6</v>
      </c>
      <c r="D703" t="s">
        <v>11</v>
      </c>
      <c r="F703" s="5">
        <v>44167</v>
      </c>
      <c r="G703" s="5">
        <v>44203</v>
      </c>
      <c r="H703" s="2">
        <v>1</v>
      </c>
      <c r="I703" s="6"/>
      <c r="J703" s="6"/>
      <c r="K703" s="7">
        <v>0.25</v>
      </c>
      <c r="L703" s="7">
        <v>45.237400000000001</v>
      </c>
      <c r="M703" t="s">
        <v>18</v>
      </c>
      <c r="N703" s="16">
        <f>POWER(SQRT(WorkOrders27[[#This Row],[WorkDate]]-WorkOrders27[[#This Row],[ReqDate]]),2)</f>
        <v>36</v>
      </c>
      <c r="O703" s="8">
        <f t="array" ref="O703">INDEX(TechRate,MATCH(H703,TechNum,0))</f>
        <v>80</v>
      </c>
      <c r="P703" s="10">
        <f>WorkOrders27[[#This Row],[Techs]]*(WorkOrders27[[#This Row],[PartsCost]]*WorkOrders27[[#This Row],[LbrHrs]])</f>
        <v>11.30935</v>
      </c>
      <c r="Q703" s="10">
        <f t="shared" si="64"/>
        <v>11.30935</v>
      </c>
      <c r="R703" s="10">
        <f t="shared" si="65"/>
        <v>45.237400000000001</v>
      </c>
      <c r="S703" s="10">
        <f t="shared" si="66"/>
        <v>56.546750000000003</v>
      </c>
      <c r="T703" s="10">
        <f t="shared" si="67"/>
        <v>56.546750000000003</v>
      </c>
      <c r="U703" s="8" t="str">
        <f t="shared" si="63"/>
        <v>Wed</v>
      </c>
      <c r="V703" s="8" t="str">
        <f t="shared" si="63"/>
        <v>Thu</v>
      </c>
    </row>
    <row r="704" spans="1:22" x14ac:dyDescent="0.25">
      <c r="A704" t="s">
        <v>248</v>
      </c>
      <c r="B704" t="s">
        <v>35</v>
      </c>
      <c r="C704" t="s">
        <v>44</v>
      </c>
      <c r="D704" t="s">
        <v>13</v>
      </c>
      <c r="E704" t="s">
        <v>3</v>
      </c>
      <c r="F704" s="5">
        <v>44167</v>
      </c>
      <c r="G704" s="5">
        <v>44223</v>
      </c>
      <c r="H704" s="2">
        <v>1</v>
      </c>
      <c r="I704" s="6"/>
      <c r="J704" s="6"/>
      <c r="K704" s="7">
        <v>0.75</v>
      </c>
      <c r="L704" s="7">
        <v>42.66</v>
      </c>
      <c r="M704" t="s">
        <v>17</v>
      </c>
      <c r="N704" s="16">
        <f>POWER(SQRT(WorkOrders27[[#This Row],[WorkDate]]-WorkOrders27[[#This Row],[ReqDate]]),2)</f>
        <v>56</v>
      </c>
      <c r="O704" s="8">
        <f t="array" ref="O704">INDEX(TechRate,MATCH(H704,TechNum,0))</f>
        <v>80</v>
      </c>
      <c r="P704" s="10">
        <f>WorkOrders27[[#This Row],[Techs]]*(WorkOrders27[[#This Row],[PartsCost]]*WorkOrders27[[#This Row],[LbrHrs]])</f>
        <v>31.994999999999997</v>
      </c>
      <c r="Q704" s="10">
        <f t="shared" si="64"/>
        <v>31.994999999999997</v>
      </c>
      <c r="R704" s="10">
        <f t="shared" si="65"/>
        <v>42.66</v>
      </c>
      <c r="S704" s="10">
        <f t="shared" si="66"/>
        <v>74.655000000000001</v>
      </c>
      <c r="T704" s="10">
        <f t="shared" si="67"/>
        <v>74.655000000000001</v>
      </c>
      <c r="U704" s="8" t="str">
        <f t="shared" si="63"/>
        <v>Wed</v>
      </c>
      <c r="V704" s="8" t="str">
        <f t="shared" si="63"/>
        <v>Wed</v>
      </c>
    </row>
    <row r="705" spans="1:22" x14ac:dyDescent="0.25">
      <c r="A705" t="s">
        <v>249</v>
      </c>
      <c r="B705" t="s">
        <v>36</v>
      </c>
      <c r="C705" t="s">
        <v>7</v>
      </c>
      <c r="D705" t="s">
        <v>13</v>
      </c>
      <c r="F705" s="5">
        <v>44167</v>
      </c>
      <c r="G705" s="5">
        <v>44242</v>
      </c>
      <c r="H705" s="2">
        <v>2</v>
      </c>
      <c r="I705" s="6"/>
      <c r="J705" s="6"/>
      <c r="K705" s="7">
        <v>1</v>
      </c>
      <c r="L705" s="7">
        <v>226</v>
      </c>
      <c r="M705" t="s">
        <v>17</v>
      </c>
      <c r="N705" s="16">
        <f>POWER(SQRT(WorkOrders27[[#This Row],[WorkDate]]-WorkOrders27[[#This Row],[ReqDate]]),2)</f>
        <v>75.000000000000014</v>
      </c>
      <c r="O705" s="8">
        <f t="array" ref="O705">INDEX(TechRate,MATCH(H705,TechNum,0))</f>
        <v>140</v>
      </c>
      <c r="P705" s="10">
        <f>WorkOrders27[[#This Row],[Techs]]*(WorkOrders27[[#This Row],[PartsCost]]*WorkOrders27[[#This Row],[LbrHrs]])</f>
        <v>452</v>
      </c>
      <c r="Q705" s="10">
        <f t="shared" si="64"/>
        <v>452</v>
      </c>
      <c r="R705" s="10">
        <f t="shared" si="65"/>
        <v>226</v>
      </c>
      <c r="S705" s="10">
        <f t="shared" si="66"/>
        <v>678</v>
      </c>
      <c r="T705" s="10">
        <f t="shared" si="67"/>
        <v>678</v>
      </c>
      <c r="U705" s="8" t="str">
        <f t="shared" si="63"/>
        <v>Wed</v>
      </c>
      <c r="V705" s="8" t="str">
        <f t="shared" si="63"/>
        <v>Mon</v>
      </c>
    </row>
    <row r="706" spans="1:22" x14ac:dyDescent="0.25">
      <c r="A706" t="s">
        <v>250</v>
      </c>
      <c r="B706" t="s">
        <v>37</v>
      </c>
      <c r="C706" t="s">
        <v>6</v>
      </c>
      <c r="D706" t="s">
        <v>12</v>
      </c>
      <c r="F706" s="5">
        <v>44168</v>
      </c>
      <c r="G706" s="5">
        <v>44202</v>
      </c>
      <c r="H706" s="2">
        <v>2</v>
      </c>
      <c r="I706" s="6"/>
      <c r="J706" s="6"/>
      <c r="K706" s="7">
        <v>0.5</v>
      </c>
      <c r="L706" s="7">
        <v>45.237400000000001</v>
      </c>
      <c r="M706" t="s">
        <v>17</v>
      </c>
      <c r="N706" s="16">
        <f>POWER(SQRT(WorkOrders27[[#This Row],[WorkDate]]-WorkOrders27[[#This Row],[ReqDate]]),2)</f>
        <v>34</v>
      </c>
      <c r="O706" s="8">
        <f t="array" ref="O706">INDEX(TechRate,MATCH(H706,TechNum,0))</f>
        <v>140</v>
      </c>
      <c r="P706" s="10">
        <f>WorkOrders27[[#This Row],[Techs]]*(WorkOrders27[[#This Row],[PartsCost]]*WorkOrders27[[#This Row],[LbrHrs]])</f>
        <v>45.237400000000001</v>
      </c>
      <c r="Q706" s="10">
        <f t="shared" si="64"/>
        <v>45.237400000000001</v>
      </c>
      <c r="R706" s="10">
        <f t="shared" si="65"/>
        <v>45.237400000000001</v>
      </c>
      <c r="S706" s="10">
        <f t="shared" si="66"/>
        <v>90.474800000000002</v>
      </c>
      <c r="T706" s="10">
        <f t="shared" si="67"/>
        <v>90.474800000000002</v>
      </c>
      <c r="U706" s="8" t="str">
        <f t="shared" si="63"/>
        <v>Thu</v>
      </c>
      <c r="V706" s="8" t="str">
        <f t="shared" si="63"/>
        <v>Wed</v>
      </c>
    </row>
    <row r="707" spans="1:22" x14ac:dyDescent="0.25">
      <c r="A707" t="s">
        <v>251</v>
      </c>
      <c r="B707" t="s">
        <v>35</v>
      </c>
      <c r="C707" t="s">
        <v>9</v>
      </c>
      <c r="D707" t="s">
        <v>11</v>
      </c>
      <c r="E707" t="s">
        <v>3</v>
      </c>
      <c r="F707" s="5">
        <v>44168</v>
      </c>
      <c r="G707" s="5">
        <v>44221</v>
      </c>
      <c r="H707" s="2">
        <v>1</v>
      </c>
      <c r="I707" s="6"/>
      <c r="J707" s="6"/>
      <c r="K707" s="7">
        <v>0.25</v>
      </c>
      <c r="L707" s="7">
        <v>36.972099999999998</v>
      </c>
      <c r="M707" t="s">
        <v>18</v>
      </c>
      <c r="N707" s="16">
        <f>POWER(SQRT(WorkOrders27[[#This Row],[WorkDate]]-WorkOrders27[[#This Row],[ReqDate]]),2)</f>
        <v>53</v>
      </c>
      <c r="O707" s="8">
        <f t="array" ref="O707">INDEX(TechRate,MATCH(H707,TechNum,0))</f>
        <v>80</v>
      </c>
      <c r="P707" s="10">
        <f>WorkOrders27[[#This Row],[Techs]]*(WorkOrders27[[#This Row],[PartsCost]]*WorkOrders27[[#This Row],[LbrHrs]])</f>
        <v>9.2430249999999994</v>
      </c>
      <c r="Q707" s="10">
        <f t="shared" si="64"/>
        <v>9.2430249999999994</v>
      </c>
      <c r="R707" s="10">
        <f t="shared" si="65"/>
        <v>36.972099999999998</v>
      </c>
      <c r="S707" s="10">
        <f t="shared" si="66"/>
        <v>46.215125</v>
      </c>
      <c r="T707" s="10">
        <f t="shared" si="67"/>
        <v>46.215125</v>
      </c>
      <c r="U707" s="8" t="str">
        <f t="shared" si="63"/>
        <v>Thu</v>
      </c>
      <c r="V707" s="8" t="str">
        <f t="shared" si="63"/>
        <v>Mon</v>
      </c>
    </row>
    <row r="708" spans="1:22" x14ac:dyDescent="0.25">
      <c r="A708" t="s">
        <v>252</v>
      </c>
      <c r="B708" t="s">
        <v>37</v>
      </c>
      <c r="C708" t="s">
        <v>43</v>
      </c>
      <c r="D708" t="s">
        <v>12</v>
      </c>
      <c r="F708" s="5">
        <v>44170</v>
      </c>
      <c r="G708" s="5">
        <v>44188</v>
      </c>
      <c r="H708" s="2">
        <v>1</v>
      </c>
      <c r="I708" s="6"/>
      <c r="J708" s="6"/>
      <c r="K708" s="7">
        <v>0.5</v>
      </c>
      <c r="L708" s="7">
        <v>138.5667</v>
      </c>
      <c r="M708" t="s">
        <v>17</v>
      </c>
      <c r="N708" s="16">
        <f>POWER(SQRT(WorkOrders27[[#This Row],[WorkDate]]-WorkOrders27[[#This Row],[ReqDate]]),2)</f>
        <v>17.999999999999996</v>
      </c>
      <c r="O708" s="8">
        <f t="array" ref="O708">INDEX(TechRate,MATCH(H708,TechNum,0))</f>
        <v>80</v>
      </c>
      <c r="P708" s="10">
        <f>WorkOrders27[[#This Row],[Techs]]*(WorkOrders27[[#This Row],[PartsCost]]*WorkOrders27[[#This Row],[LbrHrs]])</f>
        <v>69.283349999999999</v>
      </c>
      <c r="Q708" s="10">
        <f t="shared" si="64"/>
        <v>69.283349999999999</v>
      </c>
      <c r="R708" s="10">
        <f t="shared" si="65"/>
        <v>138.5667</v>
      </c>
      <c r="S708" s="10">
        <f t="shared" si="66"/>
        <v>207.85005000000001</v>
      </c>
      <c r="T708" s="10">
        <f t="shared" si="67"/>
        <v>207.85005000000001</v>
      </c>
      <c r="U708" s="8" t="str">
        <f t="shared" si="63"/>
        <v>Sat</v>
      </c>
      <c r="V708" s="8" t="str">
        <f t="shared" si="63"/>
        <v>Wed</v>
      </c>
    </row>
    <row r="709" spans="1:22" x14ac:dyDescent="0.25">
      <c r="A709" t="s">
        <v>253</v>
      </c>
      <c r="B709" t="s">
        <v>37</v>
      </c>
      <c r="C709" t="s">
        <v>43</v>
      </c>
      <c r="D709" t="s">
        <v>11</v>
      </c>
      <c r="F709" s="5">
        <v>44170</v>
      </c>
      <c r="G709" s="5">
        <v>44202</v>
      </c>
      <c r="H709" s="2">
        <v>1</v>
      </c>
      <c r="I709" s="6"/>
      <c r="J709" s="6"/>
      <c r="K709" s="7">
        <v>0.25</v>
      </c>
      <c r="L709" s="7">
        <v>126.5641</v>
      </c>
      <c r="M709" t="s">
        <v>17</v>
      </c>
      <c r="N709" s="16">
        <f>POWER(SQRT(WorkOrders27[[#This Row],[WorkDate]]-WorkOrders27[[#This Row],[ReqDate]]),2)</f>
        <v>32.000000000000007</v>
      </c>
      <c r="O709" s="8">
        <f t="array" ref="O709">INDEX(TechRate,MATCH(H709,TechNum,0))</f>
        <v>80</v>
      </c>
      <c r="P709" s="10">
        <f>WorkOrders27[[#This Row],[Techs]]*(WorkOrders27[[#This Row],[PartsCost]]*WorkOrders27[[#This Row],[LbrHrs]])</f>
        <v>31.641024999999999</v>
      </c>
      <c r="Q709" s="10">
        <f t="shared" si="64"/>
        <v>31.641024999999999</v>
      </c>
      <c r="R709" s="10">
        <f t="shared" si="65"/>
        <v>126.5641</v>
      </c>
      <c r="S709" s="10">
        <f t="shared" si="66"/>
        <v>158.20512500000001</v>
      </c>
      <c r="T709" s="10">
        <f t="shared" si="67"/>
        <v>158.20512500000001</v>
      </c>
      <c r="U709" s="8" t="str">
        <f t="shared" si="63"/>
        <v>Sat</v>
      </c>
      <c r="V709" s="8" t="str">
        <f t="shared" si="63"/>
        <v>Wed</v>
      </c>
    </row>
    <row r="710" spans="1:22" x14ac:dyDescent="0.25">
      <c r="A710" t="s">
        <v>254</v>
      </c>
      <c r="B710" t="s">
        <v>38</v>
      </c>
      <c r="C710" t="s">
        <v>9</v>
      </c>
      <c r="D710" t="s">
        <v>1</v>
      </c>
      <c r="F710" s="5">
        <v>44172</v>
      </c>
      <c r="G710" s="5">
        <v>44201</v>
      </c>
      <c r="H710" s="2">
        <v>2</v>
      </c>
      <c r="I710" s="6"/>
      <c r="J710" s="6"/>
      <c r="K710" s="7">
        <v>1</v>
      </c>
      <c r="L710" s="7">
        <v>51.45</v>
      </c>
      <c r="M710" t="s">
        <v>19</v>
      </c>
      <c r="N710" s="16">
        <f>POWER(SQRT(WorkOrders27[[#This Row],[WorkDate]]-WorkOrders27[[#This Row],[ReqDate]]),2)</f>
        <v>28.999999999999996</v>
      </c>
      <c r="O710" s="8">
        <f t="array" ref="O710">INDEX(TechRate,MATCH(H710,TechNum,0))</f>
        <v>140</v>
      </c>
      <c r="P710" s="10">
        <f>WorkOrders27[[#This Row],[Techs]]*(WorkOrders27[[#This Row],[PartsCost]]*WorkOrders27[[#This Row],[LbrHrs]])</f>
        <v>102.9</v>
      </c>
      <c r="Q710" s="10">
        <f t="shared" si="64"/>
        <v>102.9</v>
      </c>
      <c r="R710" s="10">
        <f t="shared" si="65"/>
        <v>51.45</v>
      </c>
      <c r="S710" s="10">
        <f t="shared" si="66"/>
        <v>154.35000000000002</v>
      </c>
      <c r="T710" s="10">
        <f t="shared" si="67"/>
        <v>154.35000000000002</v>
      </c>
      <c r="U710" s="8" t="str">
        <f t="shared" si="63"/>
        <v>Mon</v>
      </c>
      <c r="V710" s="8" t="str">
        <f t="shared" si="63"/>
        <v>Tue</v>
      </c>
    </row>
    <row r="711" spans="1:22" x14ac:dyDescent="0.25">
      <c r="A711" t="s">
        <v>255</v>
      </c>
      <c r="B711" t="s">
        <v>37</v>
      </c>
      <c r="C711" t="s">
        <v>43</v>
      </c>
      <c r="D711" t="s">
        <v>11</v>
      </c>
      <c r="F711" s="5">
        <v>44172</v>
      </c>
      <c r="G711" s="5">
        <v>44203</v>
      </c>
      <c r="H711" s="2">
        <v>1</v>
      </c>
      <c r="I711" s="6"/>
      <c r="J711" s="6"/>
      <c r="K711" s="7">
        <v>0.25</v>
      </c>
      <c r="L711" s="7">
        <v>227.93719999999999</v>
      </c>
      <c r="M711" t="s">
        <v>17</v>
      </c>
      <c r="N711" s="16">
        <f>POWER(SQRT(WorkOrders27[[#This Row],[WorkDate]]-WorkOrders27[[#This Row],[ReqDate]]),2)</f>
        <v>30.999999999999996</v>
      </c>
      <c r="O711" s="8">
        <f t="array" ref="O711">INDEX(TechRate,MATCH(H711,TechNum,0))</f>
        <v>80</v>
      </c>
      <c r="P711" s="10">
        <f>WorkOrders27[[#This Row],[Techs]]*(WorkOrders27[[#This Row],[PartsCost]]*WorkOrders27[[#This Row],[LbrHrs]])</f>
        <v>56.984299999999998</v>
      </c>
      <c r="Q711" s="10">
        <f t="shared" si="64"/>
        <v>56.984299999999998</v>
      </c>
      <c r="R711" s="10">
        <f t="shared" si="65"/>
        <v>227.93719999999999</v>
      </c>
      <c r="S711" s="10">
        <f t="shared" si="66"/>
        <v>284.92149999999998</v>
      </c>
      <c r="T711" s="10">
        <f t="shared" si="67"/>
        <v>284.92149999999998</v>
      </c>
      <c r="U711" s="8" t="str">
        <f t="shared" ref="U711:V774" si="68">TEXT(F711,"ddd")</f>
        <v>Mon</v>
      </c>
      <c r="V711" s="8" t="str">
        <f t="shared" si="68"/>
        <v>Thu</v>
      </c>
    </row>
    <row r="712" spans="1:22" x14ac:dyDescent="0.25">
      <c r="A712" t="s">
        <v>256</v>
      </c>
      <c r="B712" t="s">
        <v>35</v>
      </c>
      <c r="C712" t="s">
        <v>6</v>
      </c>
      <c r="D712" t="s">
        <v>13</v>
      </c>
      <c r="F712" s="5">
        <v>44172</v>
      </c>
      <c r="G712" s="5">
        <v>44207</v>
      </c>
      <c r="H712" s="2">
        <v>1</v>
      </c>
      <c r="I712" s="6"/>
      <c r="J712" s="6"/>
      <c r="K712" s="7">
        <v>0.5</v>
      </c>
      <c r="L712" s="7">
        <v>367.71109999999999</v>
      </c>
      <c r="M712" t="s">
        <v>19</v>
      </c>
      <c r="N712" s="16">
        <f>POWER(SQRT(WorkOrders27[[#This Row],[WorkDate]]-WorkOrders27[[#This Row],[ReqDate]]),2)</f>
        <v>35</v>
      </c>
      <c r="O712" s="8">
        <f t="array" ref="O712">INDEX(TechRate,MATCH(H712,TechNum,0))</f>
        <v>80</v>
      </c>
      <c r="P712" s="10">
        <f>WorkOrders27[[#This Row],[Techs]]*(WorkOrders27[[#This Row],[PartsCost]]*WorkOrders27[[#This Row],[LbrHrs]])</f>
        <v>183.85554999999999</v>
      </c>
      <c r="Q712" s="10">
        <f t="shared" si="64"/>
        <v>183.85554999999999</v>
      </c>
      <c r="R712" s="10">
        <f t="shared" si="65"/>
        <v>367.71109999999999</v>
      </c>
      <c r="S712" s="10">
        <f t="shared" si="66"/>
        <v>551.56664999999998</v>
      </c>
      <c r="T712" s="10">
        <f t="shared" si="67"/>
        <v>551.56664999999998</v>
      </c>
      <c r="U712" s="8" t="str">
        <f t="shared" si="68"/>
        <v>Mon</v>
      </c>
      <c r="V712" s="8" t="str">
        <f t="shared" si="68"/>
        <v>Mon</v>
      </c>
    </row>
    <row r="713" spans="1:22" x14ac:dyDescent="0.25">
      <c r="A713" t="s">
        <v>257</v>
      </c>
      <c r="B713" t="s">
        <v>36</v>
      </c>
      <c r="C713" t="s">
        <v>8</v>
      </c>
      <c r="D713" t="s">
        <v>13</v>
      </c>
      <c r="F713" s="5">
        <v>44172</v>
      </c>
      <c r="G713" s="5">
        <v>44208</v>
      </c>
      <c r="H713" s="2">
        <v>2</v>
      </c>
      <c r="I713" s="6"/>
      <c r="J713" s="6"/>
      <c r="K713" s="7">
        <v>1.25</v>
      </c>
      <c r="L713" s="7">
        <v>637.53</v>
      </c>
      <c r="M713" t="s">
        <v>17</v>
      </c>
      <c r="N713" s="16">
        <f>POWER(SQRT(WorkOrders27[[#This Row],[WorkDate]]-WorkOrders27[[#This Row],[ReqDate]]),2)</f>
        <v>36</v>
      </c>
      <c r="O713" s="8">
        <f t="array" ref="O713">INDEX(TechRate,MATCH(H713,TechNum,0))</f>
        <v>140</v>
      </c>
      <c r="P713" s="10">
        <f>WorkOrders27[[#This Row],[Techs]]*(WorkOrders27[[#This Row],[PartsCost]]*WorkOrders27[[#This Row],[LbrHrs]])</f>
        <v>1593.8249999999998</v>
      </c>
      <c r="Q713" s="10">
        <f t="shared" si="64"/>
        <v>1593.8249999999998</v>
      </c>
      <c r="R713" s="10">
        <f t="shared" si="65"/>
        <v>637.53</v>
      </c>
      <c r="S713" s="10">
        <f t="shared" si="66"/>
        <v>2231.3549999999996</v>
      </c>
      <c r="T713" s="10">
        <f t="shared" si="67"/>
        <v>2231.3549999999996</v>
      </c>
      <c r="U713" s="8" t="str">
        <f t="shared" si="68"/>
        <v>Mon</v>
      </c>
      <c r="V713" s="8" t="str">
        <f t="shared" si="68"/>
        <v>Tue</v>
      </c>
    </row>
    <row r="714" spans="1:22" x14ac:dyDescent="0.25">
      <c r="A714" t="s">
        <v>258</v>
      </c>
      <c r="B714" t="s">
        <v>34</v>
      </c>
      <c r="C714" t="s">
        <v>8</v>
      </c>
      <c r="D714" t="s">
        <v>13</v>
      </c>
      <c r="F714" s="5">
        <v>44173</v>
      </c>
      <c r="G714" s="5">
        <v>44180</v>
      </c>
      <c r="H714" s="2">
        <v>2</v>
      </c>
      <c r="I714" s="6"/>
      <c r="J714" s="6"/>
      <c r="K714" s="7">
        <v>3</v>
      </c>
      <c r="L714" s="7">
        <v>21.33</v>
      </c>
      <c r="M714" t="s">
        <v>17</v>
      </c>
      <c r="N714" s="16">
        <f>POWER(SQRT(WorkOrders27[[#This Row],[WorkDate]]-WorkOrders27[[#This Row],[ReqDate]]),2)</f>
        <v>7.0000000000000009</v>
      </c>
      <c r="O714" s="8">
        <f t="array" ref="O714">INDEX(TechRate,MATCH(H714,TechNum,0))</f>
        <v>140</v>
      </c>
      <c r="P714" s="10">
        <f>WorkOrders27[[#This Row],[Techs]]*(WorkOrders27[[#This Row],[PartsCost]]*WorkOrders27[[#This Row],[LbrHrs]])</f>
        <v>127.97999999999999</v>
      </c>
      <c r="Q714" s="10">
        <f t="shared" si="64"/>
        <v>127.97999999999999</v>
      </c>
      <c r="R714" s="10">
        <f t="shared" si="65"/>
        <v>21.33</v>
      </c>
      <c r="S714" s="10">
        <f t="shared" si="66"/>
        <v>149.31</v>
      </c>
      <c r="T714" s="10">
        <f t="shared" si="67"/>
        <v>149.31</v>
      </c>
      <c r="U714" s="8" t="str">
        <f t="shared" si="68"/>
        <v>Tue</v>
      </c>
      <c r="V714" s="8" t="str">
        <f t="shared" si="68"/>
        <v>Tue</v>
      </c>
    </row>
    <row r="715" spans="1:22" x14ac:dyDescent="0.25">
      <c r="A715" t="s">
        <v>259</v>
      </c>
      <c r="B715" t="s">
        <v>38</v>
      </c>
      <c r="C715" t="s">
        <v>44</v>
      </c>
      <c r="D715" t="s">
        <v>13</v>
      </c>
      <c r="F715" s="5">
        <v>44173</v>
      </c>
      <c r="G715" s="5">
        <v>44181</v>
      </c>
      <c r="H715" s="2">
        <v>2</v>
      </c>
      <c r="I715" s="6"/>
      <c r="J715" s="6"/>
      <c r="K715" s="7">
        <v>1.5</v>
      </c>
      <c r="L715" s="7">
        <v>318.72519999999997</v>
      </c>
      <c r="M715" t="s">
        <v>17</v>
      </c>
      <c r="N715" s="16">
        <f>POWER(SQRT(WorkOrders27[[#This Row],[WorkDate]]-WorkOrders27[[#This Row],[ReqDate]]),2)</f>
        <v>8.0000000000000018</v>
      </c>
      <c r="O715" s="8">
        <f t="array" ref="O715">INDEX(TechRate,MATCH(H715,TechNum,0))</f>
        <v>140</v>
      </c>
      <c r="P715" s="10">
        <f>WorkOrders27[[#This Row],[Techs]]*(WorkOrders27[[#This Row],[PartsCost]]*WorkOrders27[[#This Row],[LbrHrs]])</f>
        <v>956.17559999999992</v>
      </c>
      <c r="Q715" s="10">
        <f t="shared" si="64"/>
        <v>956.17559999999992</v>
      </c>
      <c r="R715" s="10">
        <f t="shared" si="65"/>
        <v>318.72519999999997</v>
      </c>
      <c r="S715" s="10">
        <f t="shared" si="66"/>
        <v>1274.9007999999999</v>
      </c>
      <c r="T715" s="10">
        <f t="shared" si="67"/>
        <v>1274.9007999999999</v>
      </c>
      <c r="U715" s="8" t="str">
        <f t="shared" si="68"/>
        <v>Tue</v>
      </c>
      <c r="V715" s="8" t="str">
        <f t="shared" si="68"/>
        <v>Wed</v>
      </c>
    </row>
    <row r="716" spans="1:22" x14ac:dyDescent="0.25">
      <c r="A716" t="s">
        <v>260</v>
      </c>
      <c r="B716" t="s">
        <v>35</v>
      </c>
      <c r="C716" t="s">
        <v>44</v>
      </c>
      <c r="D716" t="s">
        <v>13</v>
      </c>
      <c r="E716" t="s">
        <v>3</v>
      </c>
      <c r="F716" s="5">
        <v>44173</v>
      </c>
      <c r="G716" s="5">
        <v>44239</v>
      </c>
      <c r="H716" s="2">
        <v>2</v>
      </c>
      <c r="I716" s="6"/>
      <c r="J716" s="6"/>
      <c r="K716" s="7">
        <v>0.75</v>
      </c>
      <c r="L716" s="7">
        <v>35.450000000000003</v>
      </c>
      <c r="M716" t="s">
        <v>17</v>
      </c>
      <c r="N716" s="16">
        <f>POWER(SQRT(WorkOrders27[[#This Row],[WorkDate]]-WorkOrders27[[#This Row],[ReqDate]]),2)</f>
        <v>66.000000000000014</v>
      </c>
      <c r="O716" s="8">
        <f t="array" ref="O716">INDEX(TechRate,MATCH(H716,TechNum,0))</f>
        <v>140</v>
      </c>
      <c r="P716" s="10">
        <f>WorkOrders27[[#This Row],[Techs]]*(WorkOrders27[[#This Row],[PartsCost]]*WorkOrders27[[#This Row],[LbrHrs]])</f>
        <v>53.175000000000004</v>
      </c>
      <c r="Q716" s="10">
        <f t="shared" si="64"/>
        <v>53.175000000000004</v>
      </c>
      <c r="R716" s="10">
        <f t="shared" si="65"/>
        <v>35.450000000000003</v>
      </c>
      <c r="S716" s="10">
        <f t="shared" si="66"/>
        <v>88.625</v>
      </c>
      <c r="T716" s="10">
        <f t="shared" si="67"/>
        <v>88.625</v>
      </c>
      <c r="U716" s="8" t="str">
        <f t="shared" si="68"/>
        <v>Tue</v>
      </c>
      <c r="V716" s="8" t="str">
        <f t="shared" si="68"/>
        <v>Fri</v>
      </c>
    </row>
    <row r="717" spans="1:22" x14ac:dyDescent="0.25">
      <c r="A717" t="s">
        <v>261</v>
      </c>
      <c r="B717" t="s">
        <v>37</v>
      </c>
      <c r="C717" t="s">
        <v>43</v>
      </c>
      <c r="D717" t="s">
        <v>1</v>
      </c>
      <c r="F717" s="5">
        <v>44174</v>
      </c>
      <c r="G717" s="5">
        <v>44182</v>
      </c>
      <c r="H717" s="2">
        <v>1</v>
      </c>
      <c r="I717" s="6"/>
      <c r="J717" s="6"/>
      <c r="K717" s="7">
        <v>1.75</v>
      </c>
      <c r="L717" s="7">
        <v>131.30000000000001</v>
      </c>
      <c r="M717" t="s">
        <v>19</v>
      </c>
      <c r="N717" s="16">
        <f>POWER(SQRT(WorkOrders27[[#This Row],[WorkDate]]-WorkOrders27[[#This Row],[ReqDate]]),2)</f>
        <v>8.0000000000000018</v>
      </c>
      <c r="O717" s="8">
        <f t="array" ref="O717">INDEX(TechRate,MATCH(H717,TechNum,0))</f>
        <v>80</v>
      </c>
      <c r="P717" s="10">
        <f>WorkOrders27[[#This Row],[Techs]]*(WorkOrders27[[#This Row],[PartsCost]]*WorkOrders27[[#This Row],[LbrHrs]])</f>
        <v>229.77500000000003</v>
      </c>
      <c r="Q717" s="10">
        <f t="shared" si="64"/>
        <v>229.77500000000003</v>
      </c>
      <c r="R717" s="10">
        <f t="shared" si="65"/>
        <v>131.30000000000001</v>
      </c>
      <c r="S717" s="10">
        <f t="shared" si="66"/>
        <v>361.07500000000005</v>
      </c>
      <c r="T717" s="10">
        <f t="shared" si="67"/>
        <v>361.07500000000005</v>
      </c>
      <c r="U717" s="8" t="str">
        <f t="shared" si="68"/>
        <v>Wed</v>
      </c>
      <c r="V717" s="8" t="str">
        <f t="shared" si="68"/>
        <v>Thu</v>
      </c>
    </row>
    <row r="718" spans="1:22" x14ac:dyDescent="0.25">
      <c r="A718" t="s">
        <v>262</v>
      </c>
      <c r="B718" t="s">
        <v>35</v>
      </c>
      <c r="C718" t="s">
        <v>44</v>
      </c>
      <c r="D718" t="s">
        <v>11</v>
      </c>
      <c r="F718" s="5">
        <v>44174</v>
      </c>
      <c r="G718" s="5">
        <v>44207</v>
      </c>
      <c r="H718" s="2">
        <v>1</v>
      </c>
      <c r="I718" s="6"/>
      <c r="J718" s="6"/>
      <c r="K718" s="7">
        <v>0.25</v>
      </c>
      <c r="L718" s="7">
        <v>37.262799999999999</v>
      </c>
      <c r="M718" t="s">
        <v>18</v>
      </c>
      <c r="N718" s="16">
        <f>POWER(SQRT(WorkOrders27[[#This Row],[WorkDate]]-WorkOrders27[[#This Row],[ReqDate]]),2)</f>
        <v>33</v>
      </c>
      <c r="O718" s="8">
        <f t="array" ref="O718">INDEX(TechRate,MATCH(H718,TechNum,0))</f>
        <v>80</v>
      </c>
      <c r="P718" s="10">
        <f>WorkOrders27[[#This Row],[Techs]]*(WorkOrders27[[#This Row],[PartsCost]]*WorkOrders27[[#This Row],[LbrHrs]])</f>
        <v>9.3156999999999996</v>
      </c>
      <c r="Q718" s="10">
        <f t="shared" si="64"/>
        <v>9.3156999999999996</v>
      </c>
      <c r="R718" s="10">
        <f t="shared" si="65"/>
        <v>37.262799999999999</v>
      </c>
      <c r="S718" s="10">
        <f t="shared" si="66"/>
        <v>46.578499999999998</v>
      </c>
      <c r="T718" s="10">
        <f t="shared" si="67"/>
        <v>46.578499999999998</v>
      </c>
      <c r="U718" s="8" t="str">
        <f t="shared" si="68"/>
        <v>Wed</v>
      </c>
      <c r="V718" s="8" t="str">
        <f t="shared" si="68"/>
        <v>Mon</v>
      </c>
    </row>
    <row r="719" spans="1:22" x14ac:dyDescent="0.25">
      <c r="A719" t="s">
        <v>263</v>
      </c>
      <c r="B719" t="s">
        <v>41</v>
      </c>
      <c r="C719" t="s">
        <v>6</v>
      </c>
      <c r="D719" t="s">
        <v>1</v>
      </c>
      <c r="F719" s="5">
        <v>44174</v>
      </c>
      <c r="G719" s="5">
        <v>44208</v>
      </c>
      <c r="H719" s="2">
        <v>2</v>
      </c>
      <c r="I719" s="6"/>
      <c r="J719" s="6"/>
      <c r="K719" s="7">
        <v>3</v>
      </c>
      <c r="L719" s="7">
        <v>1193.7465999999999</v>
      </c>
      <c r="M719" t="s">
        <v>18</v>
      </c>
      <c r="N719" s="16">
        <f>POWER(SQRT(WorkOrders27[[#This Row],[WorkDate]]-WorkOrders27[[#This Row],[ReqDate]]),2)</f>
        <v>34</v>
      </c>
      <c r="O719" s="8">
        <f t="array" ref="O719">INDEX(TechRate,MATCH(H719,TechNum,0))</f>
        <v>140</v>
      </c>
      <c r="P719" s="10">
        <f>WorkOrders27[[#This Row],[Techs]]*(WorkOrders27[[#This Row],[PartsCost]]*WorkOrders27[[#This Row],[LbrHrs]])</f>
        <v>7162.4795999999997</v>
      </c>
      <c r="Q719" s="10">
        <f t="shared" si="64"/>
        <v>7162.4795999999997</v>
      </c>
      <c r="R719" s="10">
        <f t="shared" si="65"/>
        <v>1193.7465999999999</v>
      </c>
      <c r="S719" s="10">
        <f t="shared" si="66"/>
        <v>8356.2261999999992</v>
      </c>
      <c r="T719" s="10">
        <f t="shared" si="67"/>
        <v>8356.2261999999992</v>
      </c>
      <c r="U719" s="8" t="str">
        <f t="shared" si="68"/>
        <v>Wed</v>
      </c>
      <c r="V719" s="8" t="str">
        <f t="shared" si="68"/>
        <v>Tue</v>
      </c>
    </row>
    <row r="720" spans="1:22" x14ac:dyDescent="0.25">
      <c r="A720" t="s">
        <v>264</v>
      </c>
      <c r="B720" t="s">
        <v>39</v>
      </c>
      <c r="C720" t="s">
        <v>6</v>
      </c>
      <c r="D720" t="s">
        <v>13</v>
      </c>
      <c r="E720" t="s">
        <v>3</v>
      </c>
      <c r="F720" s="5">
        <v>44175</v>
      </c>
      <c r="G720" s="5">
        <v>44179</v>
      </c>
      <c r="H720" s="2">
        <v>1</v>
      </c>
      <c r="I720" s="6"/>
      <c r="J720" s="6"/>
      <c r="K720" s="7">
        <v>0.5</v>
      </c>
      <c r="L720" s="7">
        <v>250.42240000000001</v>
      </c>
      <c r="M720" t="s">
        <v>18</v>
      </c>
      <c r="N720" s="16">
        <f>POWER(SQRT(WorkOrders27[[#This Row],[WorkDate]]-WorkOrders27[[#This Row],[ReqDate]]),2)</f>
        <v>4</v>
      </c>
      <c r="O720" s="8">
        <f t="array" ref="O720">INDEX(TechRate,MATCH(H720,TechNum,0))</f>
        <v>80</v>
      </c>
      <c r="P720" s="10">
        <f>WorkOrders27[[#This Row],[Techs]]*(WorkOrders27[[#This Row],[PartsCost]]*WorkOrders27[[#This Row],[LbrHrs]])</f>
        <v>125.21120000000001</v>
      </c>
      <c r="Q720" s="10">
        <f t="shared" si="64"/>
        <v>125.21120000000001</v>
      </c>
      <c r="R720" s="10">
        <f t="shared" si="65"/>
        <v>250.42240000000001</v>
      </c>
      <c r="S720" s="10">
        <f t="shared" si="66"/>
        <v>375.6336</v>
      </c>
      <c r="T720" s="10">
        <f t="shared" si="67"/>
        <v>375.6336</v>
      </c>
      <c r="U720" s="8" t="str">
        <f t="shared" si="68"/>
        <v>Thu</v>
      </c>
      <c r="V720" s="8" t="str">
        <f t="shared" si="68"/>
        <v>Mon</v>
      </c>
    </row>
    <row r="721" spans="1:22" x14ac:dyDescent="0.25">
      <c r="A721" t="s">
        <v>265</v>
      </c>
      <c r="B721" t="s">
        <v>37</v>
      </c>
      <c r="C721" t="s">
        <v>43</v>
      </c>
      <c r="D721" t="s">
        <v>11</v>
      </c>
      <c r="F721" s="5">
        <v>44175</v>
      </c>
      <c r="G721" s="5">
        <v>44203</v>
      </c>
      <c r="H721" s="2">
        <v>1</v>
      </c>
      <c r="I721" s="6"/>
      <c r="J721" s="6"/>
      <c r="K721" s="7">
        <v>0.25</v>
      </c>
      <c r="L721" s="7">
        <v>67.703999999999994</v>
      </c>
      <c r="M721" t="s">
        <v>19</v>
      </c>
      <c r="N721" s="16">
        <f>POWER(SQRT(WorkOrders27[[#This Row],[WorkDate]]-WorkOrders27[[#This Row],[ReqDate]]),2)</f>
        <v>28.000000000000004</v>
      </c>
      <c r="O721" s="8">
        <f t="array" ref="O721">INDEX(TechRate,MATCH(H721,TechNum,0))</f>
        <v>80</v>
      </c>
      <c r="P721" s="10">
        <f>WorkOrders27[[#This Row],[Techs]]*(WorkOrders27[[#This Row],[PartsCost]]*WorkOrders27[[#This Row],[LbrHrs]])</f>
        <v>16.925999999999998</v>
      </c>
      <c r="Q721" s="10">
        <f t="shared" si="64"/>
        <v>16.925999999999998</v>
      </c>
      <c r="R721" s="10">
        <f t="shared" si="65"/>
        <v>67.703999999999994</v>
      </c>
      <c r="S721" s="10">
        <f t="shared" si="66"/>
        <v>84.63</v>
      </c>
      <c r="T721" s="10">
        <f t="shared" si="67"/>
        <v>84.63</v>
      </c>
      <c r="U721" s="8" t="str">
        <f t="shared" si="68"/>
        <v>Thu</v>
      </c>
      <c r="V721" s="8" t="str">
        <f t="shared" si="68"/>
        <v>Thu</v>
      </c>
    </row>
    <row r="722" spans="1:22" x14ac:dyDescent="0.25">
      <c r="A722" t="s">
        <v>266</v>
      </c>
      <c r="B722" t="s">
        <v>34</v>
      </c>
      <c r="C722" t="s">
        <v>9</v>
      </c>
      <c r="D722" t="s">
        <v>1</v>
      </c>
      <c r="F722" s="5">
        <v>44175</v>
      </c>
      <c r="G722" s="5">
        <v>44203</v>
      </c>
      <c r="H722" s="2">
        <v>2</v>
      </c>
      <c r="I722" s="6"/>
      <c r="J722" s="6"/>
      <c r="K722" s="7">
        <v>1.25</v>
      </c>
      <c r="L722" s="7">
        <v>58.238999999999997</v>
      </c>
      <c r="M722" t="s">
        <v>17</v>
      </c>
      <c r="N722" s="16">
        <f>POWER(SQRT(WorkOrders27[[#This Row],[WorkDate]]-WorkOrders27[[#This Row],[ReqDate]]),2)</f>
        <v>28.000000000000004</v>
      </c>
      <c r="O722" s="8">
        <f t="array" ref="O722">INDEX(TechRate,MATCH(H722,TechNum,0))</f>
        <v>140</v>
      </c>
      <c r="P722" s="10">
        <f>WorkOrders27[[#This Row],[Techs]]*(WorkOrders27[[#This Row],[PartsCost]]*WorkOrders27[[#This Row],[LbrHrs]])</f>
        <v>145.5975</v>
      </c>
      <c r="Q722" s="10">
        <f t="shared" si="64"/>
        <v>145.5975</v>
      </c>
      <c r="R722" s="10">
        <f t="shared" si="65"/>
        <v>58.238999999999997</v>
      </c>
      <c r="S722" s="10">
        <f t="shared" si="66"/>
        <v>203.8365</v>
      </c>
      <c r="T722" s="10">
        <f t="shared" si="67"/>
        <v>203.8365</v>
      </c>
      <c r="U722" s="8" t="str">
        <f t="shared" si="68"/>
        <v>Thu</v>
      </c>
      <c r="V722" s="8" t="str">
        <f t="shared" si="68"/>
        <v>Thu</v>
      </c>
    </row>
    <row r="723" spans="1:22" x14ac:dyDescent="0.25">
      <c r="A723" t="s">
        <v>267</v>
      </c>
      <c r="B723" t="s">
        <v>38</v>
      </c>
      <c r="C723" t="s">
        <v>43</v>
      </c>
      <c r="D723" t="s">
        <v>12</v>
      </c>
      <c r="F723" s="5">
        <v>44175</v>
      </c>
      <c r="G723" s="5">
        <v>44210</v>
      </c>
      <c r="H723" s="2">
        <v>1</v>
      </c>
      <c r="I723" s="6"/>
      <c r="J723" s="6"/>
      <c r="K723" s="7">
        <v>0.5</v>
      </c>
      <c r="L723" s="7">
        <v>32.226999999999997</v>
      </c>
      <c r="M723" t="s">
        <v>19</v>
      </c>
      <c r="N723" s="16">
        <f>POWER(SQRT(WorkOrders27[[#This Row],[WorkDate]]-WorkOrders27[[#This Row],[ReqDate]]),2)</f>
        <v>35</v>
      </c>
      <c r="O723" s="8">
        <f t="array" ref="O723">INDEX(TechRate,MATCH(H723,TechNum,0))</f>
        <v>80</v>
      </c>
      <c r="P723" s="10">
        <f>WorkOrders27[[#This Row],[Techs]]*(WorkOrders27[[#This Row],[PartsCost]]*WorkOrders27[[#This Row],[LbrHrs]])</f>
        <v>16.113499999999998</v>
      </c>
      <c r="Q723" s="10">
        <f t="shared" si="64"/>
        <v>16.113499999999998</v>
      </c>
      <c r="R723" s="10">
        <f t="shared" si="65"/>
        <v>32.226999999999997</v>
      </c>
      <c r="S723" s="10">
        <f t="shared" si="66"/>
        <v>48.340499999999992</v>
      </c>
      <c r="T723" s="10">
        <f t="shared" si="67"/>
        <v>48.340499999999992</v>
      </c>
      <c r="U723" s="8" t="str">
        <f t="shared" si="68"/>
        <v>Thu</v>
      </c>
      <c r="V723" s="8" t="str">
        <f t="shared" si="68"/>
        <v>Thu</v>
      </c>
    </row>
    <row r="724" spans="1:22" x14ac:dyDescent="0.25">
      <c r="A724" t="s">
        <v>268</v>
      </c>
      <c r="B724" t="s">
        <v>34</v>
      </c>
      <c r="C724" t="s">
        <v>8</v>
      </c>
      <c r="D724" t="s">
        <v>13</v>
      </c>
      <c r="F724" s="5">
        <v>44175</v>
      </c>
      <c r="G724" s="5">
        <v>44219</v>
      </c>
      <c r="H724" s="2">
        <v>1</v>
      </c>
      <c r="I724" s="6"/>
      <c r="J724" s="6"/>
      <c r="K724" s="7">
        <v>2.25</v>
      </c>
      <c r="L724" s="7">
        <v>180</v>
      </c>
      <c r="M724" t="s">
        <v>17</v>
      </c>
      <c r="N724" s="16">
        <f>POWER(SQRT(WorkOrders27[[#This Row],[WorkDate]]-WorkOrders27[[#This Row],[ReqDate]]),2)</f>
        <v>44</v>
      </c>
      <c r="O724" s="8">
        <f t="array" ref="O724">INDEX(TechRate,MATCH(H724,TechNum,0))</f>
        <v>80</v>
      </c>
      <c r="P724" s="10">
        <f>WorkOrders27[[#This Row],[Techs]]*(WorkOrders27[[#This Row],[PartsCost]]*WorkOrders27[[#This Row],[LbrHrs]])</f>
        <v>405</v>
      </c>
      <c r="Q724" s="10">
        <f t="shared" si="64"/>
        <v>405</v>
      </c>
      <c r="R724" s="10">
        <f t="shared" si="65"/>
        <v>180</v>
      </c>
      <c r="S724" s="10">
        <f t="shared" si="66"/>
        <v>585</v>
      </c>
      <c r="T724" s="10">
        <f t="shared" si="67"/>
        <v>585</v>
      </c>
      <c r="U724" s="8" t="str">
        <f t="shared" si="68"/>
        <v>Thu</v>
      </c>
      <c r="V724" s="8" t="str">
        <f t="shared" si="68"/>
        <v>Sat</v>
      </c>
    </row>
    <row r="725" spans="1:22" x14ac:dyDescent="0.25">
      <c r="A725" t="s">
        <v>269</v>
      </c>
      <c r="B725" t="s">
        <v>38</v>
      </c>
      <c r="C725" t="s">
        <v>8</v>
      </c>
      <c r="D725" t="s">
        <v>12</v>
      </c>
      <c r="E725" t="s">
        <v>3</v>
      </c>
      <c r="F725" s="5">
        <v>44177</v>
      </c>
      <c r="G725" s="5">
        <v>44224</v>
      </c>
      <c r="H725" s="2">
        <v>1</v>
      </c>
      <c r="I725" s="6"/>
      <c r="J725" s="6"/>
      <c r="K725" s="7">
        <v>1</v>
      </c>
      <c r="L725" s="7">
        <v>337.9237</v>
      </c>
      <c r="M725" t="s">
        <v>17</v>
      </c>
      <c r="N725" s="16">
        <f>POWER(SQRT(WorkOrders27[[#This Row],[WorkDate]]-WorkOrders27[[#This Row],[ReqDate]]),2)</f>
        <v>47</v>
      </c>
      <c r="O725" s="8">
        <f t="array" ref="O725">INDEX(TechRate,MATCH(H725,TechNum,0))</f>
        <v>80</v>
      </c>
      <c r="P725" s="10">
        <f>WorkOrders27[[#This Row],[Techs]]*(WorkOrders27[[#This Row],[PartsCost]]*WorkOrders27[[#This Row],[LbrHrs]])</f>
        <v>337.9237</v>
      </c>
      <c r="Q725" s="10">
        <f t="shared" si="64"/>
        <v>337.9237</v>
      </c>
      <c r="R725" s="10">
        <f t="shared" si="65"/>
        <v>337.9237</v>
      </c>
      <c r="S725" s="10">
        <f t="shared" si="66"/>
        <v>675.84739999999999</v>
      </c>
      <c r="T725" s="10">
        <f t="shared" si="67"/>
        <v>675.84739999999999</v>
      </c>
      <c r="U725" s="8" t="str">
        <f t="shared" si="68"/>
        <v>Sat</v>
      </c>
      <c r="V725" s="8" t="str">
        <f t="shared" si="68"/>
        <v>Thu</v>
      </c>
    </row>
    <row r="726" spans="1:22" x14ac:dyDescent="0.25">
      <c r="A726" t="s">
        <v>270</v>
      </c>
      <c r="B726" t="s">
        <v>35</v>
      </c>
      <c r="C726" t="s">
        <v>6</v>
      </c>
      <c r="D726" t="s">
        <v>12</v>
      </c>
      <c r="E726" t="s">
        <v>3</v>
      </c>
      <c r="F726" s="5">
        <v>44179</v>
      </c>
      <c r="G726" s="5">
        <v>44180</v>
      </c>
      <c r="H726" s="2">
        <v>1</v>
      </c>
      <c r="I726" s="6"/>
      <c r="J726" s="6"/>
      <c r="K726" s="7">
        <v>0.75</v>
      </c>
      <c r="L726" s="7">
        <v>63.99</v>
      </c>
      <c r="M726" t="s">
        <v>17</v>
      </c>
      <c r="N726" s="16">
        <f>POWER(SQRT(WorkOrders27[[#This Row],[WorkDate]]-WorkOrders27[[#This Row],[ReqDate]]),2)</f>
        <v>1</v>
      </c>
      <c r="O726" s="8">
        <f t="array" ref="O726">INDEX(TechRate,MATCH(H726,TechNum,0))</f>
        <v>80</v>
      </c>
      <c r="P726" s="10">
        <f>WorkOrders27[[#This Row],[Techs]]*(WorkOrders27[[#This Row],[PartsCost]]*WorkOrders27[[#This Row],[LbrHrs]])</f>
        <v>47.9925</v>
      </c>
      <c r="Q726" s="10">
        <f t="shared" si="64"/>
        <v>47.9925</v>
      </c>
      <c r="R726" s="10">
        <f t="shared" si="65"/>
        <v>63.99</v>
      </c>
      <c r="S726" s="10">
        <f t="shared" si="66"/>
        <v>111.9825</v>
      </c>
      <c r="T726" s="10">
        <f t="shared" si="67"/>
        <v>111.9825</v>
      </c>
      <c r="U726" s="8" t="str">
        <f t="shared" si="68"/>
        <v>Mon</v>
      </c>
      <c r="V726" s="8" t="str">
        <f t="shared" si="68"/>
        <v>Tue</v>
      </c>
    </row>
    <row r="727" spans="1:22" x14ac:dyDescent="0.25">
      <c r="A727" t="s">
        <v>271</v>
      </c>
      <c r="B727" t="s">
        <v>38</v>
      </c>
      <c r="C727" t="s">
        <v>8</v>
      </c>
      <c r="D727" t="s">
        <v>12</v>
      </c>
      <c r="F727" s="5">
        <v>44179</v>
      </c>
      <c r="G727" s="5">
        <v>44181</v>
      </c>
      <c r="H727" s="2">
        <v>1</v>
      </c>
      <c r="I727" s="6"/>
      <c r="J727" s="6"/>
      <c r="K727" s="7">
        <v>0.5</v>
      </c>
      <c r="L727" s="7">
        <v>145.88999999999999</v>
      </c>
      <c r="M727" t="s">
        <v>19</v>
      </c>
      <c r="N727" s="16">
        <f>POWER(SQRT(WorkOrders27[[#This Row],[WorkDate]]-WorkOrders27[[#This Row],[ReqDate]]),2)</f>
        <v>2.0000000000000004</v>
      </c>
      <c r="O727" s="8">
        <f t="array" ref="O727">INDEX(TechRate,MATCH(H727,TechNum,0))</f>
        <v>80</v>
      </c>
      <c r="P727" s="10">
        <f>WorkOrders27[[#This Row],[Techs]]*(WorkOrders27[[#This Row],[PartsCost]]*WorkOrders27[[#This Row],[LbrHrs]])</f>
        <v>72.944999999999993</v>
      </c>
      <c r="Q727" s="10">
        <f t="shared" si="64"/>
        <v>72.944999999999993</v>
      </c>
      <c r="R727" s="10">
        <f t="shared" si="65"/>
        <v>145.88999999999999</v>
      </c>
      <c r="S727" s="10">
        <f t="shared" si="66"/>
        <v>218.83499999999998</v>
      </c>
      <c r="T727" s="10">
        <f t="shared" si="67"/>
        <v>218.83499999999998</v>
      </c>
      <c r="U727" s="8" t="str">
        <f t="shared" si="68"/>
        <v>Mon</v>
      </c>
      <c r="V727" s="8" t="str">
        <f t="shared" si="68"/>
        <v>Wed</v>
      </c>
    </row>
    <row r="728" spans="1:22" x14ac:dyDescent="0.25">
      <c r="A728" t="s">
        <v>272</v>
      </c>
      <c r="B728" t="s">
        <v>38</v>
      </c>
      <c r="C728" t="s">
        <v>8</v>
      </c>
      <c r="D728" t="s">
        <v>11</v>
      </c>
      <c r="F728" s="5">
        <v>44179</v>
      </c>
      <c r="G728" s="5">
        <v>44200</v>
      </c>
      <c r="H728" s="2">
        <v>1</v>
      </c>
      <c r="I728" s="6"/>
      <c r="J728" s="6"/>
      <c r="K728" s="7">
        <v>0.25</v>
      </c>
      <c r="L728" s="7">
        <v>30</v>
      </c>
      <c r="M728" t="s">
        <v>19</v>
      </c>
      <c r="N728" s="16">
        <f>POWER(SQRT(WorkOrders27[[#This Row],[WorkDate]]-WorkOrders27[[#This Row],[ReqDate]]),2)</f>
        <v>21</v>
      </c>
      <c r="O728" s="8">
        <f t="array" ref="O728">INDEX(TechRate,MATCH(H728,TechNum,0))</f>
        <v>80</v>
      </c>
      <c r="P728" s="10">
        <f>WorkOrders27[[#This Row],[Techs]]*(WorkOrders27[[#This Row],[PartsCost]]*WorkOrders27[[#This Row],[LbrHrs]])</f>
        <v>7.5</v>
      </c>
      <c r="Q728" s="10">
        <f t="shared" si="64"/>
        <v>7.5</v>
      </c>
      <c r="R728" s="10">
        <f t="shared" si="65"/>
        <v>30</v>
      </c>
      <c r="S728" s="10">
        <f t="shared" si="66"/>
        <v>37.5</v>
      </c>
      <c r="T728" s="10">
        <f t="shared" si="67"/>
        <v>37.5</v>
      </c>
      <c r="U728" s="8" t="str">
        <f t="shared" si="68"/>
        <v>Mon</v>
      </c>
      <c r="V728" s="8" t="str">
        <f t="shared" si="68"/>
        <v>Mon</v>
      </c>
    </row>
    <row r="729" spans="1:22" x14ac:dyDescent="0.25">
      <c r="A729" t="s">
        <v>273</v>
      </c>
      <c r="B729" t="s">
        <v>38</v>
      </c>
      <c r="C729" t="s">
        <v>8</v>
      </c>
      <c r="D729" t="s">
        <v>13</v>
      </c>
      <c r="F729" s="5">
        <v>44179</v>
      </c>
      <c r="G729" s="5">
        <v>44200</v>
      </c>
      <c r="H729" s="2">
        <v>1</v>
      </c>
      <c r="I729" s="6"/>
      <c r="J729" s="6"/>
      <c r="K729" s="7">
        <v>0.5</v>
      </c>
      <c r="L729" s="7">
        <v>57.098199999999999</v>
      </c>
      <c r="M729" t="s">
        <v>17</v>
      </c>
      <c r="N729" s="16">
        <f>POWER(SQRT(WorkOrders27[[#This Row],[WorkDate]]-WorkOrders27[[#This Row],[ReqDate]]),2)</f>
        <v>21</v>
      </c>
      <c r="O729" s="8">
        <f t="array" ref="O729">INDEX(TechRate,MATCH(H729,TechNum,0))</f>
        <v>80</v>
      </c>
      <c r="P729" s="10">
        <f>WorkOrders27[[#This Row],[Techs]]*(WorkOrders27[[#This Row],[PartsCost]]*WorkOrders27[[#This Row],[LbrHrs]])</f>
        <v>28.549099999999999</v>
      </c>
      <c r="Q729" s="10">
        <f t="shared" si="64"/>
        <v>28.549099999999999</v>
      </c>
      <c r="R729" s="10">
        <f t="shared" si="65"/>
        <v>57.098199999999999</v>
      </c>
      <c r="S729" s="10">
        <f t="shared" si="66"/>
        <v>85.647300000000001</v>
      </c>
      <c r="T729" s="10">
        <f t="shared" si="67"/>
        <v>85.647300000000001</v>
      </c>
      <c r="U729" s="8" t="str">
        <f t="shared" si="68"/>
        <v>Mon</v>
      </c>
      <c r="V729" s="8" t="str">
        <f t="shared" si="68"/>
        <v>Mon</v>
      </c>
    </row>
    <row r="730" spans="1:22" x14ac:dyDescent="0.25">
      <c r="A730" t="s">
        <v>274</v>
      </c>
      <c r="B730" t="s">
        <v>36</v>
      </c>
      <c r="C730" t="s">
        <v>8</v>
      </c>
      <c r="D730" t="s">
        <v>1</v>
      </c>
      <c r="F730" s="5">
        <v>44179</v>
      </c>
      <c r="G730" s="5">
        <v>44209</v>
      </c>
      <c r="H730" s="2">
        <v>2</v>
      </c>
      <c r="I730" s="6"/>
      <c r="J730" s="6"/>
      <c r="K730" s="7">
        <v>3.5</v>
      </c>
      <c r="L730" s="7">
        <v>262.44</v>
      </c>
      <c r="M730" t="s">
        <v>17</v>
      </c>
      <c r="N730" s="16">
        <f>POWER(SQRT(WorkOrders27[[#This Row],[WorkDate]]-WorkOrders27[[#This Row],[ReqDate]]),2)</f>
        <v>30</v>
      </c>
      <c r="O730" s="8">
        <f t="array" ref="O730">INDEX(TechRate,MATCH(H730,TechNum,0))</f>
        <v>140</v>
      </c>
      <c r="P730" s="10">
        <f>WorkOrders27[[#This Row],[Techs]]*(WorkOrders27[[#This Row],[PartsCost]]*WorkOrders27[[#This Row],[LbrHrs]])</f>
        <v>1837.08</v>
      </c>
      <c r="Q730" s="10">
        <f t="shared" si="64"/>
        <v>1837.08</v>
      </c>
      <c r="R730" s="10">
        <f t="shared" si="65"/>
        <v>262.44</v>
      </c>
      <c r="S730" s="10">
        <f t="shared" si="66"/>
        <v>2099.52</v>
      </c>
      <c r="T730" s="10">
        <f t="shared" si="67"/>
        <v>2099.52</v>
      </c>
      <c r="U730" s="8" t="str">
        <f t="shared" si="68"/>
        <v>Mon</v>
      </c>
      <c r="V730" s="8" t="str">
        <f t="shared" si="68"/>
        <v>Wed</v>
      </c>
    </row>
    <row r="731" spans="1:22" x14ac:dyDescent="0.25">
      <c r="A731" t="s">
        <v>275</v>
      </c>
      <c r="B731" t="s">
        <v>38</v>
      </c>
      <c r="C731" t="s">
        <v>8</v>
      </c>
      <c r="D731" t="s">
        <v>12</v>
      </c>
      <c r="F731" s="5">
        <v>44179</v>
      </c>
      <c r="G731" s="5">
        <v>44215</v>
      </c>
      <c r="H731" s="2">
        <v>1</v>
      </c>
      <c r="I731" s="6"/>
      <c r="J731" s="6"/>
      <c r="K731" s="7">
        <v>0.5</v>
      </c>
      <c r="L731" s="7">
        <v>21.33</v>
      </c>
      <c r="M731" t="s">
        <v>19</v>
      </c>
      <c r="N731" s="16">
        <f>POWER(SQRT(WorkOrders27[[#This Row],[WorkDate]]-WorkOrders27[[#This Row],[ReqDate]]),2)</f>
        <v>36</v>
      </c>
      <c r="O731" s="8">
        <f t="array" ref="O731">INDEX(TechRate,MATCH(H731,TechNum,0))</f>
        <v>80</v>
      </c>
      <c r="P731" s="10">
        <f>WorkOrders27[[#This Row],[Techs]]*(WorkOrders27[[#This Row],[PartsCost]]*WorkOrders27[[#This Row],[LbrHrs]])</f>
        <v>10.664999999999999</v>
      </c>
      <c r="Q731" s="10">
        <f t="shared" si="64"/>
        <v>10.664999999999999</v>
      </c>
      <c r="R731" s="10">
        <f t="shared" si="65"/>
        <v>21.33</v>
      </c>
      <c r="S731" s="10">
        <f t="shared" si="66"/>
        <v>31.994999999999997</v>
      </c>
      <c r="T731" s="10">
        <f t="shared" si="67"/>
        <v>31.994999999999997</v>
      </c>
      <c r="U731" s="8" t="str">
        <f t="shared" si="68"/>
        <v>Mon</v>
      </c>
      <c r="V731" s="8" t="str">
        <f t="shared" si="68"/>
        <v>Tue</v>
      </c>
    </row>
    <row r="732" spans="1:22" x14ac:dyDescent="0.25">
      <c r="A732" t="s">
        <v>276</v>
      </c>
      <c r="B732" t="s">
        <v>37</v>
      </c>
      <c r="C732" t="s">
        <v>43</v>
      </c>
      <c r="D732" t="s">
        <v>2</v>
      </c>
      <c r="F732" s="5">
        <v>44179</v>
      </c>
      <c r="G732" s="5">
        <v>44320</v>
      </c>
      <c r="H732" s="2">
        <v>1</v>
      </c>
      <c r="I732" s="6"/>
      <c r="J732" s="6"/>
      <c r="K732" s="7">
        <v>4</v>
      </c>
      <c r="L732" s="7">
        <v>1769.625</v>
      </c>
      <c r="M732" t="s">
        <v>19</v>
      </c>
      <c r="N732" s="16">
        <f>POWER(SQRT(WorkOrders27[[#This Row],[WorkDate]]-WorkOrders27[[#This Row],[ReqDate]]),2)</f>
        <v>141</v>
      </c>
      <c r="O732" s="8">
        <f t="array" ref="O732">INDEX(TechRate,MATCH(H732,TechNum,0))</f>
        <v>80</v>
      </c>
      <c r="P732" s="10">
        <f>WorkOrders27[[#This Row],[Techs]]*(WorkOrders27[[#This Row],[PartsCost]]*WorkOrders27[[#This Row],[LbrHrs]])</f>
        <v>7078.5</v>
      </c>
      <c r="Q732" s="10">
        <f t="shared" si="64"/>
        <v>7078.5</v>
      </c>
      <c r="R732" s="10">
        <f t="shared" si="65"/>
        <v>1769.625</v>
      </c>
      <c r="S732" s="10">
        <f t="shared" si="66"/>
        <v>8848.125</v>
      </c>
      <c r="T732" s="10">
        <f t="shared" si="67"/>
        <v>8848.125</v>
      </c>
      <c r="U732" s="8" t="str">
        <f t="shared" si="68"/>
        <v>Mon</v>
      </c>
      <c r="V732" s="8" t="str">
        <f t="shared" si="68"/>
        <v>Tue</v>
      </c>
    </row>
    <row r="733" spans="1:22" x14ac:dyDescent="0.25">
      <c r="A733" t="s">
        <v>277</v>
      </c>
      <c r="B733" t="s">
        <v>37</v>
      </c>
      <c r="C733" t="s">
        <v>43</v>
      </c>
      <c r="D733" t="s">
        <v>13</v>
      </c>
      <c r="F733" s="5">
        <v>44180</v>
      </c>
      <c r="G733" s="5">
        <v>44209</v>
      </c>
      <c r="H733" s="2">
        <v>1</v>
      </c>
      <c r="I733" s="6"/>
      <c r="J733" s="6"/>
      <c r="K733" s="7">
        <v>0.75</v>
      </c>
      <c r="L733" s="7">
        <v>82.875</v>
      </c>
      <c r="M733" t="s">
        <v>19</v>
      </c>
      <c r="N733" s="16">
        <f>POWER(SQRT(WorkOrders27[[#This Row],[WorkDate]]-WorkOrders27[[#This Row],[ReqDate]]),2)</f>
        <v>28.999999999999996</v>
      </c>
      <c r="O733" s="8">
        <f t="array" ref="O733">INDEX(TechRate,MATCH(H733,TechNum,0))</f>
        <v>80</v>
      </c>
      <c r="P733" s="10">
        <f>WorkOrders27[[#This Row],[Techs]]*(WorkOrders27[[#This Row],[PartsCost]]*WorkOrders27[[#This Row],[LbrHrs]])</f>
        <v>62.15625</v>
      </c>
      <c r="Q733" s="10">
        <f t="shared" si="64"/>
        <v>62.15625</v>
      </c>
      <c r="R733" s="10">
        <f t="shared" si="65"/>
        <v>82.875</v>
      </c>
      <c r="S733" s="10">
        <f t="shared" si="66"/>
        <v>145.03125</v>
      </c>
      <c r="T733" s="10">
        <f t="shared" si="67"/>
        <v>145.03125</v>
      </c>
      <c r="U733" s="8" t="str">
        <f t="shared" si="68"/>
        <v>Tue</v>
      </c>
      <c r="V733" s="8" t="str">
        <f t="shared" si="68"/>
        <v>Wed</v>
      </c>
    </row>
    <row r="734" spans="1:22" x14ac:dyDescent="0.25">
      <c r="A734" t="s">
        <v>278</v>
      </c>
      <c r="B734" t="s">
        <v>34</v>
      </c>
      <c r="C734" t="s">
        <v>6</v>
      </c>
      <c r="D734" t="s">
        <v>12</v>
      </c>
      <c r="F734" s="5">
        <v>44180</v>
      </c>
      <c r="G734" s="5">
        <v>44221</v>
      </c>
      <c r="H734" s="2">
        <v>2</v>
      </c>
      <c r="I734" s="6"/>
      <c r="J734" s="6"/>
      <c r="K734" s="7">
        <v>0.75</v>
      </c>
      <c r="L734" s="7">
        <v>2294</v>
      </c>
      <c r="M734" t="s">
        <v>17</v>
      </c>
      <c r="N734" s="16">
        <f>POWER(SQRT(WorkOrders27[[#This Row],[WorkDate]]-WorkOrders27[[#This Row],[ReqDate]]),2)</f>
        <v>41</v>
      </c>
      <c r="O734" s="8">
        <f t="array" ref="O734">INDEX(TechRate,MATCH(H734,TechNum,0))</f>
        <v>140</v>
      </c>
      <c r="P734" s="10">
        <f>WorkOrders27[[#This Row],[Techs]]*(WorkOrders27[[#This Row],[PartsCost]]*WorkOrders27[[#This Row],[LbrHrs]])</f>
        <v>3441</v>
      </c>
      <c r="Q734" s="10">
        <f t="shared" si="64"/>
        <v>3441</v>
      </c>
      <c r="R734" s="10">
        <f t="shared" si="65"/>
        <v>2294</v>
      </c>
      <c r="S734" s="10">
        <f t="shared" si="66"/>
        <v>5735</v>
      </c>
      <c r="T734" s="10">
        <f t="shared" si="67"/>
        <v>5735</v>
      </c>
      <c r="U734" s="8" t="str">
        <f t="shared" si="68"/>
        <v>Tue</v>
      </c>
      <c r="V734" s="8" t="str">
        <f t="shared" si="68"/>
        <v>Mon</v>
      </c>
    </row>
    <row r="735" spans="1:22" x14ac:dyDescent="0.25">
      <c r="A735" t="s">
        <v>279</v>
      </c>
      <c r="B735" t="s">
        <v>39</v>
      </c>
      <c r="C735" t="s">
        <v>8</v>
      </c>
      <c r="D735" t="s">
        <v>12</v>
      </c>
      <c r="F735" s="5">
        <v>44181</v>
      </c>
      <c r="G735" s="5">
        <v>44188</v>
      </c>
      <c r="H735" s="2">
        <v>1</v>
      </c>
      <c r="I735" s="6"/>
      <c r="J735" s="6"/>
      <c r="K735" s="7">
        <v>1</v>
      </c>
      <c r="L735" s="7">
        <v>348.7432</v>
      </c>
      <c r="M735" t="s">
        <v>17</v>
      </c>
      <c r="N735" s="16">
        <f>POWER(SQRT(WorkOrders27[[#This Row],[WorkDate]]-WorkOrders27[[#This Row],[ReqDate]]),2)</f>
        <v>7.0000000000000009</v>
      </c>
      <c r="O735" s="8">
        <f t="array" ref="O735">INDEX(TechRate,MATCH(H735,TechNum,0))</f>
        <v>80</v>
      </c>
      <c r="P735" s="10">
        <f>WorkOrders27[[#This Row],[Techs]]*(WorkOrders27[[#This Row],[PartsCost]]*WorkOrders27[[#This Row],[LbrHrs]])</f>
        <v>348.7432</v>
      </c>
      <c r="Q735" s="10">
        <f t="shared" si="64"/>
        <v>348.7432</v>
      </c>
      <c r="R735" s="10">
        <f t="shared" si="65"/>
        <v>348.7432</v>
      </c>
      <c r="S735" s="10">
        <f t="shared" si="66"/>
        <v>697.4864</v>
      </c>
      <c r="T735" s="10">
        <f t="shared" si="67"/>
        <v>697.4864</v>
      </c>
      <c r="U735" s="8" t="str">
        <f t="shared" si="68"/>
        <v>Wed</v>
      </c>
      <c r="V735" s="8" t="str">
        <f t="shared" si="68"/>
        <v>Wed</v>
      </c>
    </row>
    <row r="736" spans="1:22" x14ac:dyDescent="0.25">
      <c r="A736" t="s">
        <v>280</v>
      </c>
      <c r="B736" t="s">
        <v>37</v>
      </c>
      <c r="C736" t="s">
        <v>43</v>
      </c>
      <c r="D736" t="s">
        <v>12</v>
      </c>
      <c r="F736" s="5">
        <v>44181</v>
      </c>
      <c r="G736" s="5">
        <v>44210</v>
      </c>
      <c r="H736" s="2">
        <v>1</v>
      </c>
      <c r="I736" s="6"/>
      <c r="J736" s="6"/>
      <c r="K736" s="7">
        <v>0.25</v>
      </c>
      <c r="L736" s="7">
        <v>140.4</v>
      </c>
      <c r="M736" t="s">
        <v>17</v>
      </c>
      <c r="N736" s="16">
        <f>POWER(SQRT(WorkOrders27[[#This Row],[WorkDate]]-WorkOrders27[[#This Row],[ReqDate]]),2)</f>
        <v>28.999999999999996</v>
      </c>
      <c r="O736" s="8">
        <f t="array" ref="O736">INDEX(TechRate,MATCH(H736,TechNum,0))</f>
        <v>80</v>
      </c>
      <c r="P736" s="10">
        <f>WorkOrders27[[#This Row],[Techs]]*(WorkOrders27[[#This Row],[PartsCost]]*WorkOrders27[[#This Row],[LbrHrs]])</f>
        <v>35.1</v>
      </c>
      <c r="Q736" s="10">
        <f t="shared" si="64"/>
        <v>35.1</v>
      </c>
      <c r="R736" s="10">
        <f t="shared" si="65"/>
        <v>140.4</v>
      </c>
      <c r="S736" s="10">
        <f t="shared" si="66"/>
        <v>175.5</v>
      </c>
      <c r="T736" s="10">
        <f t="shared" si="67"/>
        <v>175.5</v>
      </c>
      <c r="U736" s="8" t="str">
        <f t="shared" si="68"/>
        <v>Wed</v>
      </c>
      <c r="V736" s="8" t="str">
        <f t="shared" si="68"/>
        <v>Thu</v>
      </c>
    </row>
    <row r="737" spans="1:22" x14ac:dyDescent="0.25">
      <c r="A737" t="s">
        <v>281</v>
      </c>
      <c r="B737" t="s">
        <v>40</v>
      </c>
      <c r="C737" t="s">
        <v>7</v>
      </c>
      <c r="D737" t="s">
        <v>12</v>
      </c>
      <c r="F737" s="5">
        <v>44181</v>
      </c>
      <c r="G737" s="5">
        <v>44228</v>
      </c>
      <c r="H737" s="2">
        <v>2</v>
      </c>
      <c r="I737" s="6"/>
      <c r="J737" s="6"/>
      <c r="K737" s="7">
        <v>0.5</v>
      </c>
      <c r="L737" s="7">
        <v>133.99780000000001</v>
      </c>
      <c r="M737" t="s">
        <v>17</v>
      </c>
      <c r="N737" s="16">
        <f>POWER(SQRT(WorkOrders27[[#This Row],[WorkDate]]-WorkOrders27[[#This Row],[ReqDate]]),2)</f>
        <v>47</v>
      </c>
      <c r="O737" s="8">
        <f t="array" ref="O737">INDEX(TechRate,MATCH(H737,TechNum,0))</f>
        <v>140</v>
      </c>
      <c r="P737" s="10">
        <f>WorkOrders27[[#This Row],[Techs]]*(WorkOrders27[[#This Row],[PartsCost]]*WorkOrders27[[#This Row],[LbrHrs]])</f>
        <v>133.99780000000001</v>
      </c>
      <c r="Q737" s="10">
        <f t="shared" si="64"/>
        <v>133.99780000000001</v>
      </c>
      <c r="R737" s="10">
        <f t="shared" si="65"/>
        <v>133.99780000000001</v>
      </c>
      <c r="S737" s="10">
        <f t="shared" si="66"/>
        <v>267.99560000000002</v>
      </c>
      <c r="T737" s="10">
        <f t="shared" si="67"/>
        <v>267.99560000000002</v>
      </c>
      <c r="U737" s="8" t="str">
        <f t="shared" si="68"/>
        <v>Wed</v>
      </c>
      <c r="V737" s="8" t="str">
        <f t="shared" si="68"/>
        <v>Mon</v>
      </c>
    </row>
    <row r="738" spans="1:22" x14ac:dyDescent="0.25">
      <c r="A738" t="s">
        <v>282</v>
      </c>
      <c r="B738" t="s">
        <v>35</v>
      </c>
      <c r="C738" t="s">
        <v>9</v>
      </c>
      <c r="D738" t="s">
        <v>2</v>
      </c>
      <c r="F738" s="5">
        <v>44186</v>
      </c>
      <c r="G738" s="5">
        <v>44222</v>
      </c>
      <c r="H738" s="2">
        <v>2</v>
      </c>
      <c r="I738" s="6"/>
      <c r="J738" s="6"/>
      <c r="K738" s="7">
        <v>1</v>
      </c>
      <c r="L738" s="7">
        <v>305.63040000000001</v>
      </c>
      <c r="M738" t="s">
        <v>17</v>
      </c>
      <c r="N738" s="16">
        <f>POWER(SQRT(WorkOrders27[[#This Row],[WorkDate]]-WorkOrders27[[#This Row],[ReqDate]]),2)</f>
        <v>36</v>
      </c>
      <c r="O738" s="8">
        <f t="array" ref="O738">INDEX(TechRate,MATCH(H738,TechNum,0))</f>
        <v>140</v>
      </c>
      <c r="P738" s="10">
        <f>WorkOrders27[[#This Row],[Techs]]*(WorkOrders27[[#This Row],[PartsCost]]*WorkOrders27[[#This Row],[LbrHrs]])</f>
        <v>611.26080000000002</v>
      </c>
      <c r="Q738" s="10">
        <f t="shared" si="64"/>
        <v>611.26080000000002</v>
      </c>
      <c r="R738" s="10">
        <f t="shared" si="65"/>
        <v>305.63040000000001</v>
      </c>
      <c r="S738" s="10">
        <f t="shared" si="66"/>
        <v>916.89120000000003</v>
      </c>
      <c r="T738" s="10">
        <f t="shared" si="67"/>
        <v>916.89120000000003</v>
      </c>
      <c r="U738" s="8" t="str">
        <f t="shared" si="68"/>
        <v>Mon</v>
      </c>
      <c r="V738" s="8" t="str">
        <f t="shared" si="68"/>
        <v>Tue</v>
      </c>
    </row>
    <row r="739" spans="1:22" x14ac:dyDescent="0.25">
      <c r="A739" t="s">
        <v>283</v>
      </c>
      <c r="B739" t="s">
        <v>35</v>
      </c>
      <c r="C739" t="s">
        <v>6</v>
      </c>
      <c r="D739" t="s">
        <v>12</v>
      </c>
      <c r="E739" t="s">
        <v>3</v>
      </c>
      <c r="F739" s="5">
        <v>44200</v>
      </c>
      <c r="G739" s="5">
        <v>44207</v>
      </c>
      <c r="H739" s="2">
        <v>1</v>
      </c>
      <c r="I739" s="6"/>
      <c r="J739" s="6"/>
      <c r="K739" s="7">
        <v>0.25</v>
      </c>
      <c r="L739" s="7">
        <v>19.196999999999999</v>
      </c>
      <c r="M739" t="s">
        <v>17</v>
      </c>
      <c r="N739" s="16">
        <f>POWER(SQRT(WorkOrders27[[#This Row],[WorkDate]]-WorkOrders27[[#This Row],[ReqDate]]),2)</f>
        <v>7.0000000000000009</v>
      </c>
      <c r="O739" s="8">
        <f t="array" ref="O739">INDEX(TechRate,MATCH(H739,TechNum,0))</f>
        <v>80</v>
      </c>
      <c r="P739" s="10">
        <f>WorkOrders27[[#This Row],[Techs]]*(WorkOrders27[[#This Row],[PartsCost]]*WorkOrders27[[#This Row],[LbrHrs]])</f>
        <v>4.7992499999999998</v>
      </c>
      <c r="Q739" s="10">
        <f t="shared" si="64"/>
        <v>4.7992499999999998</v>
      </c>
      <c r="R739" s="10">
        <f t="shared" si="65"/>
        <v>19.196999999999999</v>
      </c>
      <c r="S739" s="10">
        <f t="shared" si="66"/>
        <v>23.99625</v>
      </c>
      <c r="T739" s="10">
        <f t="shared" si="67"/>
        <v>23.99625</v>
      </c>
      <c r="U739" s="8" t="str">
        <f t="shared" si="68"/>
        <v>Mon</v>
      </c>
      <c r="V739" s="8" t="str">
        <f t="shared" si="68"/>
        <v>Mon</v>
      </c>
    </row>
    <row r="740" spans="1:22" x14ac:dyDescent="0.25">
      <c r="A740" t="s">
        <v>284</v>
      </c>
      <c r="B740" t="s">
        <v>37</v>
      </c>
      <c r="C740" t="s">
        <v>43</v>
      </c>
      <c r="D740" t="s">
        <v>12</v>
      </c>
      <c r="F740" s="5">
        <v>44200</v>
      </c>
      <c r="G740" s="5">
        <v>44209</v>
      </c>
      <c r="H740" s="2">
        <v>1</v>
      </c>
      <c r="I740" s="6"/>
      <c r="J740" s="6"/>
      <c r="K740" s="7">
        <v>0.5</v>
      </c>
      <c r="L740" s="7">
        <v>18.524999999999999</v>
      </c>
      <c r="M740" t="s">
        <v>19</v>
      </c>
      <c r="N740" s="16">
        <f>POWER(SQRT(WorkOrders27[[#This Row],[WorkDate]]-WorkOrders27[[#This Row],[ReqDate]]),2)</f>
        <v>9</v>
      </c>
      <c r="O740" s="8">
        <f t="array" ref="O740">INDEX(TechRate,MATCH(H740,TechNum,0))</f>
        <v>80</v>
      </c>
      <c r="P740" s="10">
        <f>WorkOrders27[[#This Row],[Techs]]*(WorkOrders27[[#This Row],[PartsCost]]*WorkOrders27[[#This Row],[LbrHrs]])</f>
        <v>9.2624999999999993</v>
      </c>
      <c r="Q740" s="10">
        <f t="shared" si="64"/>
        <v>9.2624999999999993</v>
      </c>
      <c r="R740" s="10">
        <f t="shared" si="65"/>
        <v>18.524999999999999</v>
      </c>
      <c r="S740" s="10">
        <f t="shared" si="66"/>
        <v>27.787499999999998</v>
      </c>
      <c r="T740" s="10">
        <f t="shared" si="67"/>
        <v>27.787499999999998</v>
      </c>
      <c r="U740" s="8" t="str">
        <f t="shared" si="68"/>
        <v>Mon</v>
      </c>
      <c r="V740" s="8" t="str">
        <f t="shared" si="68"/>
        <v>Wed</v>
      </c>
    </row>
    <row r="741" spans="1:22" x14ac:dyDescent="0.25">
      <c r="A741" t="s">
        <v>285</v>
      </c>
      <c r="B741" t="s">
        <v>38</v>
      </c>
      <c r="C741" t="s">
        <v>43</v>
      </c>
      <c r="D741" t="s">
        <v>11</v>
      </c>
      <c r="F741" s="5">
        <v>44200</v>
      </c>
      <c r="G741" s="5">
        <v>44209</v>
      </c>
      <c r="H741" s="2">
        <v>1</v>
      </c>
      <c r="I741" s="6"/>
      <c r="J741" s="6"/>
      <c r="K741" s="7">
        <v>0.25</v>
      </c>
      <c r="L741" s="7">
        <v>39</v>
      </c>
      <c r="M741" t="s">
        <v>17</v>
      </c>
      <c r="N741" s="16">
        <f>POWER(SQRT(WorkOrders27[[#This Row],[WorkDate]]-WorkOrders27[[#This Row],[ReqDate]]),2)</f>
        <v>9</v>
      </c>
      <c r="O741" s="8">
        <f t="array" ref="O741">INDEX(TechRate,MATCH(H741,TechNum,0))</f>
        <v>80</v>
      </c>
      <c r="P741" s="10">
        <f>WorkOrders27[[#This Row],[Techs]]*(WorkOrders27[[#This Row],[PartsCost]]*WorkOrders27[[#This Row],[LbrHrs]])</f>
        <v>9.75</v>
      </c>
      <c r="Q741" s="10">
        <f t="shared" si="64"/>
        <v>9.75</v>
      </c>
      <c r="R741" s="10">
        <f t="shared" si="65"/>
        <v>39</v>
      </c>
      <c r="S741" s="10">
        <f t="shared" si="66"/>
        <v>48.75</v>
      </c>
      <c r="T741" s="10">
        <f t="shared" si="67"/>
        <v>48.75</v>
      </c>
      <c r="U741" s="8" t="str">
        <f t="shared" si="68"/>
        <v>Mon</v>
      </c>
      <c r="V741" s="8" t="str">
        <f t="shared" si="68"/>
        <v>Wed</v>
      </c>
    </row>
    <row r="742" spans="1:22" x14ac:dyDescent="0.25">
      <c r="A742" t="s">
        <v>286</v>
      </c>
      <c r="B742" t="s">
        <v>37</v>
      </c>
      <c r="C742" t="s">
        <v>43</v>
      </c>
      <c r="D742" t="s">
        <v>12</v>
      </c>
      <c r="F742" s="5">
        <v>44200</v>
      </c>
      <c r="G742" s="5">
        <v>44210</v>
      </c>
      <c r="H742" s="2">
        <v>2</v>
      </c>
      <c r="I742" s="6"/>
      <c r="J742" s="6"/>
      <c r="K742" s="7">
        <v>0.25</v>
      </c>
      <c r="L742" s="7">
        <v>36.503999999999998</v>
      </c>
      <c r="M742" t="s">
        <v>19</v>
      </c>
      <c r="N742" s="16">
        <f>POWER(SQRT(WorkOrders27[[#This Row],[WorkDate]]-WorkOrders27[[#This Row],[ReqDate]]),2)</f>
        <v>10.000000000000002</v>
      </c>
      <c r="O742" s="8">
        <f t="array" ref="O742">INDEX(TechRate,MATCH(H742,TechNum,0))</f>
        <v>140</v>
      </c>
      <c r="P742" s="10">
        <f>WorkOrders27[[#This Row],[Techs]]*(WorkOrders27[[#This Row],[PartsCost]]*WorkOrders27[[#This Row],[LbrHrs]])</f>
        <v>18.251999999999999</v>
      </c>
      <c r="Q742" s="10">
        <f t="shared" si="64"/>
        <v>18.251999999999999</v>
      </c>
      <c r="R742" s="10">
        <f t="shared" si="65"/>
        <v>36.503999999999998</v>
      </c>
      <c r="S742" s="10">
        <f t="shared" si="66"/>
        <v>54.756</v>
      </c>
      <c r="T742" s="10">
        <f t="shared" si="67"/>
        <v>54.756</v>
      </c>
      <c r="U742" s="8" t="str">
        <f t="shared" si="68"/>
        <v>Mon</v>
      </c>
      <c r="V742" s="8" t="str">
        <f t="shared" si="68"/>
        <v>Thu</v>
      </c>
    </row>
    <row r="743" spans="1:22" x14ac:dyDescent="0.25">
      <c r="A743" t="s">
        <v>287</v>
      </c>
      <c r="B743" t="s">
        <v>34</v>
      </c>
      <c r="C743" t="s">
        <v>44</v>
      </c>
      <c r="D743" t="s">
        <v>12</v>
      </c>
      <c r="F743" s="5">
        <v>44200</v>
      </c>
      <c r="G743" s="5">
        <v>44210</v>
      </c>
      <c r="H743" s="2">
        <v>2</v>
      </c>
      <c r="I743" s="6"/>
      <c r="J743" s="6"/>
      <c r="K743" s="7">
        <v>0.5</v>
      </c>
      <c r="L743" s="7">
        <v>29.807400000000001</v>
      </c>
      <c r="M743" t="s">
        <v>18</v>
      </c>
      <c r="N743" s="16">
        <f>POWER(SQRT(WorkOrders27[[#This Row],[WorkDate]]-WorkOrders27[[#This Row],[ReqDate]]),2)</f>
        <v>10.000000000000002</v>
      </c>
      <c r="O743" s="8">
        <f t="array" ref="O743">INDEX(TechRate,MATCH(H743,TechNum,0))</f>
        <v>140</v>
      </c>
      <c r="P743" s="10">
        <f>WorkOrders27[[#This Row],[Techs]]*(WorkOrders27[[#This Row],[PartsCost]]*WorkOrders27[[#This Row],[LbrHrs]])</f>
        <v>29.807400000000001</v>
      </c>
      <c r="Q743" s="10">
        <f t="shared" si="64"/>
        <v>29.807400000000001</v>
      </c>
      <c r="R743" s="10">
        <f t="shared" si="65"/>
        <v>29.807400000000001</v>
      </c>
      <c r="S743" s="10">
        <f t="shared" si="66"/>
        <v>59.614800000000002</v>
      </c>
      <c r="T743" s="10">
        <f t="shared" si="67"/>
        <v>59.614800000000002</v>
      </c>
      <c r="U743" s="8" t="str">
        <f t="shared" si="68"/>
        <v>Mon</v>
      </c>
      <c r="V743" s="8" t="str">
        <f t="shared" si="68"/>
        <v>Thu</v>
      </c>
    </row>
    <row r="744" spans="1:22" x14ac:dyDescent="0.25">
      <c r="A744" t="s">
        <v>288</v>
      </c>
      <c r="B744" t="s">
        <v>34</v>
      </c>
      <c r="C744" t="s">
        <v>6</v>
      </c>
      <c r="D744" t="s">
        <v>12</v>
      </c>
      <c r="F744" s="5">
        <v>44200</v>
      </c>
      <c r="G744" s="5">
        <v>44210</v>
      </c>
      <c r="H744" s="2">
        <v>1</v>
      </c>
      <c r="I744" s="6"/>
      <c r="J744" s="6"/>
      <c r="K744" s="7">
        <v>0.25</v>
      </c>
      <c r="L744" s="7">
        <v>43.02</v>
      </c>
      <c r="M744" t="s">
        <v>17</v>
      </c>
      <c r="N744" s="16">
        <f>POWER(SQRT(WorkOrders27[[#This Row],[WorkDate]]-WorkOrders27[[#This Row],[ReqDate]]),2)</f>
        <v>10.000000000000002</v>
      </c>
      <c r="O744" s="8">
        <f t="array" ref="O744">INDEX(TechRate,MATCH(H744,TechNum,0))</f>
        <v>80</v>
      </c>
      <c r="P744" s="10">
        <f>WorkOrders27[[#This Row],[Techs]]*(WorkOrders27[[#This Row],[PartsCost]]*WorkOrders27[[#This Row],[LbrHrs]])</f>
        <v>10.755000000000001</v>
      </c>
      <c r="Q744" s="10">
        <f t="shared" si="64"/>
        <v>10.755000000000001</v>
      </c>
      <c r="R744" s="10">
        <f t="shared" si="65"/>
        <v>43.02</v>
      </c>
      <c r="S744" s="10">
        <f t="shared" si="66"/>
        <v>53.775000000000006</v>
      </c>
      <c r="T744" s="10">
        <f t="shared" si="67"/>
        <v>53.775000000000006</v>
      </c>
      <c r="U744" s="8" t="str">
        <f t="shared" si="68"/>
        <v>Mon</v>
      </c>
      <c r="V744" s="8" t="str">
        <f t="shared" si="68"/>
        <v>Thu</v>
      </c>
    </row>
    <row r="745" spans="1:22" x14ac:dyDescent="0.25">
      <c r="A745" t="s">
        <v>289</v>
      </c>
      <c r="B745" t="s">
        <v>35</v>
      </c>
      <c r="C745" t="s">
        <v>9</v>
      </c>
      <c r="D745" t="s">
        <v>11</v>
      </c>
      <c r="F745" s="5">
        <v>44200</v>
      </c>
      <c r="G745" s="5">
        <v>44217</v>
      </c>
      <c r="H745" s="2">
        <v>1</v>
      </c>
      <c r="I745" s="6"/>
      <c r="J745" s="6"/>
      <c r="K745" s="7">
        <v>0.25</v>
      </c>
      <c r="L745" s="7">
        <v>66.864900000000006</v>
      </c>
      <c r="M745" t="s">
        <v>17</v>
      </c>
      <c r="N745" s="16">
        <f>POWER(SQRT(WorkOrders27[[#This Row],[WorkDate]]-WorkOrders27[[#This Row],[ReqDate]]),2)</f>
        <v>17</v>
      </c>
      <c r="O745" s="8">
        <f t="array" ref="O745">INDEX(TechRate,MATCH(H745,TechNum,0))</f>
        <v>80</v>
      </c>
      <c r="P745" s="10">
        <f>WorkOrders27[[#This Row],[Techs]]*(WorkOrders27[[#This Row],[PartsCost]]*WorkOrders27[[#This Row],[LbrHrs]])</f>
        <v>16.716225000000001</v>
      </c>
      <c r="Q745" s="10">
        <f t="shared" si="64"/>
        <v>16.716225000000001</v>
      </c>
      <c r="R745" s="10">
        <f t="shared" si="65"/>
        <v>66.864900000000006</v>
      </c>
      <c r="S745" s="10">
        <f t="shared" si="66"/>
        <v>83.581125000000014</v>
      </c>
      <c r="T745" s="10">
        <f t="shared" si="67"/>
        <v>83.581125000000014</v>
      </c>
      <c r="U745" s="8" t="str">
        <f t="shared" si="68"/>
        <v>Mon</v>
      </c>
      <c r="V745" s="8" t="str">
        <f t="shared" si="68"/>
        <v>Thu</v>
      </c>
    </row>
    <row r="746" spans="1:22" x14ac:dyDescent="0.25">
      <c r="A746" t="s">
        <v>290</v>
      </c>
      <c r="B746" t="s">
        <v>35</v>
      </c>
      <c r="C746" t="s">
        <v>9</v>
      </c>
      <c r="D746" t="s">
        <v>13</v>
      </c>
      <c r="F746" s="5">
        <v>44200</v>
      </c>
      <c r="G746" s="5">
        <v>44238</v>
      </c>
      <c r="H746" s="2">
        <v>1</v>
      </c>
      <c r="I746" s="6"/>
      <c r="J746" s="6"/>
      <c r="K746" s="7">
        <v>0.75</v>
      </c>
      <c r="L746" s="7">
        <v>408.56790000000001</v>
      </c>
      <c r="M746" t="s">
        <v>17</v>
      </c>
      <c r="N746" s="16">
        <f>POWER(SQRT(WorkOrders27[[#This Row],[WorkDate]]-WorkOrders27[[#This Row],[ReqDate]]),2)</f>
        <v>37.999999999999993</v>
      </c>
      <c r="O746" s="8">
        <f t="array" ref="O746">INDEX(TechRate,MATCH(H746,TechNum,0))</f>
        <v>80</v>
      </c>
      <c r="P746" s="10">
        <f>WorkOrders27[[#This Row],[Techs]]*(WorkOrders27[[#This Row],[PartsCost]]*WorkOrders27[[#This Row],[LbrHrs]])</f>
        <v>306.42592500000001</v>
      </c>
      <c r="Q746" s="10">
        <f t="shared" si="64"/>
        <v>306.42592500000001</v>
      </c>
      <c r="R746" s="10">
        <f t="shared" si="65"/>
        <v>408.56790000000001</v>
      </c>
      <c r="S746" s="10">
        <f t="shared" si="66"/>
        <v>714.99382500000002</v>
      </c>
      <c r="T746" s="10">
        <f t="shared" si="67"/>
        <v>714.99382500000002</v>
      </c>
      <c r="U746" s="8" t="str">
        <f t="shared" si="68"/>
        <v>Mon</v>
      </c>
      <c r="V746" s="8" t="str">
        <f t="shared" si="68"/>
        <v>Thu</v>
      </c>
    </row>
    <row r="747" spans="1:22" x14ac:dyDescent="0.25">
      <c r="A747" t="s">
        <v>291</v>
      </c>
      <c r="B747" t="s">
        <v>37</v>
      </c>
      <c r="C747" t="s">
        <v>43</v>
      </c>
      <c r="D747" t="s">
        <v>12</v>
      </c>
      <c r="F747" s="5">
        <v>44201</v>
      </c>
      <c r="G747" s="5">
        <v>44210</v>
      </c>
      <c r="H747" s="2">
        <v>1</v>
      </c>
      <c r="I747" s="6"/>
      <c r="J747" s="6"/>
      <c r="K747" s="7">
        <v>0.25</v>
      </c>
      <c r="L747" s="7">
        <v>25.2486</v>
      </c>
      <c r="M747" t="s">
        <v>19</v>
      </c>
      <c r="N747" s="16">
        <f>POWER(SQRT(WorkOrders27[[#This Row],[WorkDate]]-WorkOrders27[[#This Row],[ReqDate]]),2)</f>
        <v>9</v>
      </c>
      <c r="O747" s="8">
        <f t="array" ref="O747">INDEX(TechRate,MATCH(H747,TechNum,0))</f>
        <v>80</v>
      </c>
      <c r="P747" s="10">
        <f>WorkOrders27[[#This Row],[Techs]]*(WorkOrders27[[#This Row],[PartsCost]]*WorkOrders27[[#This Row],[LbrHrs]])</f>
        <v>6.3121499999999999</v>
      </c>
      <c r="Q747" s="10">
        <f t="shared" si="64"/>
        <v>6.3121499999999999</v>
      </c>
      <c r="R747" s="10">
        <f t="shared" si="65"/>
        <v>25.2486</v>
      </c>
      <c r="S747" s="10">
        <f t="shared" si="66"/>
        <v>31.560749999999999</v>
      </c>
      <c r="T747" s="10">
        <f t="shared" si="67"/>
        <v>31.560749999999999</v>
      </c>
      <c r="U747" s="8" t="str">
        <f t="shared" si="68"/>
        <v>Tue</v>
      </c>
      <c r="V747" s="8" t="str">
        <f t="shared" si="68"/>
        <v>Thu</v>
      </c>
    </row>
    <row r="748" spans="1:22" x14ac:dyDescent="0.25">
      <c r="A748" t="s">
        <v>292</v>
      </c>
      <c r="B748" t="s">
        <v>34</v>
      </c>
      <c r="C748" t="s">
        <v>44</v>
      </c>
      <c r="D748" t="s">
        <v>13</v>
      </c>
      <c r="F748" s="5">
        <v>44201</v>
      </c>
      <c r="G748" s="5">
        <v>44221</v>
      </c>
      <c r="H748" s="2">
        <v>1</v>
      </c>
      <c r="I748" s="6"/>
      <c r="J748" s="6"/>
      <c r="K748" s="7">
        <v>1.25</v>
      </c>
      <c r="L748" s="7">
        <v>646</v>
      </c>
      <c r="M748" t="s">
        <v>17</v>
      </c>
      <c r="N748" s="16">
        <f>POWER(SQRT(WorkOrders27[[#This Row],[WorkDate]]-WorkOrders27[[#This Row],[ReqDate]]),2)</f>
        <v>20.000000000000004</v>
      </c>
      <c r="O748" s="8">
        <f t="array" ref="O748">INDEX(TechRate,MATCH(H748,TechNum,0))</f>
        <v>80</v>
      </c>
      <c r="P748" s="10">
        <f>WorkOrders27[[#This Row],[Techs]]*(WorkOrders27[[#This Row],[PartsCost]]*WorkOrders27[[#This Row],[LbrHrs]])</f>
        <v>807.5</v>
      </c>
      <c r="Q748" s="10">
        <f t="shared" si="64"/>
        <v>807.5</v>
      </c>
      <c r="R748" s="10">
        <f t="shared" si="65"/>
        <v>646</v>
      </c>
      <c r="S748" s="10">
        <f t="shared" si="66"/>
        <v>1453.5</v>
      </c>
      <c r="T748" s="10">
        <f t="shared" si="67"/>
        <v>1453.5</v>
      </c>
      <c r="U748" s="8" t="str">
        <f t="shared" si="68"/>
        <v>Tue</v>
      </c>
      <c r="V748" s="8" t="str">
        <f t="shared" si="68"/>
        <v>Mon</v>
      </c>
    </row>
    <row r="749" spans="1:22" x14ac:dyDescent="0.25">
      <c r="A749" t="s">
        <v>293</v>
      </c>
      <c r="B749" t="s">
        <v>34</v>
      </c>
      <c r="C749" t="s">
        <v>6</v>
      </c>
      <c r="D749" t="s">
        <v>11</v>
      </c>
      <c r="F749" s="5">
        <v>44201</v>
      </c>
      <c r="G749" s="5">
        <v>44226</v>
      </c>
      <c r="H749" s="2">
        <v>1</v>
      </c>
      <c r="I749" s="6"/>
      <c r="J749" s="6"/>
      <c r="K749" s="7">
        <v>0.25</v>
      </c>
      <c r="L749" s="7">
        <v>125.4194</v>
      </c>
      <c r="M749" t="s">
        <v>18</v>
      </c>
      <c r="N749" s="16">
        <f>POWER(SQRT(WorkOrders27[[#This Row],[WorkDate]]-WorkOrders27[[#This Row],[ReqDate]]),2)</f>
        <v>25</v>
      </c>
      <c r="O749" s="8">
        <f t="array" ref="O749">INDEX(TechRate,MATCH(H749,TechNum,0))</f>
        <v>80</v>
      </c>
      <c r="P749" s="10">
        <f>WorkOrders27[[#This Row],[Techs]]*(WorkOrders27[[#This Row],[PartsCost]]*WorkOrders27[[#This Row],[LbrHrs]])</f>
        <v>31.354849999999999</v>
      </c>
      <c r="Q749" s="10">
        <f t="shared" si="64"/>
        <v>31.354849999999999</v>
      </c>
      <c r="R749" s="10">
        <f t="shared" si="65"/>
        <v>125.4194</v>
      </c>
      <c r="S749" s="10">
        <f t="shared" si="66"/>
        <v>156.77424999999999</v>
      </c>
      <c r="T749" s="10">
        <f t="shared" si="67"/>
        <v>156.77424999999999</v>
      </c>
      <c r="U749" s="8" t="str">
        <f t="shared" si="68"/>
        <v>Tue</v>
      </c>
      <c r="V749" s="8" t="str">
        <f t="shared" si="68"/>
        <v>Sat</v>
      </c>
    </row>
    <row r="750" spans="1:22" x14ac:dyDescent="0.25">
      <c r="A750" t="s">
        <v>294</v>
      </c>
      <c r="B750" t="s">
        <v>35</v>
      </c>
      <c r="C750" t="s">
        <v>8</v>
      </c>
      <c r="D750" t="s">
        <v>12</v>
      </c>
      <c r="F750" s="5">
        <v>44201</v>
      </c>
      <c r="G750" s="5">
        <v>44229</v>
      </c>
      <c r="H750" s="2">
        <v>2</v>
      </c>
      <c r="I750" s="6"/>
      <c r="J750" s="6"/>
      <c r="K750" s="7">
        <v>0.75</v>
      </c>
      <c r="L750" s="7">
        <v>286.73230000000001</v>
      </c>
      <c r="M750" t="s">
        <v>17</v>
      </c>
      <c r="N750" s="16">
        <f>POWER(SQRT(WorkOrders27[[#This Row],[WorkDate]]-WorkOrders27[[#This Row],[ReqDate]]),2)</f>
        <v>28.000000000000004</v>
      </c>
      <c r="O750" s="8">
        <f t="array" ref="O750">INDEX(TechRate,MATCH(H750,TechNum,0))</f>
        <v>140</v>
      </c>
      <c r="P750" s="10">
        <f>WorkOrders27[[#This Row],[Techs]]*(WorkOrders27[[#This Row],[PartsCost]]*WorkOrders27[[#This Row],[LbrHrs]])</f>
        <v>430.09845000000001</v>
      </c>
      <c r="Q750" s="10">
        <f t="shared" si="64"/>
        <v>430.09845000000001</v>
      </c>
      <c r="R750" s="10">
        <f t="shared" si="65"/>
        <v>286.73230000000001</v>
      </c>
      <c r="S750" s="10">
        <f t="shared" si="66"/>
        <v>716.83075000000008</v>
      </c>
      <c r="T750" s="10">
        <f t="shared" si="67"/>
        <v>716.83075000000008</v>
      </c>
      <c r="U750" s="8" t="str">
        <f t="shared" si="68"/>
        <v>Tue</v>
      </c>
      <c r="V750" s="8" t="str">
        <f t="shared" si="68"/>
        <v>Tue</v>
      </c>
    </row>
    <row r="751" spans="1:22" x14ac:dyDescent="0.25">
      <c r="A751" t="s">
        <v>295</v>
      </c>
      <c r="B751" t="s">
        <v>37</v>
      </c>
      <c r="C751" t="s">
        <v>6</v>
      </c>
      <c r="D751" t="s">
        <v>1</v>
      </c>
      <c r="F751" s="5">
        <v>44201</v>
      </c>
      <c r="G751" s="5">
        <v>44229</v>
      </c>
      <c r="H751" s="2">
        <v>1</v>
      </c>
      <c r="I751" s="6"/>
      <c r="J751" s="6"/>
      <c r="K751" s="7">
        <v>2.5</v>
      </c>
      <c r="L751" s="7">
        <v>258.02780000000001</v>
      </c>
      <c r="M751" t="s">
        <v>18</v>
      </c>
      <c r="N751" s="16">
        <f>POWER(SQRT(WorkOrders27[[#This Row],[WorkDate]]-WorkOrders27[[#This Row],[ReqDate]]),2)</f>
        <v>28.000000000000004</v>
      </c>
      <c r="O751" s="8">
        <f t="array" ref="O751">INDEX(TechRate,MATCH(H751,TechNum,0))</f>
        <v>80</v>
      </c>
      <c r="P751" s="10">
        <f>WorkOrders27[[#This Row],[Techs]]*(WorkOrders27[[#This Row],[PartsCost]]*WorkOrders27[[#This Row],[LbrHrs]])</f>
        <v>645.06950000000006</v>
      </c>
      <c r="Q751" s="10">
        <f t="shared" si="64"/>
        <v>645.06950000000006</v>
      </c>
      <c r="R751" s="10">
        <f t="shared" si="65"/>
        <v>258.02780000000001</v>
      </c>
      <c r="S751" s="10">
        <f t="shared" si="66"/>
        <v>903.09730000000013</v>
      </c>
      <c r="T751" s="10">
        <f t="shared" si="67"/>
        <v>903.09730000000013</v>
      </c>
      <c r="U751" s="8" t="str">
        <f t="shared" si="68"/>
        <v>Tue</v>
      </c>
      <c r="V751" s="8" t="str">
        <f t="shared" si="68"/>
        <v>Tue</v>
      </c>
    </row>
    <row r="752" spans="1:22" x14ac:dyDescent="0.25">
      <c r="A752" t="s">
        <v>296</v>
      </c>
      <c r="B752" t="s">
        <v>37</v>
      </c>
      <c r="C752" t="s">
        <v>43</v>
      </c>
      <c r="D752" t="s">
        <v>12</v>
      </c>
      <c r="F752" s="5">
        <v>44201</v>
      </c>
      <c r="G752" s="5">
        <v>44320</v>
      </c>
      <c r="H752" s="2">
        <v>1</v>
      </c>
      <c r="I752" s="6"/>
      <c r="J752" s="6"/>
      <c r="K752" s="7">
        <v>0.25</v>
      </c>
      <c r="L752" s="7">
        <v>14.3</v>
      </c>
      <c r="M752" t="s">
        <v>19</v>
      </c>
      <c r="N752" s="16">
        <f>POWER(SQRT(WorkOrders27[[#This Row],[WorkDate]]-WorkOrders27[[#This Row],[ReqDate]]),2)</f>
        <v>118.99999999999999</v>
      </c>
      <c r="O752" s="8">
        <f t="array" ref="O752">INDEX(TechRate,MATCH(H752,TechNum,0))</f>
        <v>80</v>
      </c>
      <c r="P752" s="10">
        <f>WorkOrders27[[#This Row],[Techs]]*(WorkOrders27[[#This Row],[PartsCost]]*WorkOrders27[[#This Row],[LbrHrs]])</f>
        <v>3.5750000000000002</v>
      </c>
      <c r="Q752" s="10">
        <f t="shared" si="64"/>
        <v>3.5750000000000002</v>
      </c>
      <c r="R752" s="10">
        <f t="shared" si="65"/>
        <v>14.3</v>
      </c>
      <c r="S752" s="10">
        <f t="shared" si="66"/>
        <v>17.875</v>
      </c>
      <c r="T752" s="10">
        <f t="shared" si="67"/>
        <v>17.875</v>
      </c>
      <c r="U752" s="8" t="str">
        <f t="shared" si="68"/>
        <v>Tue</v>
      </c>
      <c r="V752" s="8" t="str">
        <f t="shared" si="68"/>
        <v>Tue</v>
      </c>
    </row>
    <row r="753" spans="1:22" x14ac:dyDescent="0.25">
      <c r="A753" t="s">
        <v>297</v>
      </c>
      <c r="B753" t="s">
        <v>37</v>
      </c>
      <c r="C753" t="s">
        <v>43</v>
      </c>
      <c r="D753" t="s">
        <v>12</v>
      </c>
      <c r="F753" s="5">
        <v>44202</v>
      </c>
      <c r="G753" s="5">
        <v>44214</v>
      </c>
      <c r="H753" s="2">
        <v>1</v>
      </c>
      <c r="I753" s="6"/>
      <c r="J753" s="6"/>
      <c r="K753" s="7">
        <v>0.25</v>
      </c>
      <c r="L753" s="7">
        <v>44.85</v>
      </c>
      <c r="M753" t="s">
        <v>19</v>
      </c>
      <c r="N753" s="16">
        <f>POWER(SQRT(WorkOrders27[[#This Row],[WorkDate]]-WorkOrders27[[#This Row],[ReqDate]]),2)</f>
        <v>11.999999999999998</v>
      </c>
      <c r="O753" s="8">
        <f t="array" ref="O753">INDEX(TechRate,MATCH(H753,TechNum,0))</f>
        <v>80</v>
      </c>
      <c r="P753" s="10">
        <f>WorkOrders27[[#This Row],[Techs]]*(WorkOrders27[[#This Row],[PartsCost]]*WorkOrders27[[#This Row],[LbrHrs]])</f>
        <v>11.2125</v>
      </c>
      <c r="Q753" s="10">
        <f t="shared" si="64"/>
        <v>11.2125</v>
      </c>
      <c r="R753" s="10">
        <f t="shared" si="65"/>
        <v>44.85</v>
      </c>
      <c r="S753" s="10">
        <f t="shared" si="66"/>
        <v>56.0625</v>
      </c>
      <c r="T753" s="10">
        <f t="shared" si="67"/>
        <v>56.0625</v>
      </c>
      <c r="U753" s="8" t="str">
        <f t="shared" si="68"/>
        <v>Wed</v>
      </c>
      <c r="V753" s="8" t="str">
        <f t="shared" si="68"/>
        <v>Mon</v>
      </c>
    </row>
    <row r="754" spans="1:22" x14ac:dyDescent="0.25">
      <c r="A754" t="s">
        <v>298</v>
      </c>
      <c r="B754" t="s">
        <v>35</v>
      </c>
      <c r="C754" t="s">
        <v>6</v>
      </c>
      <c r="D754" t="s">
        <v>12</v>
      </c>
      <c r="F754" s="5">
        <v>44202</v>
      </c>
      <c r="G754" s="5">
        <v>44217</v>
      </c>
      <c r="H754" s="2">
        <v>2</v>
      </c>
      <c r="I754" s="6"/>
      <c r="J754" s="6"/>
      <c r="K754" s="7">
        <v>0.5</v>
      </c>
      <c r="L754" s="7">
        <v>74.607699999999994</v>
      </c>
      <c r="M754" t="s">
        <v>18</v>
      </c>
      <c r="N754" s="16">
        <f>POWER(SQRT(WorkOrders27[[#This Row],[WorkDate]]-WorkOrders27[[#This Row],[ReqDate]]),2)</f>
        <v>15.000000000000002</v>
      </c>
      <c r="O754" s="8">
        <f t="array" ref="O754">INDEX(TechRate,MATCH(H754,TechNum,0))</f>
        <v>140</v>
      </c>
      <c r="P754" s="10">
        <f>WorkOrders27[[#This Row],[Techs]]*(WorkOrders27[[#This Row],[PartsCost]]*WorkOrders27[[#This Row],[LbrHrs]])</f>
        <v>74.607699999999994</v>
      </c>
      <c r="Q754" s="10">
        <f t="shared" si="64"/>
        <v>74.607699999999994</v>
      </c>
      <c r="R754" s="10">
        <f t="shared" si="65"/>
        <v>74.607699999999994</v>
      </c>
      <c r="S754" s="10">
        <f t="shared" si="66"/>
        <v>149.21539999999999</v>
      </c>
      <c r="T754" s="10">
        <f t="shared" si="67"/>
        <v>149.21539999999999</v>
      </c>
      <c r="U754" s="8" t="str">
        <f t="shared" si="68"/>
        <v>Wed</v>
      </c>
      <c r="V754" s="8" t="str">
        <f t="shared" si="68"/>
        <v>Thu</v>
      </c>
    </row>
    <row r="755" spans="1:22" x14ac:dyDescent="0.25">
      <c r="A755" t="s">
        <v>299</v>
      </c>
      <c r="B755" t="s">
        <v>36</v>
      </c>
      <c r="C755" t="s">
        <v>7</v>
      </c>
      <c r="D755" t="s">
        <v>13</v>
      </c>
      <c r="E755" t="s">
        <v>3</v>
      </c>
      <c r="F755" s="5">
        <v>44202</v>
      </c>
      <c r="G755" s="5">
        <v>44230</v>
      </c>
      <c r="H755" s="2">
        <v>2</v>
      </c>
      <c r="I755" s="6"/>
      <c r="J755" s="6"/>
      <c r="K755" s="7">
        <v>0.5</v>
      </c>
      <c r="L755" s="7">
        <v>126.71469999999999</v>
      </c>
      <c r="M755" t="s">
        <v>17</v>
      </c>
      <c r="N755" s="16">
        <f>POWER(SQRT(WorkOrders27[[#This Row],[WorkDate]]-WorkOrders27[[#This Row],[ReqDate]]),2)</f>
        <v>28.000000000000004</v>
      </c>
      <c r="O755" s="8">
        <f t="array" ref="O755">INDEX(TechRate,MATCH(H755,TechNum,0))</f>
        <v>140</v>
      </c>
      <c r="P755" s="10">
        <f>WorkOrders27[[#This Row],[Techs]]*(WorkOrders27[[#This Row],[PartsCost]]*WorkOrders27[[#This Row],[LbrHrs]])</f>
        <v>126.71469999999999</v>
      </c>
      <c r="Q755" s="10">
        <f t="shared" si="64"/>
        <v>126.71469999999999</v>
      </c>
      <c r="R755" s="10">
        <f t="shared" si="65"/>
        <v>126.71469999999999</v>
      </c>
      <c r="S755" s="10">
        <f t="shared" si="66"/>
        <v>253.42939999999999</v>
      </c>
      <c r="T755" s="10">
        <f t="shared" si="67"/>
        <v>253.42939999999999</v>
      </c>
      <c r="U755" s="8" t="str">
        <f t="shared" si="68"/>
        <v>Wed</v>
      </c>
      <c r="V755" s="8" t="str">
        <f t="shared" si="68"/>
        <v>Wed</v>
      </c>
    </row>
    <row r="756" spans="1:22" x14ac:dyDescent="0.25">
      <c r="A756" t="s">
        <v>300</v>
      </c>
      <c r="B756" t="s">
        <v>36</v>
      </c>
      <c r="C756" t="s">
        <v>7</v>
      </c>
      <c r="D756" t="s">
        <v>13</v>
      </c>
      <c r="F756" s="5">
        <v>44202</v>
      </c>
      <c r="G756" s="5">
        <v>44259</v>
      </c>
      <c r="H756" s="2">
        <v>2</v>
      </c>
      <c r="I756" s="6"/>
      <c r="J756" s="6"/>
      <c r="K756" s="7">
        <v>1.25</v>
      </c>
      <c r="L756" s="7">
        <v>256.83999999999997</v>
      </c>
      <c r="M756" t="s">
        <v>17</v>
      </c>
      <c r="N756" s="16">
        <f>POWER(SQRT(WorkOrders27[[#This Row],[WorkDate]]-WorkOrders27[[#This Row],[ReqDate]]),2)</f>
        <v>57</v>
      </c>
      <c r="O756" s="8">
        <f t="array" ref="O756">INDEX(TechRate,MATCH(H756,TechNum,0))</f>
        <v>140</v>
      </c>
      <c r="P756" s="10">
        <f>WorkOrders27[[#This Row],[Techs]]*(WorkOrders27[[#This Row],[PartsCost]]*WorkOrders27[[#This Row],[LbrHrs]])</f>
        <v>642.09999999999991</v>
      </c>
      <c r="Q756" s="10">
        <f t="shared" si="64"/>
        <v>642.09999999999991</v>
      </c>
      <c r="R756" s="10">
        <f t="shared" si="65"/>
        <v>256.83999999999997</v>
      </c>
      <c r="S756" s="10">
        <f t="shared" si="66"/>
        <v>898.93999999999983</v>
      </c>
      <c r="T756" s="10">
        <f t="shared" si="67"/>
        <v>898.93999999999983</v>
      </c>
      <c r="U756" s="8" t="str">
        <f t="shared" si="68"/>
        <v>Wed</v>
      </c>
      <c r="V756" s="8" t="str">
        <f t="shared" si="68"/>
        <v>Thu</v>
      </c>
    </row>
    <row r="757" spans="1:22" x14ac:dyDescent="0.25">
      <c r="A757" t="s">
        <v>301</v>
      </c>
      <c r="B757" t="s">
        <v>39</v>
      </c>
      <c r="C757" t="s">
        <v>44</v>
      </c>
      <c r="D757" t="s">
        <v>11</v>
      </c>
      <c r="F757" s="5">
        <v>44203</v>
      </c>
      <c r="G757" s="5">
        <v>44215</v>
      </c>
      <c r="H757" s="2">
        <v>1</v>
      </c>
      <c r="I757" s="6"/>
      <c r="J757" s="6"/>
      <c r="K757" s="7">
        <v>0.25</v>
      </c>
      <c r="L757" s="7">
        <v>32.6706</v>
      </c>
      <c r="M757" t="s">
        <v>19</v>
      </c>
      <c r="N757" s="16">
        <f>POWER(SQRT(WorkOrders27[[#This Row],[WorkDate]]-WorkOrders27[[#This Row],[ReqDate]]),2)</f>
        <v>11.999999999999998</v>
      </c>
      <c r="O757" s="8">
        <f t="array" ref="O757">INDEX(TechRate,MATCH(H757,TechNum,0))</f>
        <v>80</v>
      </c>
      <c r="P757" s="10">
        <f>WorkOrders27[[#This Row],[Techs]]*(WorkOrders27[[#This Row],[PartsCost]]*WorkOrders27[[#This Row],[LbrHrs]])</f>
        <v>8.1676500000000001</v>
      </c>
      <c r="Q757" s="10">
        <f t="shared" si="64"/>
        <v>8.1676500000000001</v>
      </c>
      <c r="R757" s="10">
        <f t="shared" si="65"/>
        <v>32.6706</v>
      </c>
      <c r="S757" s="10">
        <f t="shared" si="66"/>
        <v>40.838250000000002</v>
      </c>
      <c r="T757" s="10">
        <f t="shared" si="67"/>
        <v>40.838250000000002</v>
      </c>
      <c r="U757" s="8" t="str">
        <f t="shared" si="68"/>
        <v>Thu</v>
      </c>
      <c r="V757" s="8" t="str">
        <f t="shared" si="68"/>
        <v>Tue</v>
      </c>
    </row>
    <row r="758" spans="1:22" x14ac:dyDescent="0.25">
      <c r="A758" t="s">
        <v>302</v>
      </c>
      <c r="B758" t="s">
        <v>35</v>
      </c>
      <c r="C758" t="s">
        <v>44</v>
      </c>
      <c r="D758" t="s">
        <v>12</v>
      </c>
      <c r="E758" t="s">
        <v>3</v>
      </c>
      <c r="F758" s="5">
        <v>44203</v>
      </c>
      <c r="G758" s="5">
        <v>44228</v>
      </c>
      <c r="H758" s="2">
        <v>2</v>
      </c>
      <c r="I758" s="6"/>
      <c r="J758" s="6"/>
      <c r="K758" s="7">
        <v>0.5</v>
      </c>
      <c r="L758" s="7">
        <v>72.350099999999998</v>
      </c>
      <c r="M758" t="s">
        <v>17</v>
      </c>
      <c r="N758" s="16">
        <f>POWER(SQRT(WorkOrders27[[#This Row],[WorkDate]]-WorkOrders27[[#This Row],[ReqDate]]),2)</f>
        <v>25</v>
      </c>
      <c r="O758" s="8">
        <f t="array" ref="O758">INDEX(TechRate,MATCH(H758,TechNum,0))</f>
        <v>140</v>
      </c>
      <c r="P758" s="10">
        <f>WorkOrders27[[#This Row],[Techs]]*(WorkOrders27[[#This Row],[PartsCost]]*WorkOrders27[[#This Row],[LbrHrs]])</f>
        <v>72.350099999999998</v>
      </c>
      <c r="Q758" s="10">
        <f t="shared" si="64"/>
        <v>72.350099999999998</v>
      </c>
      <c r="R758" s="10">
        <f t="shared" si="65"/>
        <v>72.350099999999998</v>
      </c>
      <c r="S758" s="10">
        <f t="shared" si="66"/>
        <v>144.7002</v>
      </c>
      <c r="T758" s="10">
        <f t="shared" si="67"/>
        <v>144.7002</v>
      </c>
      <c r="U758" s="8" t="str">
        <f t="shared" si="68"/>
        <v>Thu</v>
      </c>
      <c r="V758" s="8" t="str">
        <f t="shared" si="68"/>
        <v>Mon</v>
      </c>
    </row>
    <row r="759" spans="1:22" x14ac:dyDescent="0.25">
      <c r="A759" t="s">
        <v>303</v>
      </c>
      <c r="B759" t="s">
        <v>36</v>
      </c>
      <c r="C759" t="s">
        <v>7</v>
      </c>
      <c r="D759" t="s">
        <v>13</v>
      </c>
      <c r="F759" s="5">
        <v>44203</v>
      </c>
      <c r="G759" s="5">
        <v>44232</v>
      </c>
      <c r="H759" s="2">
        <v>2</v>
      </c>
      <c r="I759" s="6"/>
      <c r="J759" s="6"/>
      <c r="K759" s="7">
        <v>0.5</v>
      </c>
      <c r="L759" s="7">
        <v>178.49889999999999</v>
      </c>
      <c r="M759" t="s">
        <v>18</v>
      </c>
      <c r="N759" s="16">
        <f>POWER(SQRT(WorkOrders27[[#This Row],[WorkDate]]-WorkOrders27[[#This Row],[ReqDate]]),2)</f>
        <v>28.999999999999996</v>
      </c>
      <c r="O759" s="8">
        <f t="array" ref="O759">INDEX(TechRate,MATCH(H759,TechNum,0))</f>
        <v>140</v>
      </c>
      <c r="P759" s="10">
        <f>WorkOrders27[[#This Row],[Techs]]*(WorkOrders27[[#This Row],[PartsCost]]*WorkOrders27[[#This Row],[LbrHrs]])</f>
        <v>178.49889999999999</v>
      </c>
      <c r="Q759" s="10">
        <f t="shared" ref="Q759:Q822" si="69">IF(I759="Yes",0,P759)</f>
        <v>178.49889999999999</v>
      </c>
      <c r="R759" s="10">
        <f t="shared" ref="R759:R822" si="70">IF(J759="Yes",0,L759)</f>
        <v>178.49889999999999</v>
      </c>
      <c r="S759" s="10">
        <f t="shared" ref="S759:S822" si="71">SUM(L759,P759)</f>
        <v>356.99779999999998</v>
      </c>
      <c r="T759" s="10">
        <f t="shared" ref="T759:T822" si="72">SUM(Q759,R759)</f>
        <v>356.99779999999998</v>
      </c>
      <c r="U759" s="8" t="str">
        <f t="shared" si="68"/>
        <v>Thu</v>
      </c>
      <c r="V759" s="8" t="str">
        <f t="shared" si="68"/>
        <v>Fri</v>
      </c>
    </row>
    <row r="760" spans="1:22" x14ac:dyDescent="0.25">
      <c r="A760" t="s">
        <v>304</v>
      </c>
      <c r="B760" t="s">
        <v>35</v>
      </c>
      <c r="C760" t="s">
        <v>9</v>
      </c>
      <c r="D760" t="s">
        <v>13</v>
      </c>
      <c r="F760" s="5">
        <v>44203</v>
      </c>
      <c r="G760" s="5">
        <v>44249</v>
      </c>
      <c r="H760" s="2">
        <v>1</v>
      </c>
      <c r="I760" s="6"/>
      <c r="J760" s="6"/>
      <c r="K760" s="7">
        <v>0.5</v>
      </c>
      <c r="L760" s="7">
        <v>18.254899999999999</v>
      </c>
      <c r="M760" t="s">
        <v>18</v>
      </c>
      <c r="N760" s="16">
        <f>POWER(SQRT(WorkOrders27[[#This Row],[WorkDate]]-WorkOrders27[[#This Row],[ReqDate]]),2)</f>
        <v>46</v>
      </c>
      <c r="O760" s="8">
        <f t="array" ref="O760">INDEX(TechRate,MATCH(H760,TechNum,0))</f>
        <v>80</v>
      </c>
      <c r="P760" s="10">
        <f>WorkOrders27[[#This Row],[Techs]]*(WorkOrders27[[#This Row],[PartsCost]]*WorkOrders27[[#This Row],[LbrHrs]])</f>
        <v>9.1274499999999996</v>
      </c>
      <c r="Q760" s="10">
        <f t="shared" si="69"/>
        <v>9.1274499999999996</v>
      </c>
      <c r="R760" s="10">
        <f t="shared" si="70"/>
        <v>18.254899999999999</v>
      </c>
      <c r="S760" s="10">
        <f t="shared" si="71"/>
        <v>27.382349999999999</v>
      </c>
      <c r="T760" s="10">
        <f t="shared" si="72"/>
        <v>27.382349999999999</v>
      </c>
      <c r="U760" s="8" t="str">
        <f t="shared" si="68"/>
        <v>Thu</v>
      </c>
      <c r="V760" s="8" t="str">
        <f t="shared" si="68"/>
        <v>Mon</v>
      </c>
    </row>
    <row r="761" spans="1:22" x14ac:dyDescent="0.25">
      <c r="A761" t="s">
        <v>305</v>
      </c>
      <c r="B761" t="s">
        <v>36</v>
      </c>
      <c r="C761" t="s">
        <v>7</v>
      </c>
      <c r="D761" t="s">
        <v>12</v>
      </c>
      <c r="F761" s="5">
        <v>44203</v>
      </c>
      <c r="G761" s="5">
        <v>44249</v>
      </c>
      <c r="H761" s="2">
        <v>2</v>
      </c>
      <c r="I761" s="6"/>
      <c r="J761" s="6"/>
      <c r="K761" s="7">
        <v>1.75</v>
      </c>
      <c r="L761" s="7">
        <v>151.8099</v>
      </c>
      <c r="M761" t="s">
        <v>18</v>
      </c>
      <c r="N761" s="16">
        <f>POWER(SQRT(WorkOrders27[[#This Row],[WorkDate]]-WorkOrders27[[#This Row],[ReqDate]]),2)</f>
        <v>46</v>
      </c>
      <c r="O761" s="8">
        <f t="array" ref="O761">INDEX(TechRate,MATCH(H761,TechNum,0))</f>
        <v>140</v>
      </c>
      <c r="P761" s="10">
        <f>WorkOrders27[[#This Row],[Techs]]*(WorkOrders27[[#This Row],[PartsCost]]*WorkOrders27[[#This Row],[LbrHrs]])</f>
        <v>531.33465000000001</v>
      </c>
      <c r="Q761" s="10">
        <f t="shared" si="69"/>
        <v>531.33465000000001</v>
      </c>
      <c r="R761" s="10">
        <f t="shared" si="70"/>
        <v>151.8099</v>
      </c>
      <c r="S761" s="10">
        <f t="shared" si="71"/>
        <v>683.14454999999998</v>
      </c>
      <c r="T761" s="10">
        <f t="shared" si="72"/>
        <v>683.14454999999998</v>
      </c>
      <c r="U761" s="8" t="str">
        <f t="shared" si="68"/>
        <v>Thu</v>
      </c>
      <c r="V761" s="8" t="str">
        <f t="shared" si="68"/>
        <v>Mon</v>
      </c>
    </row>
    <row r="762" spans="1:22" x14ac:dyDescent="0.25">
      <c r="A762" t="s">
        <v>306</v>
      </c>
      <c r="B762" t="s">
        <v>39</v>
      </c>
      <c r="C762" t="s">
        <v>9</v>
      </c>
      <c r="D762" t="s">
        <v>11</v>
      </c>
      <c r="F762" s="5">
        <v>44204</v>
      </c>
      <c r="G762" s="5">
        <v>44212</v>
      </c>
      <c r="H762" s="2">
        <v>1</v>
      </c>
      <c r="I762" s="6"/>
      <c r="J762" s="6"/>
      <c r="K762" s="7">
        <v>0.25</v>
      </c>
      <c r="L762" s="7">
        <v>85.085899999999995</v>
      </c>
      <c r="M762" t="s">
        <v>18</v>
      </c>
      <c r="N762" s="16">
        <f>POWER(SQRT(WorkOrders27[[#This Row],[WorkDate]]-WorkOrders27[[#This Row],[ReqDate]]),2)</f>
        <v>8.0000000000000018</v>
      </c>
      <c r="O762" s="8">
        <f t="array" ref="O762">INDEX(TechRate,MATCH(H762,TechNum,0))</f>
        <v>80</v>
      </c>
      <c r="P762" s="10">
        <f>WorkOrders27[[#This Row],[Techs]]*(WorkOrders27[[#This Row],[PartsCost]]*WorkOrders27[[#This Row],[LbrHrs]])</f>
        <v>21.271474999999999</v>
      </c>
      <c r="Q762" s="10">
        <f t="shared" si="69"/>
        <v>21.271474999999999</v>
      </c>
      <c r="R762" s="10">
        <f t="shared" si="70"/>
        <v>85.085899999999995</v>
      </c>
      <c r="S762" s="10">
        <f t="shared" si="71"/>
        <v>106.35737499999999</v>
      </c>
      <c r="T762" s="10">
        <f t="shared" si="72"/>
        <v>106.35737499999999</v>
      </c>
      <c r="U762" s="8" t="str">
        <f t="shared" si="68"/>
        <v>Fri</v>
      </c>
      <c r="V762" s="8" t="str">
        <f t="shared" si="68"/>
        <v>Sat</v>
      </c>
    </row>
    <row r="763" spans="1:22" x14ac:dyDescent="0.25">
      <c r="A763" t="s">
        <v>307</v>
      </c>
      <c r="B763" t="s">
        <v>37</v>
      </c>
      <c r="C763" t="s">
        <v>43</v>
      </c>
      <c r="D763" t="s">
        <v>12</v>
      </c>
      <c r="F763" s="5">
        <v>44204</v>
      </c>
      <c r="G763" s="5">
        <v>44228</v>
      </c>
      <c r="H763" s="2">
        <v>1</v>
      </c>
      <c r="I763" s="6"/>
      <c r="J763" s="6"/>
      <c r="K763" s="7">
        <v>0.25</v>
      </c>
      <c r="L763" s="7">
        <v>67.067700000000002</v>
      </c>
      <c r="M763" t="s">
        <v>17</v>
      </c>
      <c r="N763" s="16">
        <f>POWER(SQRT(WorkOrders27[[#This Row],[WorkDate]]-WorkOrders27[[#This Row],[ReqDate]]),2)</f>
        <v>23.999999999999996</v>
      </c>
      <c r="O763" s="8">
        <f t="array" ref="O763">INDEX(TechRate,MATCH(H763,TechNum,0))</f>
        <v>80</v>
      </c>
      <c r="P763" s="10">
        <f>WorkOrders27[[#This Row],[Techs]]*(WorkOrders27[[#This Row],[PartsCost]]*WorkOrders27[[#This Row],[LbrHrs]])</f>
        <v>16.766925000000001</v>
      </c>
      <c r="Q763" s="10">
        <f t="shared" si="69"/>
        <v>16.766925000000001</v>
      </c>
      <c r="R763" s="10">
        <f t="shared" si="70"/>
        <v>67.067700000000002</v>
      </c>
      <c r="S763" s="10">
        <f t="shared" si="71"/>
        <v>83.834625000000003</v>
      </c>
      <c r="T763" s="10">
        <f t="shared" si="72"/>
        <v>83.834625000000003</v>
      </c>
      <c r="U763" s="8" t="str">
        <f t="shared" si="68"/>
        <v>Fri</v>
      </c>
      <c r="V763" s="8" t="str">
        <f t="shared" si="68"/>
        <v>Mon</v>
      </c>
    </row>
    <row r="764" spans="1:22" x14ac:dyDescent="0.25">
      <c r="A764" t="s">
        <v>308</v>
      </c>
      <c r="B764" t="s">
        <v>37</v>
      </c>
      <c r="C764" t="s">
        <v>43</v>
      </c>
      <c r="D764" t="s">
        <v>11</v>
      </c>
      <c r="F764" s="5">
        <v>44207</v>
      </c>
      <c r="G764" s="5">
        <v>44217</v>
      </c>
      <c r="H764" s="2">
        <v>1</v>
      </c>
      <c r="I764" s="6"/>
      <c r="J764" s="6"/>
      <c r="K764" s="7">
        <v>0.25</v>
      </c>
      <c r="L764" s="7">
        <v>162.20959999999999</v>
      </c>
      <c r="M764" t="s">
        <v>17</v>
      </c>
      <c r="N764" s="16">
        <f>POWER(SQRT(WorkOrders27[[#This Row],[WorkDate]]-WorkOrders27[[#This Row],[ReqDate]]),2)</f>
        <v>10.000000000000002</v>
      </c>
      <c r="O764" s="8">
        <f t="array" ref="O764">INDEX(TechRate,MATCH(H764,TechNum,0))</f>
        <v>80</v>
      </c>
      <c r="P764" s="10">
        <f>WorkOrders27[[#This Row],[Techs]]*(WorkOrders27[[#This Row],[PartsCost]]*WorkOrders27[[#This Row],[LbrHrs]])</f>
        <v>40.552399999999999</v>
      </c>
      <c r="Q764" s="10">
        <f t="shared" si="69"/>
        <v>40.552399999999999</v>
      </c>
      <c r="R764" s="10">
        <f t="shared" si="70"/>
        <v>162.20959999999999</v>
      </c>
      <c r="S764" s="10">
        <f t="shared" si="71"/>
        <v>202.762</v>
      </c>
      <c r="T764" s="10">
        <f t="shared" si="72"/>
        <v>202.762</v>
      </c>
      <c r="U764" s="8" t="str">
        <f t="shared" si="68"/>
        <v>Mon</v>
      </c>
      <c r="V764" s="8" t="str">
        <f t="shared" si="68"/>
        <v>Thu</v>
      </c>
    </row>
    <row r="765" spans="1:22" x14ac:dyDescent="0.25">
      <c r="A765" t="s">
        <v>309</v>
      </c>
      <c r="B765" t="s">
        <v>39</v>
      </c>
      <c r="C765" t="s">
        <v>9</v>
      </c>
      <c r="D765" t="s">
        <v>1</v>
      </c>
      <c r="F765" s="5">
        <v>44207</v>
      </c>
      <c r="G765" s="5">
        <v>44224</v>
      </c>
      <c r="H765" s="2">
        <v>1</v>
      </c>
      <c r="I765" s="6"/>
      <c r="J765" s="6"/>
      <c r="K765" s="7">
        <v>1.25</v>
      </c>
      <c r="L765" s="7">
        <v>53.688699999999997</v>
      </c>
      <c r="M765" t="s">
        <v>17</v>
      </c>
      <c r="N765" s="16">
        <f>POWER(SQRT(WorkOrders27[[#This Row],[WorkDate]]-WorkOrders27[[#This Row],[ReqDate]]),2)</f>
        <v>17</v>
      </c>
      <c r="O765" s="8">
        <f t="array" ref="O765">INDEX(TechRate,MATCH(H765,TechNum,0))</f>
        <v>80</v>
      </c>
      <c r="P765" s="10">
        <f>WorkOrders27[[#This Row],[Techs]]*(WorkOrders27[[#This Row],[PartsCost]]*WorkOrders27[[#This Row],[LbrHrs]])</f>
        <v>67.110874999999993</v>
      </c>
      <c r="Q765" s="10">
        <f t="shared" si="69"/>
        <v>67.110874999999993</v>
      </c>
      <c r="R765" s="10">
        <f t="shared" si="70"/>
        <v>53.688699999999997</v>
      </c>
      <c r="S765" s="10">
        <f t="shared" si="71"/>
        <v>120.79957499999999</v>
      </c>
      <c r="T765" s="10">
        <f t="shared" si="72"/>
        <v>120.79957499999999</v>
      </c>
      <c r="U765" s="8" t="str">
        <f t="shared" si="68"/>
        <v>Mon</v>
      </c>
      <c r="V765" s="8" t="str">
        <f t="shared" si="68"/>
        <v>Thu</v>
      </c>
    </row>
    <row r="766" spans="1:22" x14ac:dyDescent="0.25">
      <c r="A766" t="s">
        <v>310</v>
      </c>
      <c r="B766" t="s">
        <v>39</v>
      </c>
      <c r="C766" t="s">
        <v>6</v>
      </c>
      <c r="D766" t="s">
        <v>12</v>
      </c>
      <c r="F766" s="5">
        <v>44207</v>
      </c>
      <c r="G766" s="5">
        <v>44228</v>
      </c>
      <c r="H766" s="2">
        <v>2</v>
      </c>
      <c r="I766" s="6"/>
      <c r="J766" s="6"/>
      <c r="K766" s="7">
        <v>1</v>
      </c>
      <c r="L766" s="7">
        <v>211.8477</v>
      </c>
      <c r="M766" t="s">
        <v>18</v>
      </c>
      <c r="N766" s="16">
        <f>POWER(SQRT(WorkOrders27[[#This Row],[WorkDate]]-WorkOrders27[[#This Row],[ReqDate]]),2)</f>
        <v>21</v>
      </c>
      <c r="O766" s="8">
        <f t="array" ref="O766">INDEX(TechRate,MATCH(H766,TechNum,0))</f>
        <v>140</v>
      </c>
      <c r="P766" s="10">
        <f>WorkOrders27[[#This Row],[Techs]]*(WorkOrders27[[#This Row],[PartsCost]]*WorkOrders27[[#This Row],[LbrHrs]])</f>
        <v>423.69540000000001</v>
      </c>
      <c r="Q766" s="10">
        <f t="shared" si="69"/>
        <v>423.69540000000001</v>
      </c>
      <c r="R766" s="10">
        <f t="shared" si="70"/>
        <v>211.8477</v>
      </c>
      <c r="S766" s="10">
        <f t="shared" si="71"/>
        <v>635.54309999999998</v>
      </c>
      <c r="T766" s="10">
        <f t="shared" si="72"/>
        <v>635.54309999999998</v>
      </c>
      <c r="U766" s="8" t="str">
        <f t="shared" si="68"/>
        <v>Mon</v>
      </c>
      <c r="V766" s="8" t="str">
        <f t="shared" si="68"/>
        <v>Mon</v>
      </c>
    </row>
    <row r="767" spans="1:22" x14ac:dyDescent="0.25">
      <c r="A767" t="s">
        <v>311</v>
      </c>
      <c r="B767" t="s">
        <v>37</v>
      </c>
      <c r="C767" t="s">
        <v>43</v>
      </c>
      <c r="D767" t="s">
        <v>12</v>
      </c>
      <c r="F767" s="5">
        <v>44207</v>
      </c>
      <c r="G767" s="5">
        <v>44228</v>
      </c>
      <c r="H767" s="2">
        <v>1</v>
      </c>
      <c r="I767" s="6"/>
      <c r="J767" s="6"/>
      <c r="K767" s="7">
        <v>0.25</v>
      </c>
      <c r="L767" s="7">
        <v>150.31899999999999</v>
      </c>
      <c r="M767" t="s">
        <v>19</v>
      </c>
      <c r="N767" s="16">
        <f>POWER(SQRT(WorkOrders27[[#This Row],[WorkDate]]-WorkOrders27[[#This Row],[ReqDate]]),2)</f>
        <v>21</v>
      </c>
      <c r="O767" s="8">
        <f t="array" ref="O767">INDEX(TechRate,MATCH(H767,TechNum,0))</f>
        <v>80</v>
      </c>
      <c r="P767" s="10">
        <f>WorkOrders27[[#This Row],[Techs]]*(WorkOrders27[[#This Row],[PartsCost]]*WorkOrders27[[#This Row],[LbrHrs]])</f>
        <v>37.579749999999997</v>
      </c>
      <c r="Q767" s="10">
        <f t="shared" si="69"/>
        <v>37.579749999999997</v>
      </c>
      <c r="R767" s="10">
        <f t="shared" si="70"/>
        <v>150.31899999999999</v>
      </c>
      <c r="S767" s="10">
        <f t="shared" si="71"/>
        <v>187.89874999999998</v>
      </c>
      <c r="T767" s="10">
        <f t="shared" si="72"/>
        <v>187.89874999999998</v>
      </c>
      <c r="U767" s="8" t="str">
        <f t="shared" si="68"/>
        <v>Mon</v>
      </c>
      <c r="V767" s="8" t="str">
        <f t="shared" si="68"/>
        <v>Mon</v>
      </c>
    </row>
    <row r="768" spans="1:22" x14ac:dyDescent="0.25">
      <c r="A768" t="s">
        <v>312</v>
      </c>
      <c r="B768" t="s">
        <v>40</v>
      </c>
      <c r="C768" t="s">
        <v>7</v>
      </c>
      <c r="D768" t="s">
        <v>12</v>
      </c>
      <c r="F768" s="5">
        <v>44207</v>
      </c>
      <c r="G768" s="5">
        <v>44250</v>
      </c>
      <c r="H768" s="2">
        <v>2</v>
      </c>
      <c r="I768" s="6"/>
      <c r="J768" s="6"/>
      <c r="K768" s="7">
        <v>0.25</v>
      </c>
      <c r="L768" s="7">
        <v>46.864899999999999</v>
      </c>
      <c r="M768" t="s">
        <v>17</v>
      </c>
      <c r="N768" s="16">
        <f>POWER(SQRT(WorkOrders27[[#This Row],[WorkDate]]-WorkOrders27[[#This Row],[ReqDate]]),2)</f>
        <v>42.999999999999993</v>
      </c>
      <c r="O768" s="8">
        <f t="array" ref="O768">INDEX(TechRate,MATCH(H768,TechNum,0))</f>
        <v>140</v>
      </c>
      <c r="P768" s="10">
        <f>WorkOrders27[[#This Row],[Techs]]*(WorkOrders27[[#This Row],[PartsCost]]*WorkOrders27[[#This Row],[LbrHrs]])</f>
        <v>23.432449999999999</v>
      </c>
      <c r="Q768" s="10">
        <f t="shared" si="69"/>
        <v>23.432449999999999</v>
      </c>
      <c r="R768" s="10">
        <f t="shared" si="70"/>
        <v>46.864899999999999</v>
      </c>
      <c r="S768" s="10">
        <f t="shared" si="71"/>
        <v>70.297349999999994</v>
      </c>
      <c r="T768" s="10">
        <f t="shared" si="72"/>
        <v>70.297349999999994</v>
      </c>
      <c r="U768" s="8" t="str">
        <f t="shared" si="68"/>
        <v>Mon</v>
      </c>
      <c r="V768" s="8" t="str">
        <f t="shared" si="68"/>
        <v>Tue</v>
      </c>
    </row>
    <row r="769" spans="1:22" x14ac:dyDescent="0.25">
      <c r="A769" t="s">
        <v>313</v>
      </c>
      <c r="B769" t="s">
        <v>37</v>
      </c>
      <c r="C769" t="s">
        <v>43</v>
      </c>
      <c r="D769" t="s">
        <v>12</v>
      </c>
      <c r="F769" s="5">
        <v>44208</v>
      </c>
      <c r="G769" s="5">
        <v>44217</v>
      </c>
      <c r="H769" s="2">
        <v>1</v>
      </c>
      <c r="I769" s="6"/>
      <c r="J769" s="6"/>
      <c r="K769" s="7">
        <v>0.25</v>
      </c>
      <c r="L769" s="7">
        <v>19.5</v>
      </c>
      <c r="M769" t="s">
        <v>19</v>
      </c>
      <c r="N769" s="16">
        <f>POWER(SQRT(WorkOrders27[[#This Row],[WorkDate]]-WorkOrders27[[#This Row],[ReqDate]]),2)</f>
        <v>9</v>
      </c>
      <c r="O769" s="8">
        <f t="array" ref="O769">INDEX(TechRate,MATCH(H769,TechNum,0))</f>
        <v>80</v>
      </c>
      <c r="P769" s="10">
        <f>WorkOrders27[[#This Row],[Techs]]*(WorkOrders27[[#This Row],[PartsCost]]*WorkOrders27[[#This Row],[LbrHrs]])</f>
        <v>4.875</v>
      </c>
      <c r="Q769" s="10">
        <f t="shared" si="69"/>
        <v>4.875</v>
      </c>
      <c r="R769" s="10">
        <f t="shared" si="70"/>
        <v>19.5</v>
      </c>
      <c r="S769" s="10">
        <f t="shared" si="71"/>
        <v>24.375</v>
      </c>
      <c r="T769" s="10">
        <f t="shared" si="72"/>
        <v>24.375</v>
      </c>
      <c r="U769" s="8" t="str">
        <f t="shared" si="68"/>
        <v>Tue</v>
      </c>
      <c r="V769" s="8" t="str">
        <f t="shared" si="68"/>
        <v>Thu</v>
      </c>
    </row>
    <row r="770" spans="1:22" x14ac:dyDescent="0.25">
      <c r="A770" t="s">
        <v>314</v>
      </c>
      <c r="B770" t="s">
        <v>34</v>
      </c>
      <c r="C770" t="s">
        <v>44</v>
      </c>
      <c r="D770" t="s">
        <v>13</v>
      </c>
      <c r="F770" s="5">
        <v>44208</v>
      </c>
      <c r="G770" s="5">
        <v>44215</v>
      </c>
      <c r="H770" s="2">
        <v>1</v>
      </c>
      <c r="I770" s="6"/>
      <c r="J770" s="6"/>
      <c r="K770" s="7">
        <v>1.25</v>
      </c>
      <c r="L770" s="7">
        <v>256.71809999999999</v>
      </c>
      <c r="M770" t="s">
        <v>18</v>
      </c>
      <c r="N770" s="16">
        <f>POWER(SQRT(WorkOrders27[[#This Row],[WorkDate]]-WorkOrders27[[#This Row],[ReqDate]]),2)</f>
        <v>7.0000000000000009</v>
      </c>
      <c r="O770" s="8">
        <f t="array" ref="O770">INDEX(TechRate,MATCH(H770,TechNum,0))</f>
        <v>80</v>
      </c>
      <c r="P770" s="10">
        <f>WorkOrders27[[#This Row],[Techs]]*(WorkOrders27[[#This Row],[PartsCost]]*WorkOrders27[[#This Row],[LbrHrs]])</f>
        <v>320.89762500000001</v>
      </c>
      <c r="Q770" s="10">
        <f t="shared" si="69"/>
        <v>320.89762500000001</v>
      </c>
      <c r="R770" s="10">
        <f t="shared" si="70"/>
        <v>256.71809999999999</v>
      </c>
      <c r="S770" s="10">
        <f t="shared" si="71"/>
        <v>577.615725</v>
      </c>
      <c r="T770" s="10">
        <f t="shared" si="72"/>
        <v>577.615725</v>
      </c>
      <c r="U770" s="8" t="str">
        <f t="shared" si="68"/>
        <v>Tue</v>
      </c>
      <c r="V770" s="8" t="str">
        <f t="shared" si="68"/>
        <v>Tue</v>
      </c>
    </row>
    <row r="771" spans="1:22" x14ac:dyDescent="0.25">
      <c r="A771" t="s">
        <v>315</v>
      </c>
      <c r="B771" t="s">
        <v>35</v>
      </c>
      <c r="C771" t="s">
        <v>8</v>
      </c>
      <c r="D771" t="s">
        <v>13</v>
      </c>
      <c r="F771" s="5">
        <v>44209</v>
      </c>
      <c r="G771" s="5">
        <v>44226</v>
      </c>
      <c r="H771" s="2">
        <v>1</v>
      </c>
      <c r="I771" s="6"/>
      <c r="J771" s="6"/>
      <c r="K771" s="7">
        <v>1</v>
      </c>
      <c r="L771" s="7">
        <v>86.293499999999995</v>
      </c>
      <c r="M771" t="s">
        <v>18</v>
      </c>
      <c r="N771" s="16">
        <f>POWER(SQRT(WorkOrders27[[#This Row],[WorkDate]]-WorkOrders27[[#This Row],[ReqDate]]),2)</f>
        <v>17</v>
      </c>
      <c r="O771" s="8">
        <f t="array" ref="O771">INDEX(TechRate,MATCH(H771,TechNum,0))</f>
        <v>80</v>
      </c>
      <c r="P771" s="10">
        <f>WorkOrders27[[#This Row],[Techs]]*(WorkOrders27[[#This Row],[PartsCost]]*WorkOrders27[[#This Row],[LbrHrs]])</f>
        <v>86.293499999999995</v>
      </c>
      <c r="Q771" s="10">
        <f t="shared" si="69"/>
        <v>86.293499999999995</v>
      </c>
      <c r="R771" s="10">
        <f t="shared" si="70"/>
        <v>86.293499999999995</v>
      </c>
      <c r="S771" s="10">
        <f t="shared" si="71"/>
        <v>172.58699999999999</v>
      </c>
      <c r="T771" s="10">
        <f t="shared" si="72"/>
        <v>172.58699999999999</v>
      </c>
      <c r="U771" s="8" t="str">
        <f t="shared" si="68"/>
        <v>Wed</v>
      </c>
      <c r="V771" s="8" t="str">
        <f t="shared" si="68"/>
        <v>Sat</v>
      </c>
    </row>
    <row r="772" spans="1:22" x14ac:dyDescent="0.25">
      <c r="A772" t="s">
        <v>316</v>
      </c>
      <c r="B772" t="s">
        <v>37</v>
      </c>
      <c r="C772" t="s">
        <v>43</v>
      </c>
      <c r="D772" t="s">
        <v>12</v>
      </c>
      <c r="F772" s="5">
        <v>44210</v>
      </c>
      <c r="G772" s="5">
        <v>44215</v>
      </c>
      <c r="H772" s="2">
        <v>1</v>
      </c>
      <c r="I772" s="6"/>
      <c r="J772" s="6"/>
      <c r="K772" s="7">
        <v>0.25</v>
      </c>
      <c r="L772" s="7">
        <v>108.3061</v>
      </c>
      <c r="M772" t="s">
        <v>19</v>
      </c>
      <c r="N772" s="16">
        <f>POWER(SQRT(WorkOrders27[[#This Row],[WorkDate]]-WorkOrders27[[#This Row],[ReqDate]]),2)</f>
        <v>5.0000000000000009</v>
      </c>
      <c r="O772" s="8">
        <f t="array" ref="O772">INDEX(TechRate,MATCH(H772,TechNum,0))</f>
        <v>80</v>
      </c>
      <c r="P772" s="10">
        <f>WorkOrders27[[#This Row],[Techs]]*(WorkOrders27[[#This Row],[PartsCost]]*WorkOrders27[[#This Row],[LbrHrs]])</f>
        <v>27.076525</v>
      </c>
      <c r="Q772" s="10">
        <f t="shared" si="69"/>
        <v>27.076525</v>
      </c>
      <c r="R772" s="10">
        <f t="shared" si="70"/>
        <v>108.3061</v>
      </c>
      <c r="S772" s="10">
        <f t="shared" si="71"/>
        <v>135.38262499999999</v>
      </c>
      <c r="T772" s="10">
        <f t="shared" si="72"/>
        <v>135.38262499999999</v>
      </c>
      <c r="U772" s="8" t="str">
        <f t="shared" si="68"/>
        <v>Thu</v>
      </c>
      <c r="V772" s="8" t="str">
        <f t="shared" si="68"/>
        <v>Tue</v>
      </c>
    </row>
    <row r="773" spans="1:22" x14ac:dyDescent="0.25">
      <c r="A773" t="s">
        <v>317</v>
      </c>
      <c r="B773" t="s">
        <v>39</v>
      </c>
      <c r="C773" t="s">
        <v>44</v>
      </c>
      <c r="D773" t="s">
        <v>12</v>
      </c>
      <c r="F773" s="5">
        <v>44210</v>
      </c>
      <c r="G773" s="5">
        <v>44221</v>
      </c>
      <c r="H773" s="2">
        <v>1</v>
      </c>
      <c r="I773" s="6"/>
      <c r="J773" s="6"/>
      <c r="K773" s="7">
        <v>0.25</v>
      </c>
      <c r="L773" s="7">
        <v>70.8215</v>
      </c>
      <c r="M773" t="s">
        <v>18</v>
      </c>
      <c r="N773" s="16">
        <f>POWER(SQRT(WorkOrders27[[#This Row],[WorkDate]]-WorkOrders27[[#This Row],[ReqDate]]),2)</f>
        <v>11</v>
      </c>
      <c r="O773" s="8">
        <f t="array" ref="O773">INDEX(TechRate,MATCH(H773,TechNum,0))</f>
        <v>80</v>
      </c>
      <c r="P773" s="10">
        <f>WorkOrders27[[#This Row],[Techs]]*(WorkOrders27[[#This Row],[PartsCost]]*WorkOrders27[[#This Row],[LbrHrs]])</f>
        <v>17.705375</v>
      </c>
      <c r="Q773" s="10">
        <f t="shared" si="69"/>
        <v>17.705375</v>
      </c>
      <c r="R773" s="10">
        <f t="shared" si="70"/>
        <v>70.8215</v>
      </c>
      <c r="S773" s="10">
        <f t="shared" si="71"/>
        <v>88.526875000000004</v>
      </c>
      <c r="T773" s="10">
        <f t="shared" si="72"/>
        <v>88.526875000000004</v>
      </c>
      <c r="U773" s="8" t="str">
        <f t="shared" si="68"/>
        <v>Thu</v>
      </c>
      <c r="V773" s="8" t="str">
        <f t="shared" si="68"/>
        <v>Mon</v>
      </c>
    </row>
    <row r="774" spans="1:22" x14ac:dyDescent="0.25">
      <c r="A774" t="s">
        <v>318</v>
      </c>
      <c r="B774" t="s">
        <v>37</v>
      </c>
      <c r="C774" t="s">
        <v>43</v>
      </c>
      <c r="D774" t="s">
        <v>12</v>
      </c>
      <c r="E774" t="s">
        <v>3</v>
      </c>
      <c r="F774" s="5">
        <v>44210</v>
      </c>
      <c r="G774" s="5">
        <v>44228</v>
      </c>
      <c r="H774" s="2">
        <v>1</v>
      </c>
      <c r="I774" s="6"/>
      <c r="J774" s="6"/>
      <c r="K774" s="7">
        <v>0.5</v>
      </c>
      <c r="L774" s="7">
        <v>56.919600000000003</v>
      </c>
      <c r="M774" t="s">
        <v>17</v>
      </c>
      <c r="N774" s="16">
        <f>POWER(SQRT(WorkOrders27[[#This Row],[WorkDate]]-WorkOrders27[[#This Row],[ReqDate]]),2)</f>
        <v>17.999999999999996</v>
      </c>
      <c r="O774" s="8">
        <f t="array" ref="O774">INDEX(TechRate,MATCH(H774,TechNum,0))</f>
        <v>80</v>
      </c>
      <c r="P774" s="10">
        <f>WorkOrders27[[#This Row],[Techs]]*(WorkOrders27[[#This Row],[PartsCost]]*WorkOrders27[[#This Row],[LbrHrs]])</f>
        <v>28.459800000000001</v>
      </c>
      <c r="Q774" s="10">
        <f t="shared" si="69"/>
        <v>28.459800000000001</v>
      </c>
      <c r="R774" s="10">
        <f t="shared" si="70"/>
        <v>56.919600000000003</v>
      </c>
      <c r="S774" s="10">
        <f t="shared" si="71"/>
        <v>85.379400000000004</v>
      </c>
      <c r="T774" s="10">
        <f t="shared" si="72"/>
        <v>85.379400000000004</v>
      </c>
      <c r="U774" s="8" t="str">
        <f t="shared" si="68"/>
        <v>Thu</v>
      </c>
      <c r="V774" s="8" t="str">
        <f t="shared" si="68"/>
        <v>Mon</v>
      </c>
    </row>
    <row r="775" spans="1:22" x14ac:dyDescent="0.25">
      <c r="A775" t="s">
        <v>319</v>
      </c>
      <c r="B775" t="s">
        <v>35</v>
      </c>
      <c r="C775" t="s">
        <v>9</v>
      </c>
      <c r="D775" t="s">
        <v>12</v>
      </c>
      <c r="F775" s="5">
        <v>44210</v>
      </c>
      <c r="G775" s="5">
        <v>44232</v>
      </c>
      <c r="H775" s="2">
        <v>2</v>
      </c>
      <c r="I775" s="6"/>
      <c r="J775" s="6"/>
      <c r="K775" s="7">
        <v>0.5</v>
      </c>
      <c r="L775" s="7">
        <v>74.532399999999996</v>
      </c>
      <c r="M775" t="s">
        <v>18</v>
      </c>
      <c r="N775" s="16">
        <f>POWER(SQRT(WorkOrders27[[#This Row],[WorkDate]]-WorkOrders27[[#This Row],[ReqDate]]),2)</f>
        <v>22</v>
      </c>
      <c r="O775" s="8">
        <f t="array" ref="O775">INDEX(TechRate,MATCH(H775,TechNum,0))</f>
        <v>140</v>
      </c>
      <c r="P775" s="10">
        <f>WorkOrders27[[#This Row],[Techs]]*(WorkOrders27[[#This Row],[PartsCost]]*WorkOrders27[[#This Row],[LbrHrs]])</f>
        <v>74.532399999999996</v>
      </c>
      <c r="Q775" s="10">
        <f t="shared" si="69"/>
        <v>74.532399999999996</v>
      </c>
      <c r="R775" s="10">
        <f t="shared" si="70"/>
        <v>74.532399999999996</v>
      </c>
      <c r="S775" s="10">
        <f t="shared" si="71"/>
        <v>149.06479999999999</v>
      </c>
      <c r="T775" s="10">
        <f t="shared" si="72"/>
        <v>149.06479999999999</v>
      </c>
      <c r="U775" s="8" t="str">
        <f t="shared" ref="U775:V838" si="73">TEXT(F775,"ddd")</f>
        <v>Thu</v>
      </c>
      <c r="V775" s="8" t="str">
        <f t="shared" si="73"/>
        <v>Fri</v>
      </c>
    </row>
    <row r="776" spans="1:22" x14ac:dyDescent="0.25">
      <c r="A776" t="s">
        <v>320</v>
      </c>
      <c r="B776" t="s">
        <v>36</v>
      </c>
      <c r="C776" t="s">
        <v>7</v>
      </c>
      <c r="D776" t="s">
        <v>12</v>
      </c>
      <c r="F776" s="5">
        <v>44210</v>
      </c>
      <c r="G776" s="5">
        <v>44242</v>
      </c>
      <c r="H776" s="2">
        <v>2</v>
      </c>
      <c r="I776" s="6"/>
      <c r="J776" s="6"/>
      <c r="K776" s="7">
        <v>0.5</v>
      </c>
      <c r="L776" s="7">
        <v>137.22</v>
      </c>
      <c r="M776" t="s">
        <v>17</v>
      </c>
      <c r="N776" s="16">
        <f>POWER(SQRT(WorkOrders27[[#This Row],[WorkDate]]-WorkOrders27[[#This Row],[ReqDate]]),2)</f>
        <v>32.000000000000007</v>
      </c>
      <c r="O776" s="8">
        <f t="array" ref="O776">INDEX(TechRate,MATCH(H776,TechNum,0))</f>
        <v>140</v>
      </c>
      <c r="P776" s="10">
        <f>WorkOrders27[[#This Row],[Techs]]*(WorkOrders27[[#This Row],[PartsCost]]*WorkOrders27[[#This Row],[LbrHrs]])</f>
        <v>137.22</v>
      </c>
      <c r="Q776" s="10">
        <f t="shared" si="69"/>
        <v>137.22</v>
      </c>
      <c r="R776" s="10">
        <f t="shared" si="70"/>
        <v>137.22</v>
      </c>
      <c r="S776" s="10">
        <f t="shared" si="71"/>
        <v>274.44</v>
      </c>
      <c r="T776" s="10">
        <f t="shared" si="72"/>
        <v>274.44</v>
      </c>
      <c r="U776" s="8" t="str">
        <f t="shared" si="73"/>
        <v>Thu</v>
      </c>
      <c r="V776" s="8" t="str">
        <f t="shared" si="73"/>
        <v>Mon</v>
      </c>
    </row>
    <row r="777" spans="1:22" x14ac:dyDescent="0.25">
      <c r="A777" t="s">
        <v>321</v>
      </c>
      <c r="B777" t="s">
        <v>35</v>
      </c>
      <c r="C777" t="s">
        <v>44</v>
      </c>
      <c r="D777" t="s">
        <v>12</v>
      </c>
      <c r="E777" t="s">
        <v>3</v>
      </c>
      <c r="F777" s="5">
        <v>44211</v>
      </c>
      <c r="G777" s="5">
        <v>44228</v>
      </c>
      <c r="H777" s="2">
        <v>2</v>
      </c>
      <c r="I777" s="6"/>
      <c r="J777" s="6"/>
      <c r="K777" s="7">
        <v>0.5</v>
      </c>
      <c r="L777" s="7">
        <v>83.462900000000005</v>
      </c>
      <c r="M777" t="s">
        <v>17</v>
      </c>
      <c r="N777" s="16">
        <f>POWER(SQRT(WorkOrders27[[#This Row],[WorkDate]]-WorkOrders27[[#This Row],[ReqDate]]),2)</f>
        <v>17</v>
      </c>
      <c r="O777" s="8">
        <f t="array" ref="O777">INDEX(TechRate,MATCH(H777,TechNum,0))</f>
        <v>140</v>
      </c>
      <c r="P777" s="10">
        <f>WorkOrders27[[#This Row],[Techs]]*(WorkOrders27[[#This Row],[PartsCost]]*WorkOrders27[[#This Row],[LbrHrs]])</f>
        <v>83.462900000000005</v>
      </c>
      <c r="Q777" s="10">
        <f t="shared" si="69"/>
        <v>83.462900000000005</v>
      </c>
      <c r="R777" s="10">
        <f t="shared" si="70"/>
        <v>83.462900000000005</v>
      </c>
      <c r="S777" s="10">
        <f t="shared" si="71"/>
        <v>166.92580000000001</v>
      </c>
      <c r="T777" s="10">
        <f t="shared" si="72"/>
        <v>166.92580000000001</v>
      </c>
      <c r="U777" s="8" t="str">
        <f t="shared" si="73"/>
        <v>Fri</v>
      </c>
      <c r="V777" s="8" t="str">
        <f t="shared" si="73"/>
        <v>Mon</v>
      </c>
    </row>
    <row r="778" spans="1:22" x14ac:dyDescent="0.25">
      <c r="A778" t="s">
        <v>322</v>
      </c>
      <c r="B778" t="s">
        <v>38</v>
      </c>
      <c r="C778" t="s">
        <v>8</v>
      </c>
      <c r="D778" t="s">
        <v>12</v>
      </c>
      <c r="F778" s="5">
        <v>44212</v>
      </c>
      <c r="G778" s="5">
        <v>44230</v>
      </c>
      <c r="H778" s="2">
        <v>1</v>
      </c>
      <c r="I778" s="6"/>
      <c r="J778" s="6"/>
      <c r="K778" s="7">
        <v>1</v>
      </c>
      <c r="L778" s="7">
        <v>9.92</v>
      </c>
      <c r="M778" t="s">
        <v>19</v>
      </c>
      <c r="N778" s="16">
        <f>POWER(SQRT(WorkOrders27[[#This Row],[WorkDate]]-WorkOrders27[[#This Row],[ReqDate]]),2)</f>
        <v>17.999999999999996</v>
      </c>
      <c r="O778" s="8">
        <f t="array" ref="O778">INDEX(TechRate,MATCH(H778,TechNum,0))</f>
        <v>80</v>
      </c>
      <c r="P778" s="10">
        <f>WorkOrders27[[#This Row],[Techs]]*(WorkOrders27[[#This Row],[PartsCost]]*WorkOrders27[[#This Row],[LbrHrs]])</f>
        <v>9.92</v>
      </c>
      <c r="Q778" s="10">
        <f t="shared" si="69"/>
        <v>9.92</v>
      </c>
      <c r="R778" s="10">
        <f t="shared" si="70"/>
        <v>9.92</v>
      </c>
      <c r="S778" s="10">
        <f t="shared" si="71"/>
        <v>19.84</v>
      </c>
      <c r="T778" s="10">
        <f t="shared" si="72"/>
        <v>19.84</v>
      </c>
      <c r="U778" s="8" t="str">
        <f t="shared" si="73"/>
        <v>Sat</v>
      </c>
      <c r="V778" s="8" t="str">
        <f t="shared" si="73"/>
        <v>Wed</v>
      </c>
    </row>
    <row r="779" spans="1:22" x14ac:dyDescent="0.25">
      <c r="A779" t="s">
        <v>323</v>
      </c>
      <c r="B779" t="s">
        <v>39</v>
      </c>
      <c r="C779" t="s">
        <v>44</v>
      </c>
      <c r="D779" t="s">
        <v>12</v>
      </c>
      <c r="F779" s="5">
        <v>44214</v>
      </c>
      <c r="G779" s="5">
        <v>44221</v>
      </c>
      <c r="H779" s="2">
        <v>1</v>
      </c>
      <c r="I779" s="6"/>
      <c r="J779" s="6"/>
      <c r="K779" s="7">
        <v>0.25</v>
      </c>
      <c r="L779" s="7">
        <v>72.350099999999998</v>
      </c>
      <c r="M779" t="s">
        <v>18</v>
      </c>
      <c r="N779" s="16">
        <f>POWER(SQRT(WorkOrders27[[#This Row],[WorkDate]]-WorkOrders27[[#This Row],[ReqDate]]),2)</f>
        <v>7.0000000000000009</v>
      </c>
      <c r="O779" s="8">
        <f t="array" ref="O779">INDEX(TechRate,MATCH(H779,TechNum,0))</f>
        <v>80</v>
      </c>
      <c r="P779" s="10">
        <f>WorkOrders27[[#This Row],[Techs]]*(WorkOrders27[[#This Row],[PartsCost]]*WorkOrders27[[#This Row],[LbrHrs]])</f>
        <v>18.087524999999999</v>
      </c>
      <c r="Q779" s="10">
        <f t="shared" si="69"/>
        <v>18.087524999999999</v>
      </c>
      <c r="R779" s="10">
        <f t="shared" si="70"/>
        <v>72.350099999999998</v>
      </c>
      <c r="S779" s="10">
        <f t="shared" si="71"/>
        <v>90.437624999999997</v>
      </c>
      <c r="T779" s="10">
        <f t="shared" si="72"/>
        <v>90.437624999999997</v>
      </c>
      <c r="U779" s="8" t="str">
        <f t="shared" si="73"/>
        <v>Mon</v>
      </c>
      <c r="V779" s="8" t="str">
        <f t="shared" si="73"/>
        <v>Mon</v>
      </c>
    </row>
    <row r="780" spans="1:22" x14ac:dyDescent="0.25">
      <c r="A780" t="s">
        <v>324</v>
      </c>
      <c r="B780" t="s">
        <v>35</v>
      </c>
      <c r="C780" t="s">
        <v>44</v>
      </c>
      <c r="D780" t="s">
        <v>11</v>
      </c>
      <c r="E780" t="s">
        <v>3</v>
      </c>
      <c r="F780" s="5">
        <v>44214</v>
      </c>
      <c r="G780" s="5">
        <v>44223</v>
      </c>
      <c r="H780" s="2">
        <v>1</v>
      </c>
      <c r="I780" s="6"/>
      <c r="J780" s="6"/>
      <c r="K780" s="7">
        <v>0.25</v>
      </c>
      <c r="L780" s="7">
        <v>19.9801</v>
      </c>
      <c r="M780" t="s">
        <v>17</v>
      </c>
      <c r="N780" s="16">
        <f>POWER(SQRT(WorkOrders27[[#This Row],[WorkDate]]-WorkOrders27[[#This Row],[ReqDate]]),2)</f>
        <v>9</v>
      </c>
      <c r="O780" s="8">
        <f t="array" ref="O780">INDEX(TechRate,MATCH(H780,TechNum,0))</f>
        <v>80</v>
      </c>
      <c r="P780" s="10">
        <f>WorkOrders27[[#This Row],[Techs]]*(WorkOrders27[[#This Row],[PartsCost]]*WorkOrders27[[#This Row],[LbrHrs]])</f>
        <v>4.995025</v>
      </c>
      <c r="Q780" s="10">
        <f t="shared" si="69"/>
        <v>4.995025</v>
      </c>
      <c r="R780" s="10">
        <f t="shared" si="70"/>
        <v>19.9801</v>
      </c>
      <c r="S780" s="10">
        <f t="shared" si="71"/>
        <v>24.975124999999998</v>
      </c>
      <c r="T780" s="10">
        <f t="shared" si="72"/>
        <v>24.975124999999998</v>
      </c>
      <c r="U780" s="8" t="str">
        <f t="shared" si="73"/>
        <v>Mon</v>
      </c>
      <c r="V780" s="8" t="str">
        <f t="shared" si="73"/>
        <v>Wed</v>
      </c>
    </row>
    <row r="781" spans="1:22" x14ac:dyDescent="0.25">
      <c r="A781" t="s">
        <v>325</v>
      </c>
      <c r="B781" t="s">
        <v>40</v>
      </c>
      <c r="C781" t="s">
        <v>7</v>
      </c>
      <c r="D781" t="s">
        <v>2</v>
      </c>
      <c r="F781" s="5">
        <v>44214</v>
      </c>
      <c r="G781" s="5">
        <v>44229</v>
      </c>
      <c r="H781" s="2">
        <v>2</v>
      </c>
      <c r="I781" s="6"/>
      <c r="J781" s="6"/>
      <c r="K781" s="7">
        <v>1.25</v>
      </c>
      <c r="L781" s="7">
        <v>85.32</v>
      </c>
      <c r="M781" t="s">
        <v>17</v>
      </c>
      <c r="N781" s="16">
        <f>POWER(SQRT(WorkOrders27[[#This Row],[WorkDate]]-WorkOrders27[[#This Row],[ReqDate]]),2)</f>
        <v>15.000000000000002</v>
      </c>
      <c r="O781" s="8">
        <f t="array" ref="O781">INDEX(TechRate,MATCH(H781,TechNum,0))</f>
        <v>140</v>
      </c>
      <c r="P781" s="10">
        <f>WorkOrders27[[#This Row],[Techs]]*(WorkOrders27[[#This Row],[PartsCost]]*WorkOrders27[[#This Row],[LbrHrs]])</f>
        <v>213.29999999999998</v>
      </c>
      <c r="Q781" s="10">
        <f t="shared" si="69"/>
        <v>213.29999999999998</v>
      </c>
      <c r="R781" s="10">
        <f t="shared" si="70"/>
        <v>85.32</v>
      </c>
      <c r="S781" s="10">
        <f t="shared" si="71"/>
        <v>298.62</v>
      </c>
      <c r="T781" s="10">
        <f t="shared" si="72"/>
        <v>298.62</v>
      </c>
      <c r="U781" s="8" t="str">
        <f t="shared" si="73"/>
        <v>Mon</v>
      </c>
      <c r="V781" s="8" t="str">
        <f t="shared" si="73"/>
        <v>Tue</v>
      </c>
    </row>
    <row r="782" spans="1:22" x14ac:dyDescent="0.25">
      <c r="A782" t="s">
        <v>326</v>
      </c>
      <c r="B782" t="s">
        <v>38</v>
      </c>
      <c r="C782" t="s">
        <v>8</v>
      </c>
      <c r="D782" t="s">
        <v>12</v>
      </c>
      <c r="F782" s="5">
        <v>44214</v>
      </c>
      <c r="G782" s="5">
        <v>44256</v>
      </c>
      <c r="H782" s="2">
        <v>1</v>
      </c>
      <c r="I782" s="6"/>
      <c r="J782" s="6"/>
      <c r="K782" s="7">
        <v>0.5</v>
      </c>
      <c r="L782" s="7">
        <v>180</v>
      </c>
      <c r="M782" t="s">
        <v>19</v>
      </c>
      <c r="N782" s="16">
        <f>POWER(SQRT(WorkOrders27[[#This Row],[WorkDate]]-WorkOrders27[[#This Row],[ReqDate]]),2)</f>
        <v>42</v>
      </c>
      <c r="O782" s="8">
        <f t="array" ref="O782">INDEX(TechRate,MATCH(H782,TechNum,0))</f>
        <v>80</v>
      </c>
      <c r="P782" s="10">
        <f>WorkOrders27[[#This Row],[Techs]]*(WorkOrders27[[#This Row],[PartsCost]]*WorkOrders27[[#This Row],[LbrHrs]])</f>
        <v>90</v>
      </c>
      <c r="Q782" s="10">
        <f t="shared" si="69"/>
        <v>90</v>
      </c>
      <c r="R782" s="10">
        <f t="shared" si="70"/>
        <v>180</v>
      </c>
      <c r="S782" s="10">
        <f t="shared" si="71"/>
        <v>270</v>
      </c>
      <c r="T782" s="10">
        <f t="shared" si="72"/>
        <v>270</v>
      </c>
      <c r="U782" s="8" t="str">
        <f t="shared" si="73"/>
        <v>Mon</v>
      </c>
      <c r="V782" s="8" t="str">
        <f t="shared" si="73"/>
        <v>Mon</v>
      </c>
    </row>
    <row r="783" spans="1:22" x14ac:dyDescent="0.25">
      <c r="A783" t="s">
        <v>327</v>
      </c>
      <c r="B783" t="s">
        <v>40</v>
      </c>
      <c r="C783" t="s">
        <v>7</v>
      </c>
      <c r="D783" t="s">
        <v>12</v>
      </c>
      <c r="F783" s="5">
        <v>44215</v>
      </c>
      <c r="G783" s="5">
        <v>44231</v>
      </c>
      <c r="H783" s="2">
        <v>2</v>
      </c>
      <c r="I783" s="6"/>
      <c r="J783" s="6"/>
      <c r="K783" s="7">
        <v>0.25</v>
      </c>
      <c r="L783" s="7">
        <v>52.350099999999998</v>
      </c>
      <c r="M783" t="s">
        <v>17</v>
      </c>
      <c r="N783" s="16">
        <f>POWER(SQRT(WorkOrders27[[#This Row],[WorkDate]]-WorkOrders27[[#This Row],[ReqDate]]),2)</f>
        <v>16</v>
      </c>
      <c r="O783" s="8">
        <f t="array" ref="O783">INDEX(TechRate,MATCH(H783,TechNum,0))</f>
        <v>140</v>
      </c>
      <c r="P783" s="10">
        <f>WorkOrders27[[#This Row],[Techs]]*(WorkOrders27[[#This Row],[PartsCost]]*WorkOrders27[[#This Row],[LbrHrs]])</f>
        <v>26.175049999999999</v>
      </c>
      <c r="Q783" s="10">
        <f t="shared" si="69"/>
        <v>26.175049999999999</v>
      </c>
      <c r="R783" s="10">
        <f t="shared" si="70"/>
        <v>52.350099999999998</v>
      </c>
      <c r="S783" s="10">
        <f t="shared" si="71"/>
        <v>78.525149999999996</v>
      </c>
      <c r="T783" s="10">
        <f t="shared" si="72"/>
        <v>78.525149999999996</v>
      </c>
      <c r="U783" s="8" t="str">
        <f t="shared" si="73"/>
        <v>Tue</v>
      </c>
      <c r="V783" s="8" t="str">
        <f t="shared" si="73"/>
        <v>Thu</v>
      </c>
    </row>
    <row r="784" spans="1:22" x14ac:dyDescent="0.25">
      <c r="A784" t="s">
        <v>328</v>
      </c>
      <c r="B784" t="s">
        <v>40</v>
      </c>
      <c r="C784" t="s">
        <v>7</v>
      </c>
      <c r="D784" t="s">
        <v>12</v>
      </c>
      <c r="F784" s="5">
        <v>44215</v>
      </c>
      <c r="G784" s="5">
        <v>44236</v>
      </c>
      <c r="H784" s="2">
        <v>2</v>
      </c>
      <c r="I784" s="6"/>
      <c r="J784" s="6"/>
      <c r="K784" s="7">
        <v>0.5</v>
      </c>
      <c r="L784" s="7">
        <v>45.293500000000002</v>
      </c>
      <c r="M784" t="s">
        <v>17</v>
      </c>
      <c r="N784" s="16">
        <f>POWER(SQRT(WorkOrders27[[#This Row],[WorkDate]]-WorkOrders27[[#This Row],[ReqDate]]),2)</f>
        <v>21</v>
      </c>
      <c r="O784" s="8">
        <f t="array" ref="O784">INDEX(TechRate,MATCH(H784,TechNum,0))</f>
        <v>140</v>
      </c>
      <c r="P784" s="10">
        <f>WorkOrders27[[#This Row],[Techs]]*(WorkOrders27[[#This Row],[PartsCost]]*WorkOrders27[[#This Row],[LbrHrs]])</f>
        <v>45.293500000000002</v>
      </c>
      <c r="Q784" s="10">
        <f t="shared" si="69"/>
        <v>45.293500000000002</v>
      </c>
      <c r="R784" s="10">
        <f t="shared" si="70"/>
        <v>45.293500000000002</v>
      </c>
      <c r="S784" s="10">
        <f t="shared" si="71"/>
        <v>90.587000000000003</v>
      </c>
      <c r="T784" s="10">
        <f t="shared" si="72"/>
        <v>90.587000000000003</v>
      </c>
      <c r="U784" s="8" t="str">
        <f t="shared" si="73"/>
        <v>Tue</v>
      </c>
      <c r="V784" s="8" t="str">
        <f t="shared" si="73"/>
        <v>Tue</v>
      </c>
    </row>
    <row r="785" spans="1:22" x14ac:dyDescent="0.25">
      <c r="A785" t="s">
        <v>329</v>
      </c>
      <c r="B785" t="s">
        <v>37</v>
      </c>
      <c r="C785" t="s">
        <v>43</v>
      </c>
      <c r="D785" t="s">
        <v>11</v>
      </c>
      <c r="F785" s="5">
        <v>44216</v>
      </c>
      <c r="G785" s="5">
        <v>44224</v>
      </c>
      <c r="H785" s="2">
        <v>1</v>
      </c>
      <c r="I785" s="6"/>
      <c r="J785" s="6"/>
      <c r="K785" s="7">
        <v>0.25</v>
      </c>
      <c r="L785" s="7">
        <v>11.7</v>
      </c>
      <c r="M785" t="s">
        <v>17</v>
      </c>
      <c r="N785" s="16">
        <f>POWER(SQRT(WorkOrders27[[#This Row],[WorkDate]]-WorkOrders27[[#This Row],[ReqDate]]),2)</f>
        <v>8.0000000000000018</v>
      </c>
      <c r="O785" s="8">
        <f t="array" ref="O785">INDEX(TechRate,MATCH(H785,TechNum,0))</f>
        <v>80</v>
      </c>
      <c r="P785" s="10">
        <f>WorkOrders27[[#This Row],[Techs]]*(WorkOrders27[[#This Row],[PartsCost]]*WorkOrders27[[#This Row],[LbrHrs]])</f>
        <v>2.9249999999999998</v>
      </c>
      <c r="Q785" s="10">
        <f t="shared" si="69"/>
        <v>2.9249999999999998</v>
      </c>
      <c r="R785" s="10">
        <f t="shared" si="70"/>
        <v>11.7</v>
      </c>
      <c r="S785" s="10">
        <f t="shared" si="71"/>
        <v>14.625</v>
      </c>
      <c r="T785" s="10">
        <f t="shared" si="72"/>
        <v>14.625</v>
      </c>
      <c r="U785" s="8" t="str">
        <f t="shared" si="73"/>
        <v>Wed</v>
      </c>
      <c r="V785" s="8" t="str">
        <f t="shared" si="73"/>
        <v>Thu</v>
      </c>
    </row>
    <row r="786" spans="1:22" x14ac:dyDescent="0.25">
      <c r="A786" t="s">
        <v>330</v>
      </c>
      <c r="B786" t="s">
        <v>34</v>
      </c>
      <c r="C786" t="s">
        <v>8</v>
      </c>
      <c r="D786" t="s">
        <v>11</v>
      </c>
      <c r="F786" s="5">
        <v>44216</v>
      </c>
      <c r="G786" s="5">
        <v>44329</v>
      </c>
      <c r="H786" s="2">
        <v>1</v>
      </c>
      <c r="I786" s="6"/>
      <c r="J786" s="6"/>
      <c r="K786" s="7">
        <v>0.25</v>
      </c>
      <c r="L786" s="7">
        <v>37.707000000000001</v>
      </c>
      <c r="M786" t="s">
        <v>19</v>
      </c>
      <c r="N786" s="16">
        <f>POWER(SQRT(WorkOrders27[[#This Row],[WorkDate]]-WorkOrders27[[#This Row],[ReqDate]]),2)</f>
        <v>113.00000000000001</v>
      </c>
      <c r="O786" s="8">
        <f t="array" ref="O786">INDEX(TechRate,MATCH(H786,TechNum,0))</f>
        <v>80</v>
      </c>
      <c r="P786" s="10">
        <f>WorkOrders27[[#This Row],[Techs]]*(WorkOrders27[[#This Row],[PartsCost]]*WorkOrders27[[#This Row],[LbrHrs]])</f>
        <v>9.4267500000000002</v>
      </c>
      <c r="Q786" s="10">
        <f t="shared" si="69"/>
        <v>9.4267500000000002</v>
      </c>
      <c r="R786" s="10">
        <f t="shared" si="70"/>
        <v>37.707000000000001</v>
      </c>
      <c r="S786" s="10">
        <f t="shared" si="71"/>
        <v>47.133749999999999</v>
      </c>
      <c r="T786" s="10">
        <f t="shared" si="72"/>
        <v>47.133749999999999</v>
      </c>
      <c r="U786" s="8" t="str">
        <f t="shared" si="73"/>
        <v>Wed</v>
      </c>
      <c r="V786" s="8" t="str">
        <f t="shared" si="73"/>
        <v>Thu</v>
      </c>
    </row>
    <row r="787" spans="1:22" x14ac:dyDescent="0.25">
      <c r="A787" t="s">
        <v>331</v>
      </c>
      <c r="B787" t="s">
        <v>34</v>
      </c>
      <c r="C787" t="s">
        <v>6</v>
      </c>
      <c r="D787" t="s">
        <v>1</v>
      </c>
      <c r="F787" s="5">
        <v>44217</v>
      </c>
      <c r="G787" s="5">
        <v>44229</v>
      </c>
      <c r="H787" s="2">
        <v>1</v>
      </c>
      <c r="I787" s="6"/>
      <c r="J787" s="6"/>
      <c r="K787" s="7">
        <v>1</v>
      </c>
      <c r="L787" s="7">
        <v>155.03550000000001</v>
      </c>
      <c r="M787" t="s">
        <v>18</v>
      </c>
      <c r="N787" s="16">
        <f>POWER(SQRT(WorkOrders27[[#This Row],[WorkDate]]-WorkOrders27[[#This Row],[ReqDate]]),2)</f>
        <v>11.999999999999998</v>
      </c>
      <c r="O787" s="8">
        <f t="array" ref="O787">INDEX(TechRate,MATCH(H787,TechNum,0))</f>
        <v>80</v>
      </c>
      <c r="P787" s="10">
        <f>WorkOrders27[[#This Row],[Techs]]*(WorkOrders27[[#This Row],[PartsCost]]*WorkOrders27[[#This Row],[LbrHrs]])</f>
        <v>155.03550000000001</v>
      </c>
      <c r="Q787" s="10">
        <f t="shared" si="69"/>
        <v>155.03550000000001</v>
      </c>
      <c r="R787" s="10">
        <f t="shared" si="70"/>
        <v>155.03550000000001</v>
      </c>
      <c r="S787" s="10">
        <f t="shared" si="71"/>
        <v>310.07100000000003</v>
      </c>
      <c r="T787" s="10">
        <f t="shared" si="72"/>
        <v>310.07100000000003</v>
      </c>
      <c r="U787" s="8" t="str">
        <f t="shared" si="73"/>
        <v>Thu</v>
      </c>
      <c r="V787" s="8" t="str">
        <f t="shared" si="73"/>
        <v>Tue</v>
      </c>
    </row>
    <row r="788" spans="1:22" x14ac:dyDescent="0.25">
      <c r="A788" t="s">
        <v>332</v>
      </c>
      <c r="B788" t="s">
        <v>37</v>
      </c>
      <c r="C788" t="s">
        <v>43</v>
      </c>
      <c r="D788" t="s">
        <v>12</v>
      </c>
      <c r="F788" s="5">
        <v>44217</v>
      </c>
      <c r="G788" s="5">
        <v>44239</v>
      </c>
      <c r="H788" s="2">
        <v>1</v>
      </c>
      <c r="I788" s="6"/>
      <c r="J788" s="6"/>
      <c r="K788" s="7">
        <v>1.25</v>
      </c>
      <c r="L788" s="7">
        <v>93.6</v>
      </c>
      <c r="M788" t="s">
        <v>19</v>
      </c>
      <c r="N788" s="16">
        <f>POWER(SQRT(WorkOrders27[[#This Row],[WorkDate]]-WorkOrders27[[#This Row],[ReqDate]]),2)</f>
        <v>22</v>
      </c>
      <c r="O788" s="8">
        <f t="array" ref="O788">INDEX(TechRate,MATCH(H788,TechNum,0))</f>
        <v>80</v>
      </c>
      <c r="P788" s="10">
        <f>WorkOrders27[[#This Row],[Techs]]*(WorkOrders27[[#This Row],[PartsCost]]*WorkOrders27[[#This Row],[LbrHrs]])</f>
        <v>117</v>
      </c>
      <c r="Q788" s="10">
        <f t="shared" si="69"/>
        <v>117</v>
      </c>
      <c r="R788" s="10">
        <f t="shared" si="70"/>
        <v>93.6</v>
      </c>
      <c r="S788" s="10">
        <f t="shared" si="71"/>
        <v>210.6</v>
      </c>
      <c r="T788" s="10">
        <f t="shared" si="72"/>
        <v>210.6</v>
      </c>
      <c r="U788" s="8" t="str">
        <f t="shared" si="73"/>
        <v>Thu</v>
      </c>
      <c r="V788" s="8" t="str">
        <f t="shared" si="73"/>
        <v>Fri</v>
      </c>
    </row>
    <row r="789" spans="1:22" x14ac:dyDescent="0.25">
      <c r="A789" t="s">
        <v>333</v>
      </c>
      <c r="B789" t="s">
        <v>36</v>
      </c>
      <c r="C789" t="s">
        <v>7</v>
      </c>
      <c r="D789" t="s">
        <v>11</v>
      </c>
      <c r="F789" s="5">
        <v>44217</v>
      </c>
      <c r="G789" s="5">
        <v>44237</v>
      </c>
      <c r="H789" s="2">
        <v>1</v>
      </c>
      <c r="I789" s="6"/>
      <c r="J789" s="6"/>
      <c r="K789" s="7">
        <v>0.25</v>
      </c>
      <c r="L789" s="7">
        <v>21.33</v>
      </c>
      <c r="M789" t="s">
        <v>17</v>
      </c>
      <c r="N789" s="16">
        <f>POWER(SQRT(WorkOrders27[[#This Row],[WorkDate]]-WorkOrders27[[#This Row],[ReqDate]]),2)</f>
        <v>20.000000000000004</v>
      </c>
      <c r="O789" s="8">
        <f t="array" ref="O789">INDEX(TechRate,MATCH(H789,TechNum,0))</f>
        <v>80</v>
      </c>
      <c r="P789" s="10">
        <f>WorkOrders27[[#This Row],[Techs]]*(WorkOrders27[[#This Row],[PartsCost]]*WorkOrders27[[#This Row],[LbrHrs]])</f>
        <v>5.3324999999999996</v>
      </c>
      <c r="Q789" s="10">
        <f t="shared" si="69"/>
        <v>5.3324999999999996</v>
      </c>
      <c r="R789" s="10">
        <f t="shared" si="70"/>
        <v>21.33</v>
      </c>
      <c r="S789" s="10">
        <f t="shared" si="71"/>
        <v>26.662499999999998</v>
      </c>
      <c r="T789" s="10">
        <f t="shared" si="72"/>
        <v>26.662499999999998</v>
      </c>
      <c r="U789" s="8" t="str">
        <f t="shared" si="73"/>
        <v>Thu</v>
      </c>
      <c r="V789" s="8" t="str">
        <f t="shared" si="73"/>
        <v>Wed</v>
      </c>
    </row>
    <row r="790" spans="1:22" x14ac:dyDescent="0.25">
      <c r="A790" t="s">
        <v>334</v>
      </c>
      <c r="B790" t="s">
        <v>34</v>
      </c>
      <c r="C790" t="s">
        <v>9</v>
      </c>
      <c r="D790" t="s">
        <v>2</v>
      </c>
      <c r="F790" s="5">
        <v>44217</v>
      </c>
      <c r="G790" s="5">
        <v>44278</v>
      </c>
      <c r="H790" s="2">
        <v>1</v>
      </c>
      <c r="I790" s="6"/>
      <c r="J790" s="6"/>
      <c r="K790" s="7">
        <v>2.5</v>
      </c>
      <c r="L790" s="7">
        <v>357.11079999999998</v>
      </c>
      <c r="M790" t="s">
        <v>17</v>
      </c>
      <c r="N790" s="16">
        <f>POWER(SQRT(WorkOrders27[[#This Row],[WorkDate]]-WorkOrders27[[#This Row],[ReqDate]]),2)</f>
        <v>60.999999999999993</v>
      </c>
      <c r="O790" s="8">
        <f t="array" ref="O790">INDEX(TechRate,MATCH(H790,TechNum,0))</f>
        <v>80</v>
      </c>
      <c r="P790" s="10">
        <f>WorkOrders27[[#This Row],[Techs]]*(WorkOrders27[[#This Row],[PartsCost]]*WorkOrders27[[#This Row],[LbrHrs]])</f>
        <v>892.77699999999993</v>
      </c>
      <c r="Q790" s="10">
        <f t="shared" si="69"/>
        <v>892.77699999999993</v>
      </c>
      <c r="R790" s="10">
        <f t="shared" si="70"/>
        <v>357.11079999999998</v>
      </c>
      <c r="S790" s="10">
        <f t="shared" si="71"/>
        <v>1249.8878</v>
      </c>
      <c r="T790" s="10">
        <f t="shared" si="72"/>
        <v>1249.8878</v>
      </c>
      <c r="U790" s="8" t="str">
        <f t="shared" si="73"/>
        <v>Thu</v>
      </c>
      <c r="V790" s="8" t="str">
        <f t="shared" si="73"/>
        <v>Tue</v>
      </c>
    </row>
    <row r="791" spans="1:22" x14ac:dyDescent="0.25">
      <c r="A791" t="s">
        <v>335</v>
      </c>
      <c r="B791" t="s">
        <v>35</v>
      </c>
      <c r="C791" t="s">
        <v>9</v>
      </c>
      <c r="D791" t="s">
        <v>11</v>
      </c>
      <c r="F791" s="5">
        <v>44218</v>
      </c>
      <c r="G791" s="5">
        <v>44226</v>
      </c>
      <c r="H791" s="2">
        <v>1</v>
      </c>
      <c r="I791" s="6"/>
      <c r="J791" s="6"/>
      <c r="K791" s="7">
        <v>0.25</v>
      </c>
      <c r="L791" s="7">
        <v>120</v>
      </c>
      <c r="M791" t="s">
        <v>18</v>
      </c>
      <c r="N791" s="16">
        <f>POWER(SQRT(WorkOrders27[[#This Row],[WorkDate]]-WorkOrders27[[#This Row],[ReqDate]]),2)</f>
        <v>8.0000000000000018</v>
      </c>
      <c r="O791" s="8">
        <f t="array" ref="O791">INDEX(TechRate,MATCH(H791,TechNum,0))</f>
        <v>80</v>
      </c>
      <c r="P791" s="10">
        <f>WorkOrders27[[#This Row],[Techs]]*(WorkOrders27[[#This Row],[PartsCost]]*WorkOrders27[[#This Row],[LbrHrs]])</f>
        <v>30</v>
      </c>
      <c r="Q791" s="10">
        <f t="shared" si="69"/>
        <v>30</v>
      </c>
      <c r="R791" s="10">
        <f t="shared" si="70"/>
        <v>120</v>
      </c>
      <c r="S791" s="10">
        <f t="shared" si="71"/>
        <v>150</v>
      </c>
      <c r="T791" s="10">
        <f t="shared" si="72"/>
        <v>150</v>
      </c>
      <c r="U791" s="8" t="str">
        <f t="shared" si="73"/>
        <v>Fri</v>
      </c>
      <c r="V791" s="8" t="str">
        <f t="shared" si="73"/>
        <v>Sat</v>
      </c>
    </row>
    <row r="792" spans="1:22" x14ac:dyDescent="0.25">
      <c r="A792" t="s">
        <v>336</v>
      </c>
      <c r="B792" t="s">
        <v>39</v>
      </c>
      <c r="C792" t="s">
        <v>9</v>
      </c>
      <c r="D792" t="s">
        <v>13</v>
      </c>
      <c r="F792" s="5">
        <v>44221</v>
      </c>
      <c r="G792" s="5">
        <v>44236</v>
      </c>
      <c r="H792" s="2">
        <v>1</v>
      </c>
      <c r="I792" s="6"/>
      <c r="J792" s="6"/>
      <c r="K792" s="7">
        <v>0.5</v>
      </c>
      <c r="L792" s="7">
        <v>52.350099999999998</v>
      </c>
      <c r="M792" t="s">
        <v>18</v>
      </c>
      <c r="N792" s="16">
        <f>POWER(SQRT(WorkOrders27[[#This Row],[WorkDate]]-WorkOrders27[[#This Row],[ReqDate]]),2)</f>
        <v>15.000000000000002</v>
      </c>
      <c r="O792" s="8">
        <f t="array" ref="O792">INDEX(TechRate,MATCH(H792,TechNum,0))</f>
        <v>80</v>
      </c>
      <c r="P792" s="10">
        <f>WorkOrders27[[#This Row],[Techs]]*(WorkOrders27[[#This Row],[PartsCost]]*WorkOrders27[[#This Row],[LbrHrs]])</f>
        <v>26.175049999999999</v>
      </c>
      <c r="Q792" s="10">
        <f t="shared" si="69"/>
        <v>26.175049999999999</v>
      </c>
      <c r="R792" s="10">
        <f t="shared" si="70"/>
        <v>52.350099999999998</v>
      </c>
      <c r="S792" s="10">
        <f t="shared" si="71"/>
        <v>78.525149999999996</v>
      </c>
      <c r="T792" s="10">
        <f t="shared" si="72"/>
        <v>78.525149999999996</v>
      </c>
      <c r="U792" s="8" t="str">
        <f t="shared" si="73"/>
        <v>Mon</v>
      </c>
      <c r="V792" s="8" t="str">
        <f t="shared" si="73"/>
        <v>Tue</v>
      </c>
    </row>
    <row r="793" spans="1:22" x14ac:dyDescent="0.25">
      <c r="A793" t="s">
        <v>337</v>
      </c>
      <c r="B793" t="s">
        <v>35</v>
      </c>
      <c r="C793" t="s">
        <v>44</v>
      </c>
      <c r="D793" t="s">
        <v>13</v>
      </c>
      <c r="F793" s="5">
        <v>44221</v>
      </c>
      <c r="G793" s="5">
        <v>44242</v>
      </c>
      <c r="H793" s="2">
        <v>1</v>
      </c>
      <c r="I793" s="6"/>
      <c r="J793" s="6"/>
      <c r="K793" s="7">
        <v>3.25</v>
      </c>
      <c r="L793" s="7">
        <v>511.875</v>
      </c>
      <c r="M793" t="s">
        <v>17</v>
      </c>
      <c r="N793" s="16">
        <f>POWER(SQRT(WorkOrders27[[#This Row],[WorkDate]]-WorkOrders27[[#This Row],[ReqDate]]),2)</f>
        <v>21</v>
      </c>
      <c r="O793" s="8">
        <f t="array" ref="O793">INDEX(TechRate,MATCH(H793,TechNum,0))</f>
        <v>80</v>
      </c>
      <c r="P793" s="10">
        <f>WorkOrders27[[#This Row],[Techs]]*(WorkOrders27[[#This Row],[PartsCost]]*WorkOrders27[[#This Row],[LbrHrs]])</f>
        <v>1663.59375</v>
      </c>
      <c r="Q793" s="10">
        <f t="shared" si="69"/>
        <v>1663.59375</v>
      </c>
      <c r="R793" s="10">
        <f t="shared" si="70"/>
        <v>511.875</v>
      </c>
      <c r="S793" s="10">
        <f t="shared" si="71"/>
        <v>2175.46875</v>
      </c>
      <c r="T793" s="10">
        <f t="shared" si="72"/>
        <v>2175.46875</v>
      </c>
      <c r="U793" s="8" t="str">
        <f t="shared" si="73"/>
        <v>Mon</v>
      </c>
      <c r="V793" s="8" t="str">
        <f t="shared" si="73"/>
        <v>Mon</v>
      </c>
    </row>
    <row r="794" spans="1:22" x14ac:dyDescent="0.25">
      <c r="A794" t="s">
        <v>338</v>
      </c>
      <c r="B794" t="s">
        <v>36</v>
      </c>
      <c r="C794" t="s">
        <v>7</v>
      </c>
      <c r="D794" t="s">
        <v>13</v>
      </c>
      <c r="F794" s="5">
        <v>44221</v>
      </c>
      <c r="G794" s="5">
        <v>44275</v>
      </c>
      <c r="H794" s="2">
        <v>2</v>
      </c>
      <c r="I794" s="6"/>
      <c r="J794" s="6"/>
      <c r="K794" s="7">
        <v>2</v>
      </c>
      <c r="L794" s="7">
        <v>368.87400000000002</v>
      </c>
      <c r="M794" t="s">
        <v>17</v>
      </c>
      <c r="N794" s="16">
        <f>POWER(SQRT(WorkOrders27[[#This Row],[WorkDate]]-WorkOrders27[[#This Row],[ReqDate]]),2)</f>
        <v>54</v>
      </c>
      <c r="O794" s="8">
        <f t="array" ref="O794">INDEX(TechRate,MATCH(H794,TechNum,0))</f>
        <v>140</v>
      </c>
      <c r="P794" s="10">
        <f>WorkOrders27[[#This Row],[Techs]]*(WorkOrders27[[#This Row],[PartsCost]]*WorkOrders27[[#This Row],[LbrHrs]])</f>
        <v>1475.4960000000001</v>
      </c>
      <c r="Q794" s="10">
        <f t="shared" si="69"/>
        <v>1475.4960000000001</v>
      </c>
      <c r="R794" s="10">
        <f t="shared" si="70"/>
        <v>368.87400000000002</v>
      </c>
      <c r="S794" s="10">
        <f t="shared" si="71"/>
        <v>1844.3700000000001</v>
      </c>
      <c r="T794" s="10">
        <f t="shared" si="72"/>
        <v>1844.3700000000001</v>
      </c>
      <c r="U794" s="8" t="str">
        <f t="shared" si="73"/>
        <v>Mon</v>
      </c>
      <c r="V794" s="8" t="str">
        <f t="shared" si="73"/>
        <v>Sat</v>
      </c>
    </row>
    <row r="795" spans="1:22" x14ac:dyDescent="0.25">
      <c r="A795" t="s">
        <v>339</v>
      </c>
      <c r="B795" t="s">
        <v>36</v>
      </c>
      <c r="C795" t="s">
        <v>7</v>
      </c>
      <c r="D795" t="s">
        <v>11</v>
      </c>
      <c r="F795" s="5">
        <v>44223</v>
      </c>
      <c r="G795" s="5">
        <v>44231</v>
      </c>
      <c r="H795" s="2">
        <v>1</v>
      </c>
      <c r="I795" s="6"/>
      <c r="J795" s="6"/>
      <c r="K795" s="7">
        <v>0.25</v>
      </c>
      <c r="L795" s="7">
        <v>120</v>
      </c>
      <c r="M795" t="s">
        <v>17</v>
      </c>
      <c r="N795" s="16">
        <f>POWER(SQRT(WorkOrders27[[#This Row],[WorkDate]]-WorkOrders27[[#This Row],[ReqDate]]),2)</f>
        <v>8.0000000000000018</v>
      </c>
      <c r="O795" s="8">
        <f t="array" ref="O795">INDEX(TechRate,MATCH(H795,TechNum,0))</f>
        <v>80</v>
      </c>
      <c r="P795" s="10">
        <f>WorkOrders27[[#This Row],[Techs]]*(WorkOrders27[[#This Row],[PartsCost]]*WorkOrders27[[#This Row],[LbrHrs]])</f>
        <v>30</v>
      </c>
      <c r="Q795" s="10">
        <f t="shared" si="69"/>
        <v>30</v>
      </c>
      <c r="R795" s="10">
        <f t="shared" si="70"/>
        <v>120</v>
      </c>
      <c r="S795" s="10">
        <f t="shared" si="71"/>
        <v>150</v>
      </c>
      <c r="T795" s="10">
        <f t="shared" si="72"/>
        <v>150</v>
      </c>
      <c r="U795" s="8" t="str">
        <f t="shared" si="73"/>
        <v>Wed</v>
      </c>
      <c r="V795" s="8" t="str">
        <f t="shared" si="73"/>
        <v>Thu</v>
      </c>
    </row>
    <row r="796" spans="1:22" x14ac:dyDescent="0.25">
      <c r="A796" t="s">
        <v>340</v>
      </c>
      <c r="B796" t="s">
        <v>36</v>
      </c>
      <c r="C796" t="s">
        <v>7</v>
      </c>
      <c r="D796" t="s">
        <v>13</v>
      </c>
      <c r="E796" t="s">
        <v>3</v>
      </c>
      <c r="F796" s="5">
        <v>44223</v>
      </c>
      <c r="G796" s="5">
        <v>44249</v>
      </c>
      <c r="H796" s="2">
        <v>2</v>
      </c>
      <c r="I796" s="6"/>
      <c r="J796" s="6"/>
      <c r="K796" s="7">
        <v>0.5</v>
      </c>
      <c r="L796" s="7">
        <v>5.4720000000000004</v>
      </c>
      <c r="M796" t="s">
        <v>18</v>
      </c>
      <c r="N796" s="16">
        <f>POWER(SQRT(WorkOrders27[[#This Row],[WorkDate]]-WorkOrders27[[#This Row],[ReqDate]]),2)</f>
        <v>25.999999999999996</v>
      </c>
      <c r="O796" s="8">
        <f t="array" ref="O796">INDEX(TechRate,MATCH(H796,TechNum,0))</f>
        <v>140</v>
      </c>
      <c r="P796" s="10">
        <f>WorkOrders27[[#This Row],[Techs]]*(WorkOrders27[[#This Row],[PartsCost]]*WorkOrders27[[#This Row],[LbrHrs]])</f>
        <v>5.4720000000000004</v>
      </c>
      <c r="Q796" s="10">
        <f t="shared" si="69"/>
        <v>5.4720000000000004</v>
      </c>
      <c r="R796" s="10">
        <f t="shared" si="70"/>
        <v>5.4720000000000004</v>
      </c>
      <c r="S796" s="10">
        <f t="shared" si="71"/>
        <v>10.944000000000001</v>
      </c>
      <c r="T796" s="10">
        <f t="shared" si="72"/>
        <v>10.944000000000001</v>
      </c>
      <c r="U796" s="8" t="str">
        <f t="shared" si="73"/>
        <v>Wed</v>
      </c>
      <c r="V796" s="8" t="str">
        <f t="shared" si="73"/>
        <v>Mon</v>
      </c>
    </row>
    <row r="797" spans="1:22" x14ac:dyDescent="0.25">
      <c r="A797" t="s">
        <v>341</v>
      </c>
      <c r="B797" t="s">
        <v>39</v>
      </c>
      <c r="C797" t="s">
        <v>8</v>
      </c>
      <c r="D797" t="s">
        <v>12</v>
      </c>
      <c r="F797" s="5">
        <v>44224</v>
      </c>
      <c r="G797" s="5">
        <v>44235</v>
      </c>
      <c r="H797" s="2">
        <v>1</v>
      </c>
      <c r="I797" s="6"/>
      <c r="J797" s="6"/>
      <c r="K797" s="7">
        <v>1</v>
      </c>
      <c r="L797" s="7">
        <v>60</v>
      </c>
      <c r="M797" t="s">
        <v>18</v>
      </c>
      <c r="N797" s="16">
        <f>POWER(SQRT(WorkOrders27[[#This Row],[WorkDate]]-WorkOrders27[[#This Row],[ReqDate]]),2)</f>
        <v>11</v>
      </c>
      <c r="O797" s="8">
        <f t="array" ref="O797">INDEX(TechRate,MATCH(H797,TechNum,0))</f>
        <v>80</v>
      </c>
      <c r="P797" s="10">
        <f>WorkOrders27[[#This Row],[Techs]]*(WorkOrders27[[#This Row],[PartsCost]]*WorkOrders27[[#This Row],[LbrHrs]])</f>
        <v>60</v>
      </c>
      <c r="Q797" s="10">
        <f t="shared" si="69"/>
        <v>60</v>
      </c>
      <c r="R797" s="10">
        <f t="shared" si="70"/>
        <v>60</v>
      </c>
      <c r="S797" s="10">
        <f t="shared" si="71"/>
        <v>120</v>
      </c>
      <c r="T797" s="10">
        <f t="shared" si="72"/>
        <v>120</v>
      </c>
      <c r="U797" s="8" t="str">
        <f t="shared" si="73"/>
        <v>Thu</v>
      </c>
      <c r="V797" s="8" t="str">
        <f t="shared" si="73"/>
        <v>Mon</v>
      </c>
    </row>
    <row r="798" spans="1:22" x14ac:dyDescent="0.25">
      <c r="A798" t="s">
        <v>342</v>
      </c>
      <c r="B798" t="s">
        <v>35</v>
      </c>
      <c r="C798" t="s">
        <v>9</v>
      </c>
      <c r="D798" t="s">
        <v>13</v>
      </c>
      <c r="F798" s="5">
        <v>44224</v>
      </c>
      <c r="G798" s="5">
        <v>44237</v>
      </c>
      <c r="H798" s="2">
        <v>1</v>
      </c>
      <c r="I798" s="6"/>
      <c r="J798" s="6"/>
      <c r="K798" s="7">
        <v>0.75</v>
      </c>
      <c r="L798" s="7">
        <v>114.89449999999999</v>
      </c>
      <c r="M798" t="s">
        <v>19</v>
      </c>
      <c r="N798" s="16">
        <f>POWER(SQRT(WorkOrders27[[#This Row],[WorkDate]]-WorkOrders27[[#This Row],[ReqDate]]),2)</f>
        <v>12.999999999999998</v>
      </c>
      <c r="O798" s="8">
        <f t="array" ref="O798">INDEX(TechRate,MATCH(H798,TechNum,0))</f>
        <v>80</v>
      </c>
      <c r="P798" s="10">
        <f>WorkOrders27[[#This Row],[Techs]]*(WorkOrders27[[#This Row],[PartsCost]]*WorkOrders27[[#This Row],[LbrHrs]])</f>
        <v>86.170874999999995</v>
      </c>
      <c r="Q798" s="10">
        <f t="shared" si="69"/>
        <v>86.170874999999995</v>
      </c>
      <c r="R798" s="10">
        <f t="shared" si="70"/>
        <v>114.89449999999999</v>
      </c>
      <c r="S798" s="10">
        <f t="shared" si="71"/>
        <v>201.06537499999999</v>
      </c>
      <c r="T798" s="10">
        <f t="shared" si="72"/>
        <v>201.06537499999999</v>
      </c>
      <c r="U798" s="8" t="str">
        <f t="shared" si="73"/>
        <v>Thu</v>
      </c>
      <c r="V798" s="8" t="str">
        <f t="shared" si="73"/>
        <v>Wed</v>
      </c>
    </row>
    <row r="799" spans="1:22" x14ac:dyDescent="0.25">
      <c r="A799" t="s">
        <v>343</v>
      </c>
      <c r="B799" t="s">
        <v>36</v>
      </c>
      <c r="C799" t="s">
        <v>7</v>
      </c>
      <c r="D799" t="s">
        <v>12</v>
      </c>
      <c r="F799" s="5">
        <v>44224</v>
      </c>
      <c r="G799" s="5">
        <v>44245</v>
      </c>
      <c r="H799" s="2">
        <v>2</v>
      </c>
      <c r="I799" s="6"/>
      <c r="J799" s="6"/>
      <c r="K799" s="7">
        <v>0.25</v>
      </c>
      <c r="L799" s="7">
        <v>23.899000000000001</v>
      </c>
      <c r="M799" t="s">
        <v>18</v>
      </c>
      <c r="N799" s="16">
        <f>POWER(SQRT(WorkOrders27[[#This Row],[WorkDate]]-WorkOrders27[[#This Row],[ReqDate]]),2)</f>
        <v>21</v>
      </c>
      <c r="O799" s="8">
        <f t="array" ref="O799">INDEX(TechRate,MATCH(H799,TechNum,0))</f>
        <v>140</v>
      </c>
      <c r="P799" s="10">
        <f>WorkOrders27[[#This Row],[Techs]]*(WorkOrders27[[#This Row],[PartsCost]]*WorkOrders27[[#This Row],[LbrHrs]])</f>
        <v>11.9495</v>
      </c>
      <c r="Q799" s="10">
        <f t="shared" si="69"/>
        <v>11.9495</v>
      </c>
      <c r="R799" s="10">
        <f t="shared" si="70"/>
        <v>23.899000000000001</v>
      </c>
      <c r="S799" s="10">
        <f t="shared" si="71"/>
        <v>35.848500000000001</v>
      </c>
      <c r="T799" s="10">
        <f t="shared" si="72"/>
        <v>35.848500000000001</v>
      </c>
      <c r="U799" s="8" t="str">
        <f t="shared" si="73"/>
        <v>Thu</v>
      </c>
      <c r="V799" s="8" t="str">
        <f t="shared" si="73"/>
        <v>Thu</v>
      </c>
    </row>
    <row r="800" spans="1:22" x14ac:dyDescent="0.25">
      <c r="A800" t="s">
        <v>344</v>
      </c>
      <c r="B800" t="s">
        <v>37</v>
      </c>
      <c r="C800" t="s">
        <v>43</v>
      </c>
      <c r="D800" t="s">
        <v>12</v>
      </c>
      <c r="F800" s="5">
        <v>44224</v>
      </c>
      <c r="G800" s="5">
        <v>44245</v>
      </c>
      <c r="H800" s="2">
        <v>1</v>
      </c>
      <c r="I800" s="6"/>
      <c r="J800" s="6"/>
      <c r="K800" s="7">
        <v>0.25</v>
      </c>
      <c r="L800" s="7">
        <v>57.2</v>
      </c>
      <c r="M800" t="s">
        <v>19</v>
      </c>
      <c r="N800" s="16">
        <f>POWER(SQRT(WorkOrders27[[#This Row],[WorkDate]]-WorkOrders27[[#This Row],[ReqDate]]),2)</f>
        <v>21</v>
      </c>
      <c r="O800" s="8">
        <f t="array" ref="O800">INDEX(TechRate,MATCH(H800,TechNum,0))</f>
        <v>80</v>
      </c>
      <c r="P800" s="10">
        <f>WorkOrders27[[#This Row],[Techs]]*(WorkOrders27[[#This Row],[PartsCost]]*WorkOrders27[[#This Row],[LbrHrs]])</f>
        <v>14.3</v>
      </c>
      <c r="Q800" s="10">
        <f t="shared" si="69"/>
        <v>14.3</v>
      </c>
      <c r="R800" s="10">
        <f t="shared" si="70"/>
        <v>57.2</v>
      </c>
      <c r="S800" s="10">
        <f t="shared" si="71"/>
        <v>71.5</v>
      </c>
      <c r="T800" s="10">
        <f t="shared" si="72"/>
        <v>71.5</v>
      </c>
      <c r="U800" s="8" t="str">
        <f t="shared" si="73"/>
        <v>Thu</v>
      </c>
      <c r="V800" s="8" t="str">
        <f t="shared" si="73"/>
        <v>Thu</v>
      </c>
    </row>
    <row r="801" spans="1:22" x14ac:dyDescent="0.25">
      <c r="A801" t="s">
        <v>345</v>
      </c>
      <c r="B801" t="s">
        <v>35</v>
      </c>
      <c r="C801" t="s">
        <v>9</v>
      </c>
      <c r="D801" t="s">
        <v>13</v>
      </c>
      <c r="F801" s="5">
        <v>44224</v>
      </c>
      <c r="G801" s="5">
        <v>44258</v>
      </c>
      <c r="H801" s="2">
        <v>2</v>
      </c>
      <c r="I801" s="6"/>
      <c r="J801" s="6"/>
      <c r="K801" s="7">
        <v>8.5</v>
      </c>
      <c r="L801" s="7">
        <v>653.98500000000001</v>
      </c>
      <c r="M801" t="s">
        <v>17</v>
      </c>
      <c r="N801" s="16">
        <f>POWER(SQRT(WorkOrders27[[#This Row],[WorkDate]]-WorkOrders27[[#This Row],[ReqDate]]),2)</f>
        <v>34</v>
      </c>
      <c r="O801" s="8">
        <f t="array" ref="O801">INDEX(TechRate,MATCH(H801,TechNum,0))</f>
        <v>140</v>
      </c>
      <c r="P801" s="10">
        <f>WorkOrders27[[#This Row],[Techs]]*(WorkOrders27[[#This Row],[PartsCost]]*WorkOrders27[[#This Row],[LbrHrs]])</f>
        <v>11117.745000000001</v>
      </c>
      <c r="Q801" s="10">
        <f t="shared" si="69"/>
        <v>11117.745000000001</v>
      </c>
      <c r="R801" s="10">
        <f t="shared" si="70"/>
        <v>653.98500000000001</v>
      </c>
      <c r="S801" s="10">
        <f t="shared" si="71"/>
        <v>11771.730000000001</v>
      </c>
      <c r="T801" s="10">
        <f t="shared" si="72"/>
        <v>11771.730000000001</v>
      </c>
      <c r="U801" s="8" t="str">
        <f t="shared" si="73"/>
        <v>Thu</v>
      </c>
      <c r="V801" s="8" t="str">
        <f t="shared" si="73"/>
        <v>Wed</v>
      </c>
    </row>
    <row r="802" spans="1:22" x14ac:dyDescent="0.25">
      <c r="A802" t="s">
        <v>346</v>
      </c>
      <c r="B802" t="s">
        <v>37</v>
      </c>
      <c r="C802" t="s">
        <v>43</v>
      </c>
      <c r="D802" t="s">
        <v>12</v>
      </c>
      <c r="F802" s="5">
        <v>44224</v>
      </c>
      <c r="G802" s="5">
        <v>44271</v>
      </c>
      <c r="H802" s="2">
        <v>1</v>
      </c>
      <c r="I802" s="6"/>
      <c r="J802" s="6"/>
      <c r="K802" s="7">
        <v>0.5</v>
      </c>
      <c r="L802" s="7">
        <v>9.75</v>
      </c>
      <c r="M802" t="s">
        <v>17</v>
      </c>
      <c r="N802" s="16">
        <f>POWER(SQRT(WorkOrders27[[#This Row],[WorkDate]]-WorkOrders27[[#This Row],[ReqDate]]),2)</f>
        <v>47</v>
      </c>
      <c r="O802" s="8">
        <f t="array" ref="O802">INDEX(TechRate,MATCH(H802,TechNum,0))</f>
        <v>80</v>
      </c>
      <c r="P802" s="10">
        <f>WorkOrders27[[#This Row],[Techs]]*(WorkOrders27[[#This Row],[PartsCost]]*WorkOrders27[[#This Row],[LbrHrs]])</f>
        <v>4.875</v>
      </c>
      <c r="Q802" s="10">
        <f t="shared" si="69"/>
        <v>4.875</v>
      </c>
      <c r="R802" s="10">
        <f t="shared" si="70"/>
        <v>9.75</v>
      </c>
      <c r="S802" s="10">
        <f t="shared" si="71"/>
        <v>14.625</v>
      </c>
      <c r="T802" s="10">
        <f t="shared" si="72"/>
        <v>14.625</v>
      </c>
      <c r="U802" s="8" t="str">
        <f t="shared" si="73"/>
        <v>Thu</v>
      </c>
      <c r="V802" s="8" t="str">
        <f t="shared" si="73"/>
        <v>Tue</v>
      </c>
    </row>
    <row r="803" spans="1:22" x14ac:dyDescent="0.25">
      <c r="A803" t="s">
        <v>347</v>
      </c>
      <c r="B803" t="s">
        <v>36</v>
      </c>
      <c r="C803" t="s">
        <v>7</v>
      </c>
      <c r="D803" t="s">
        <v>13</v>
      </c>
      <c r="F803" s="5">
        <v>44226</v>
      </c>
      <c r="G803" s="5">
        <v>44229</v>
      </c>
      <c r="H803" s="2">
        <v>2</v>
      </c>
      <c r="I803" s="6"/>
      <c r="J803" s="6"/>
      <c r="K803" s="7">
        <v>0.5</v>
      </c>
      <c r="L803" s="7">
        <v>134</v>
      </c>
      <c r="M803" t="s">
        <v>17</v>
      </c>
      <c r="N803" s="16">
        <f>POWER(SQRT(WorkOrders27[[#This Row],[WorkDate]]-WorkOrders27[[#This Row],[ReqDate]]),2)</f>
        <v>2.9999999999999996</v>
      </c>
      <c r="O803" s="8">
        <f t="array" ref="O803">INDEX(TechRate,MATCH(H803,TechNum,0))</f>
        <v>140</v>
      </c>
      <c r="P803" s="10">
        <f>WorkOrders27[[#This Row],[Techs]]*(WorkOrders27[[#This Row],[PartsCost]]*WorkOrders27[[#This Row],[LbrHrs]])</f>
        <v>134</v>
      </c>
      <c r="Q803" s="10">
        <f t="shared" si="69"/>
        <v>134</v>
      </c>
      <c r="R803" s="10">
        <f t="shared" si="70"/>
        <v>134</v>
      </c>
      <c r="S803" s="10">
        <f t="shared" si="71"/>
        <v>268</v>
      </c>
      <c r="T803" s="10">
        <f t="shared" si="72"/>
        <v>268</v>
      </c>
      <c r="U803" s="8" t="str">
        <f t="shared" si="73"/>
        <v>Sat</v>
      </c>
      <c r="V803" s="8" t="str">
        <f t="shared" si="73"/>
        <v>Tue</v>
      </c>
    </row>
    <row r="804" spans="1:22" x14ac:dyDescent="0.25">
      <c r="A804" t="s">
        <v>348</v>
      </c>
      <c r="B804" t="s">
        <v>36</v>
      </c>
      <c r="C804" t="s">
        <v>7</v>
      </c>
      <c r="D804" t="s">
        <v>12</v>
      </c>
      <c r="F804" s="5">
        <v>44228</v>
      </c>
      <c r="G804" s="5">
        <v>44237</v>
      </c>
      <c r="H804" s="2">
        <v>2</v>
      </c>
      <c r="I804" s="6"/>
      <c r="J804" s="6"/>
      <c r="K804" s="7">
        <v>0.25</v>
      </c>
      <c r="L804" s="7">
        <v>144</v>
      </c>
      <c r="M804" t="s">
        <v>17</v>
      </c>
      <c r="N804" s="16">
        <f>POWER(SQRT(WorkOrders27[[#This Row],[WorkDate]]-WorkOrders27[[#This Row],[ReqDate]]),2)</f>
        <v>9</v>
      </c>
      <c r="O804" s="8">
        <f t="array" ref="O804">INDEX(TechRate,MATCH(H804,TechNum,0))</f>
        <v>140</v>
      </c>
      <c r="P804" s="10">
        <f>WorkOrders27[[#This Row],[Techs]]*(WorkOrders27[[#This Row],[PartsCost]]*WorkOrders27[[#This Row],[LbrHrs]])</f>
        <v>72</v>
      </c>
      <c r="Q804" s="10">
        <f t="shared" si="69"/>
        <v>72</v>
      </c>
      <c r="R804" s="10">
        <f t="shared" si="70"/>
        <v>144</v>
      </c>
      <c r="S804" s="10">
        <f t="shared" si="71"/>
        <v>216</v>
      </c>
      <c r="T804" s="10">
        <f t="shared" si="72"/>
        <v>216</v>
      </c>
      <c r="U804" s="8" t="str">
        <f t="shared" si="73"/>
        <v>Mon</v>
      </c>
      <c r="V804" s="8" t="str">
        <f t="shared" si="73"/>
        <v>Wed</v>
      </c>
    </row>
    <row r="805" spans="1:22" x14ac:dyDescent="0.25">
      <c r="A805" t="s">
        <v>349</v>
      </c>
      <c r="B805" t="s">
        <v>35</v>
      </c>
      <c r="C805" t="s">
        <v>9</v>
      </c>
      <c r="D805" t="s">
        <v>12</v>
      </c>
      <c r="F805" s="5">
        <v>44228</v>
      </c>
      <c r="G805" s="5">
        <v>44237</v>
      </c>
      <c r="H805" s="2">
        <v>1</v>
      </c>
      <c r="I805" s="6"/>
      <c r="J805" s="6"/>
      <c r="K805" s="7">
        <v>0.5</v>
      </c>
      <c r="L805" s="7">
        <v>205.1859</v>
      </c>
      <c r="M805" t="s">
        <v>18</v>
      </c>
      <c r="N805" s="16">
        <f>POWER(SQRT(WorkOrders27[[#This Row],[WorkDate]]-WorkOrders27[[#This Row],[ReqDate]]),2)</f>
        <v>9</v>
      </c>
      <c r="O805" s="8">
        <f t="array" ref="O805">INDEX(TechRate,MATCH(H805,TechNum,0))</f>
        <v>80</v>
      </c>
      <c r="P805" s="10">
        <f>WorkOrders27[[#This Row],[Techs]]*(WorkOrders27[[#This Row],[PartsCost]]*WorkOrders27[[#This Row],[LbrHrs]])</f>
        <v>102.59295</v>
      </c>
      <c r="Q805" s="10">
        <f t="shared" si="69"/>
        <v>102.59295</v>
      </c>
      <c r="R805" s="10">
        <f t="shared" si="70"/>
        <v>205.1859</v>
      </c>
      <c r="S805" s="10">
        <f t="shared" si="71"/>
        <v>307.77885000000003</v>
      </c>
      <c r="T805" s="10">
        <f t="shared" si="72"/>
        <v>307.77885000000003</v>
      </c>
      <c r="U805" s="8" t="str">
        <f t="shared" si="73"/>
        <v>Mon</v>
      </c>
      <c r="V805" s="8" t="str">
        <f t="shared" si="73"/>
        <v>Wed</v>
      </c>
    </row>
    <row r="806" spans="1:22" x14ac:dyDescent="0.25">
      <c r="A806" t="s">
        <v>350</v>
      </c>
      <c r="B806" t="s">
        <v>38</v>
      </c>
      <c r="C806" t="s">
        <v>43</v>
      </c>
      <c r="D806" t="s">
        <v>13</v>
      </c>
      <c r="F806" s="5">
        <v>44228</v>
      </c>
      <c r="G806" s="5">
        <v>44252</v>
      </c>
      <c r="H806" s="2">
        <v>1</v>
      </c>
      <c r="I806" s="6"/>
      <c r="J806" s="6"/>
      <c r="K806" s="7">
        <v>0.5</v>
      </c>
      <c r="L806" s="7">
        <v>42.9</v>
      </c>
      <c r="M806" t="s">
        <v>17</v>
      </c>
      <c r="N806" s="16">
        <f>POWER(SQRT(WorkOrders27[[#This Row],[WorkDate]]-WorkOrders27[[#This Row],[ReqDate]]),2)</f>
        <v>23.999999999999996</v>
      </c>
      <c r="O806" s="8">
        <f t="array" ref="O806">INDEX(TechRate,MATCH(H806,TechNum,0))</f>
        <v>80</v>
      </c>
      <c r="P806" s="10">
        <f>WorkOrders27[[#This Row],[Techs]]*(WorkOrders27[[#This Row],[PartsCost]]*WorkOrders27[[#This Row],[LbrHrs]])</f>
        <v>21.45</v>
      </c>
      <c r="Q806" s="10">
        <f t="shared" si="69"/>
        <v>21.45</v>
      </c>
      <c r="R806" s="10">
        <f t="shared" si="70"/>
        <v>42.9</v>
      </c>
      <c r="S806" s="10">
        <f t="shared" si="71"/>
        <v>64.349999999999994</v>
      </c>
      <c r="T806" s="10">
        <f t="shared" si="72"/>
        <v>64.349999999999994</v>
      </c>
      <c r="U806" s="8" t="str">
        <f t="shared" si="73"/>
        <v>Mon</v>
      </c>
      <c r="V806" s="8" t="str">
        <f t="shared" si="73"/>
        <v>Thu</v>
      </c>
    </row>
    <row r="807" spans="1:22" x14ac:dyDescent="0.25">
      <c r="A807" t="s">
        <v>351</v>
      </c>
      <c r="B807" t="s">
        <v>40</v>
      </c>
      <c r="C807" t="s">
        <v>7</v>
      </c>
      <c r="D807" t="s">
        <v>13</v>
      </c>
      <c r="F807" s="5">
        <v>44228</v>
      </c>
      <c r="G807" s="5">
        <v>44258</v>
      </c>
      <c r="H807" s="2">
        <v>2</v>
      </c>
      <c r="I807" s="6"/>
      <c r="J807" s="6"/>
      <c r="K807" s="7">
        <v>1.5</v>
      </c>
      <c r="L807" s="7">
        <v>319.82150000000001</v>
      </c>
      <c r="M807" t="s">
        <v>17</v>
      </c>
      <c r="N807" s="16">
        <f>POWER(SQRT(WorkOrders27[[#This Row],[WorkDate]]-WorkOrders27[[#This Row],[ReqDate]]),2)</f>
        <v>30</v>
      </c>
      <c r="O807" s="8">
        <f t="array" ref="O807">INDEX(TechRate,MATCH(H807,TechNum,0))</f>
        <v>140</v>
      </c>
      <c r="P807" s="10">
        <f>WorkOrders27[[#This Row],[Techs]]*(WorkOrders27[[#This Row],[PartsCost]]*WorkOrders27[[#This Row],[LbrHrs]])</f>
        <v>959.46450000000004</v>
      </c>
      <c r="Q807" s="10">
        <f t="shared" si="69"/>
        <v>959.46450000000004</v>
      </c>
      <c r="R807" s="10">
        <f t="shared" si="70"/>
        <v>319.82150000000001</v>
      </c>
      <c r="S807" s="10">
        <f t="shared" si="71"/>
        <v>1279.2860000000001</v>
      </c>
      <c r="T807" s="10">
        <f t="shared" si="72"/>
        <v>1279.2860000000001</v>
      </c>
      <c r="U807" s="8" t="str">
        <f t="shared" si="73"/>
        <v>Mon</v>
      </c>
      <c r="V807" s="8" t="str">
        <f t="shared" si="73"/>
        <v>Wed</v>
      </c>
    </row>
    <row r="808" spans="1:22" x14ac:dyDescent="0.25">
      <c r="A808" t="s">
        <v>352</v>
      </c>
      <c r="B808" t="s">
        <v>41</v>
      </c>
      <c r="C808" t="s">
        <v>7</v>
      </c>
      <c r="D808" t="s">
        <v>12</v>
      </c>
      <c r="F808" s="5">
        <v>44228</v>
      </c>
      <c r="G808" s="5">
        <v>44266</v>
      </c>
      <c r="H808" s="2">
        <v>1</v>
      </c>
      <c r="I808" s="6"/>
      <c r="J808" s="6"/>
      <c r="K808" s="7">
        <v>0.25</v>
      </c>
      <c r="L808" s="7">
        <v>21.33</v>
      </c>
      <c r="M808" t="s">
        <v>17</v>
      </c>
      <c r="N808" s="16">
        <f>POWER(SQRT(WorkOrders27[[#This Row],[WorkDate]]-WorkOrders27[[#This Row],[ReqDate]]),2)</f>
        <v>37.999999999999993</v>
      </c>
      <c r="O808" s="8">
        <f t="array" ref="O808">INDEX(TechRate,MATCH(H808,TechNum,0))</f>
        <v>80</v>
      </c>
      <c r="P808" s="10">
        <f>WorkOrders27[[#This Row],[Techs]]*(WorkOrders27[[#This Row],[PartsCost]]*WorkOrders27[[#This Row],[LbrHrs]])</f>
        <v>5.3324999999999996</v>
      </c>
      <c r="Q808" s="10">
        <f t="shared" si="69"/>
        <v>5.3324999999999996</v>
      </c>
      <c r="R808" s="10">
        <f t="shared" si="70"/>
        <v>21.33</v>
      </c>
      <c r="S808" s="10">
        <f t="shared" si="71"/>
        <v>26.662499999999998</v>
      </c>
      <c r="T808" s="10">
        <f t="shared" si="72"/>
        <v>26.662499999999998</v>
      </c>
      <c r="U808" s="8" t="str">
        <f t="shared" si="73"/>
        <v>Mon</v>
      </c>
      <c r="V808" s="8" t="str">
        <f t="shared" si="73"/>
        <v>Thu</v>
      </c>
    </row>
    <row r="809" spans="1:22" x14ac:dyDescent="0.25">
      <c r="A809" t="s">
        <v>353</v>
      </c>
      <c r="B809" t="s">
        <v>36</v>
      </c>
      <c r="C809" t="s">
        <v>7</v>
      </c>
      <c r="D809" t="s">
        <v>12</v>
      </c>
      <c r="F809" s="5">
        <v>44229</v>
      </c>
      <c r="G809" s="5">
        <v>44229</v>
      </c>
      <c r="H809" s="2">
        <v>2</v>
      </c>
      <c r="I809" s="6"/>
      <c r="J809" s="6"/>
      <c r="K809" s="7">
        <v>0.5</v>
      </c>
      <c r="L809" s="7">
        <v>21.33</v>
      </c>
      <c r="M809" t="s">
        <v>17</v>
      </c>
      <c r="N809" s="16">
        <f>POWER(SQRT(WorkOrders27[[#This Row],[WorkDate]]-WorkOrders27[[#This Row],[ReqDate]]),2)</f>
        <v>0</v>
      </c>
      <c r="O809" s="8">
        <f t="array" ref="O809">INDEX(TechRate,MATCH(H809,TechNum,0))</f>
        <v>140</v>
      </c>
      <c r="P809" s="10">
        <f>WorkOrders27[[#This Row],[Techs]]*(WorkOrders27[[#This Row],[PartsCost]]*WorkOrders27[[#This Row],[LbrHrs]])</f>
        <v>21.33</v>
      </c>
      <c r="Q809" s="10">
        <f t="shared" si="69"/>
        <v>21.33</v>
      </c>
      <c r="R809" s="10">
        <f t="shared" si="70"/>
        <v>21.33</v>
      </c>
      <c r="S809" s="10">
        <f t="shared" si="71"/>
        <v>42.66</v>
      </c>
      <c r="T809" s="10">
        <f t="shared" si="72"/>
        <v>42.66</v>
      </c>
      <c r="U809" s="8" t="str">
        <f t="shared" si="73"/>
        <v>Tue</v>
      </c>
      <c r="V809" s="8" t="str">
        <f t="shared" si="73"/>
        <v>Tue</v>
      </c>
    </row>
    <row r="810" spans="1:22" x14ac:dyDescent="0.25">
      <c r="A810" t="s">
        <v>354</v>
      </c>
      <c r="B810" t="s">
        <v>40</v>
      </c>
      <c r="C810" t="s">
        <v>7</v>
      </c>
      <c r="D810" t="s">
        <v>13</v>
      </c>
      <c r="F810" s="5">
        <v>44229</v>
      </c>
      <c r="G810" s="5">
        <v>44236</v>
      </c>
      <c r="H810" s="2">
        <v>2</v>
      </c>
      <c r="I810" s="6"/>
      <c r="J810" s="6"/>
      <c r="K810" s="7">
        <v>0.5</v>
      </c>
      <c r="L810" s="7">
        <v>1231.2</v>
      </c>
      <c r="M810" t="s">
        <v>18</v>
      </c>
      <c r="N810" s="16">
        <f>POWER(SQRT(WorkOrders27[[#This Row],[WorkDate]]-WorkOrders27[[#This Row],[ReqDate]]),2)</f>
        <v>7.0000000000000009</v>
      </c>
      <c r="O810" s="8">
        <f t="array" ref="O810">INDEX(TechRate,MATCH(H810,TechNum,0))</f>
        <v>140</v>
      </c>
      <c r="P810" s="10">
        <f>WorkOrders27[[#This Row],[Techs]]*(WorkOrders27[[#This Row],[PartsCost]]*WorkOrders27[[#This Row],[LbrHrs]])</f>
        <v>1231.2</v>
      </c>
      <c r="Q810" s="10">
        <f t="shared" si="69"/>
        <v>1231.2</v>
      </c>
      <c r="R810" s="10">
        <f t="shared" si="70"/>
        <v>1231.2</v>
      </c>
      <c r="S810" s="10">
        <f t="shared" si="71"/>
        <v>2462.4</v>
      </c>
      <c r="T810" s="10">
        <f t="shared" si="72"/>
        <v>2462.4</v>
      </c>
      <c r="U810" s="8" t="str">
        <f t="shared" si="73"/>
        <v>Tue</v>
      </c>
      <c r="V810" s="8" t="str">
        <f t="shared" si="73"/>
        <v>Tue</v>
      </c>
    </row>
    <row r="811" spans="1:22" x14ac:dyDescent="0.25">
      <c r="A811" t="s">
        <v>355</v>
      </c>
      <c r="B811" t="s">
        <v>36</v>
      </c>
      <c r="C811" t="s">
        <v>7</v>
      </c>
      <c r="D811" t="s">
        <v>13</v>
      </c>
      <c r="F811" s="5">
        <v>44229</v>
      </c>
      <c r="G811" s="5">
        <v>44244</v>
      </c>
      <c r="H811" s="2">
        <v>2</v>
      </c>
      <c r="I811" s="6"/>
      <c r="J811" s="6"/>
      <c r="K811" s="7">
        <v>0.5</v>
      </c>
      <c r="L811" s="7">
        <v>56.496899999999997</v>
      </c>
      <c r="M811" t="s">
        <v>18</v>
      </c>
      <c r="N811" s="16">
        <f>POWER(SQRT(WorkOrders27[[#This Row],[WorkDate]]-WorkOrders27[[#This Row],[ReqDate]]),2)</f>
        <v>15.000000000000002</v>
      </c>
      <c r="O811" s="8">
        <f t="array" ref="O811">INDEX(TechRate,MATCH(H811,TechNum,0))</f>
        <v>140</v>
      </c>
      <c r="P811" s="10">
        <f>WorkOrders27[[#This Row],[Techs]]*(WorkOrders27[[#This Row],[PartsCost]]*WorkOrders27[[#This Row],[LbrHrs]])</f>
        <v>56.496899999999997</v>
      </c>
      <c r="Q811" s="10">
        <f t="shared" si="69"/>
        <v>56.496899999999997</v>
      </c>
      <c r="R811" s="10">
        <f t="shared" si="70"/>
        <v>56.496899999999997</v>
      </c>
      <c r="S811" s="10">
        <f t="shared" si="71"/>
        <v>112.99379999999999</v>
      </c>
      <c r="T811" s="10">
        <f t="shared" si="72"/>
        <v>112.99379999999999</v>
      </c>
      <c r="U811" s="8" t="str">
        <f t="shared" si="73"/>
        <v>Tue</v>
      </c>
      <c r="V811" s="8" t="str">
        <f t="shared" si="73"/>
        <v>Wed</v>
      </c>
    </row>
    <row r="812" spans="1:22" x14ac:dyDescent="0.25">
      <c r="A812" t="s">
        <v>356</v>
      </c>
      <c r="B812" t="s">
        <v>36</v>
      </c>
      <c r="C812" t="s">
        <v>7</v>
      </c>
      <c r="D812" t="s">
        <v>13</v>
      </c>
      <c r="F812" s="5">
        <v>44229</v>
      </c>
      <c r="G812" s="5">
        <v>44245</v>
      </c>
      <c r="H812" s="2">
        <v>2</v>
      </c>
      <c r="I812" s="6"/>
      <c r="J812" s="6"/>
      <c r="K812" s="7">
        <v>0.5</v>
      </c>
      <c r="L812" s="7">
        <v>269.95400000000001</v>
      </c>
      <c r="M812" t="s">
        <v>17</v>
      </c>
      <c r="N812" s="16">
        <f>POWER(SQRT(WorkOrders27[[#This Row],[WorkDate]]-WorkOrders27[[#This Row],[ReqDate]]),2)</f>
        <v>16</v>
      </c>
      <c r="O812" s="8">
        <f t="array" ref="O812">INDEX(TechRate,MATCH(H812,TechNum,0))</f>
        <v>140</v>
      </c>
      <c r="P812" s="10">
        <f>WorkOrders27[[#This Row],[Techs]]*(WorkOrders27[[#This Row],[PartsCost]]*WorkOrders27[[#This Row],[LbrHrs]])</f>
        <v>269.95400000000001</v>
      </c>
      <c r="Q812" s="10">
        <f t="shared" si="69"/>
        <v>269.95400000000001</v>
      </c>
      <c r="R812" s="10">
        <f t="shared" si="70"/>
        <v>269.95400000000001</v>
      </c>
      <c r="S812" s="10">
        <f t="shared" si="71"/>
        <v>539.90800000000002</v>
      </c>
      <c r="T812" s="10">
        <f t="shared" si="72"/>
        <v>539.90800000000002</v>
      </c>
      <c r="U812" s="8" t="str">
        <f t="shared" si="73"/>
        <v>Tue</v>
      </c>
      <c r="V812" s="8" t="str">
        <f t="shared" si="73"/>
        <v>Thu</v>
      </c>
    </row>
    <row r="813" spans="1:22" x14ac:dyDescent="0.25">
      <c r="A813" t="s">
        <v>357</v>
      </c>
      <c r="B813" t="s">
        <v>40</v>
      </c>
      <c r="C813" t="s">
        <v>7</v>
      </c>
      <c r="D813" t="s">
        <v>13</v>
      </c>
      <c r="F813" s="5">
        <v>44229</v>
      </c>
      <c r="G813" s="5">
        <v>44258</v>
      </c>
      <c r="H813" s="2">
        <v>2</v>
      </c>
      <c r="I813" s="6"/>
      <c r="J813" s="6"/>
      <c r="K813" s="7">
        <v>0.5</v>
      </c>
      <c r="L813" s="7">
        <v>83.231700000000004</v>
      </c>
      <c r="M813" t="s">
        <v>17</v>
      </c>
      <c r="N813" s="16">
        <f>POWER(SQRT(WorkOrders27[[#This Row],[WorkDate]]-WorkOrders27[[#This Row],[ReqDate]]),2)</f>
        <v>28.999999999999996</v>
      </c>
      <c r="O813" s="8">
        <f t="array" ref="O813">INDEX(TechRate,MATCH(H813,TechNum,0))</f>
        <v>140</v>
      </c>
      <c r="P813" s="10">
        <f>WorkOrders27[[#This Row],[Techs]]*(WorkOrders27[[#This Row],[PartsCost]]*WorkOrders27[[#This Row],[LbrHrs]])</f>
        <v>83.231700000000004</v>
      </c>
      <c r="Q813" s="10">
        <f t="shared" si="69"/>
        <v>83.231700000000004</v>
      </c>
      <c r="R813" s="10">
        <f t="shared" si="70"/>
        <v>83.231700000000004</v>
      </c>
      <c r="S813" s="10">
        <f t="shared" si="71"/>
        <v>166.46340000000001</v>
      </c>
      <c r="T813" s="10">
        <f t="shared" si="72"/>
        <v>166.46340000000001</v>
      </c>
      <c r="U813" s="8" t="str">
        <f t="shared" si="73"/>
        <v>Tue</v>
      </c>
      <c r="V813" s="8" t="str">
        <f t="shared" si="73"/>
        <v>Wed</v>
      </c>
    </row>
    <row r="814" spans="1:22" x14ac:dyDescent="0.25">
      <c r="A814" t="s">
        <v>358</v>
      </c>
      <c r="B814" t="s">
        <v>39</v>
      </c>
      <c r="C814" t="s">
        <v>9</v>
      </c>
      <c r="D814" t="s">
        <v>11</v>
      </c>
      <c r="F814" s="5">
        <v>44229</v>
      </c>
      <c r="G814" s="5">
        <v>44273</v>
      </c>
      <c r="H814" s="2">
        <v>1</v>
      </c>
      <c r="I814" s="6"/>
      <c r="J814" s="6"/>
      <c r="K814" s="7">
        <v>0.25</v>
      </c>
      <c r="L814" s="7">
        <v>88.624799999999993</v>
      </c>
      <c r="M814" t="s">
        <v>17</v>
      </c>
      <c r="N814" s="16">
        <f>POWER(SQRT(WorkOrders27[[#This Row],[WorkDate]]-WorkOrders27[[#This Row],[ReqDate]]),2)</f>
        <v>44</v>
      </c>
      <c r="O814" s="8">
        <f t="array" ref="O814">INDEX(TechRate,MATCH(H814,TechNum,0))</f>
        <v>80</v>
      </c>
      <c r="P814" s="10">
        <f>WorkOrders27[[#This Row],[Techs]]*(WorkOrders27[[#This Row],[PartsCost]]*WorkOrders27[[#This Row],[LbrHrs]])</f>
        <v>22.156199999999998</v>
      </c>
      <c r="Q814" s="10">
        <f t="shared" si="69"/>
        <v>22.156199999999998</v>
      </c>
      <c r="R814" s="10">
        <f t="shared" si="70"/>
        <v>88.624799999999993</v>
      </c>
      <c r="S814" s="10">
        <f t="shared" si="71"/>
        <v>110.78099999999999</v>
      </c>
      <c r="T814" s="10">
        <f t="shared" si="72"/>
        <v>110.78099999999999</v>
      </c>
      <c r="U814" s="8" t="str">
        <f t="shared" si="73"/>
        <v>Tue</v>
      </c>
      <c r="V814" s="8" t="str">
        <f t="shared" si="73"/>
        <v>Thu</v>
      </c>
    </row>
    <row r="815" spans="1:22" x14ac:dyDescent="0.25">
      <c r="A815" t="s">
        <v>359</v>
      </c>
      <c r="B815" t="s">
        <v>38</v>
      </c>
      <c r="C815" t="s">
        <v>8</v>
      </c>
      <c r="D815" t="s">
        <v>11</v>
      </c>
      <c r="F815" s="5">
        <v>44229</v>
      </c>
      <c r="G815" s="5">
        <v>44341</v>
      </c>
      <c r="H815" s="2">
        <v>1</v>
      </c>
      <c r="I815" s="6"/>
      <c r="J815" s="6"/>
      <c r="K815" s="7">
        <v>0.25</v>
      </c>
      <c r="L815" s="7">
        <v>40</v>
      </c>
      <c r="M815" t="s">
        <v>19</v>
      </c>
      <c r="N815" s="16">
        <f>POWER(SQRT(WorkOrders27[[#This Row],[WorkDate]]-WorkOrders27[[#This Row],[ReqDate]]),2)</f>
        <v>112.00000000000001</v>
      </c>
      <c r="O815" s="8">
        <f t="array" ref="O815">INDEX(TechRate,MATCH(H815,TechNum,0))</f>
        <v>80</v>
      </c>
      <c r="P815" s="10">
        <f>WorkOrders27[[#This Row],[Techs]]*(WorkOrders27[[#This Row],[PartsCost]]*WorkOrders27[[#This Row],[LbrHrs]])</f>
        <v>10</v>
      </c>
      <c r="Q815" s="10">
        <f t="shared" si="69"/>
        <v>10</v>
      </c>
      <c r="R815" s="10">
        <f t="shared" si="70"/>
        <v>40</v>
      </c>
      <c r="S815" s="10">
        <f t="shared" si="71"/>
        <v>50</v>
      </c>
      <c r="T815" s="10">
        <f t="shared" si="72"/>
        <v>50</v>
      </c>
      <c r="U815" s="8" t="str">
        <f t="shared" si="73"/>
        <v>Tue</v>
      </c>
      <c r="V815" s="8" t="str">
        <f t="shared" si="73"/>
        <v>Tue</v>
      </c>
    </row>
    <row r="816" spans="1:22" x14ac:dyDescent="0.25">
      <c r="A816" t="s">
        <v>360</v>
      </c>
      <c r="B816" t="s">
        <v>37</v>
      </c>
      <c r="C816" t="s">
        <v>43</v>
      </c>
      <c r="D816" t="s">
        <v>12</v>
      </c>
      <c r="F816" s="5">
        <v>44231</v>
      </c>
      <c r="G816" s="5">
        <v>44242</v>
      </c>
      <c r="H816" s="2">
        <v>1</v>
      </c>
      <c r="I816" s="6"/>
      <c r="J816" s="6"/>
      <c r="K816" s="7">
        <v>1.5</v>
      </c>
      <c r="L816" s="7">
        <v>33.475000000000001</v>
      </c>
      <c r="M816" t="s">
        <v>19</v>
      </c>
      <c r="N816" s="16">
        <f>POWER(SQRT(WorkOrders27[[#This Row],[WorkDate]]-WorkOrders27[[#This Row],[ReqDate]]),2)</f>
        <v>11</v>
      </c>
      <c r="O816" s="8">
        <f t="array" ref="O816">INDEX(TechRate,MATCH(H816,TechNum,0))</f>
        <v>80</v>
      </c>
      <c r="P816" s="10">
        <f>WorkOrders27[[#This Row],[Techs]]*(WorkOrders27[[#This Row],[PartsCost]]*WorkOrders27[[#This Row],[LbrHrs]])</f>
        <v>50.212500000000006</v>
      </c>
      <c r="Q816" s="10">
        <f t="shared" si="69"/>
        <v>50.212500000000006</v>
      </c>
      <c r="R816" s="10">
        <f t="shared" si="70"/>
        <v>33.475000000000001</v>
      </c>
      <c r="S816" s="10">
        <f t="shared" si="71"/>
        <v>83.6875</v>
      </c>
      <c r="T816" s="10">
        <f t="shared" si="72"/>
        <v>83.6875</v>
      </c>
      <c r="U816" s="8" t="str">
        <f t="shared" si="73"/>
        <v>Thu</v>
      </c>
      <c r="V816" s="8" t="str">
        <f t="shared" si="73"/>
        <v>Mon</v>
      </c>
    </row>
    <row r="817" spans="1:22" x14ac:dyDescent="0.25">
      <c r="A817" t="s">
        <v>361</v>
      </c>
      <c r="B817" t="s">
        <v>38</v>
      </c>
      <c r="C817" t="s">
        <v>9</v>
      </c>
      <c r="D817" t="s">
        <v>12</v>
      </c>
      <c r="F817" s="5">
        <v>44231</v>
      </c>
      <c r="G817" s="5">
        <v>44247</v>
      </c>
      <c r="H817" s="2">
        <v>2</v>
      </c>
      <c r="I817" s="6"/>
      <c r="J817" s="6"/>
      <c r="K817" s="7">
        <v>0.25</v>
      </c>
      <c r="L817" s="7">
        <v>33.8611</v>
      </c>
      <c r="M817" t="s">
        <v>17</v>
      </c>
      <c r="N817" s="16">
        <f>POWER(SQRT(WorkOrders27[[#This Row],[WorkDate]]-WorkOrders27[[#This Row],[ReqDate]]),2)</f>
        <v>16</v>
      </c>
      <c r="O817" s="8">
        <f t="array" ref="O817">INDEX(TechRate,MATCH(H817,TechNum,0))</f>
        <v>140</v>
      </c>
      <c r="P817" s="10">
        <f>WorkOrders27[[#This Row],[Techs]]*(WorkOrders27[[#This Row],[PartsCost]]*WorkOrders27[[#This Row],[LbrHrs]])</f>
        <v>16.93055</v>
      </c>
      <c r="Q817" s="10">
        <f t="shared" si="69"/>
        <v>16.93055</v>
      </c>
      <c r="R817" s="10">
        <f t="shared" si="70"/>
        <v>33.8611</v>
      </c>
      <c r="S817" s="10">
        <f t="shared" si="71"/>
        <v>50.791650000000004</v>
      </c>
      <c r="T817" s="10">
        <f t="shared" si="72"/>
        <v>50.791650000000004</v>
      </c>
      <c r="U817" s="8" t="str">
        <f t="shared" si="73"/>
        <v>Thu</v>
      </c>
      <c r="V817" s="8" t="str">
        <f t="shared" si="73"/>
        <v>Sat</v>
      </c>
    </row>
    <row r="818" spans="1:22" x14ac:dyDescent="0.25">
      <c r="A818" t="s">
        <v>362</v>
      </c>
      <c r="B818" t="s">
        <v>37</v>
      </c>
      <c r="C818" t="s">
        <v>43</v>
      </c>
      <c r="D818" t="s">
        <v>11</v>
      </c>
      <c r="F818" s="5">
        <v>44231</v>
      </c>
      <c r="G818" s="5">
        <v>44250</v>
      </c>
      <c r="H818" s="2">
        <v>1</v>
      </c>
      <c r="I818" s="6"/>
      <c r="J818" s="6"/>
      <c r="K818" s="7">
        <v>0.25</v>
      </c>
      <c r="L818" s="7">
        <v>33.957900000000002</v>
      </c>
      <c r="M818" t="s">
        <v>17</v>
      </c>
      <c r="N818" s="16">
        <f>POWER(SQRT(WorkOrders27[[#This Row],[WorkDate]]-WorkOrders27[[#This Row],[ReqDate]]),2)</f>
        <v>19.000000000000004</v>
      </c>
      <c r="O818" s="8">
        <f t="array" ref="O818">INDEX(TechRate,MATCH(H818,TechNum,0))</f>
        <v>80</v>
      </c>
      <c r="P818" s="10">
        <f>WorkOrders27[[#This Row],[Techs]]*(WorkOrders27[[#This Row],[PartsCost]]*WorkOrders27[[#This Row],[LbrHrs]])</f>
        <v>8.4894750000000005</v>
      </c>
      <c r="Q818" s="10">
        <f t="shared" si="69"/>
        <v>8.4894750000000005</v>
      </c>
      <c r="R818" s="10">
        <f t="shared" si="70"/>
        <v>33.957900000000002</v>
      </c>
      <c r="S818" s="10">
        <f t="shared" si="71"/>
        <v>42.447375000000001</v>
      </c>
      <c r="T818" s="10">
        <f t="shared" si="72"/>
        <v>42.447375000000001</v>
      </c>
      <c r="U818" s="8" t="str">
        <f t="shared" si="73"/>
        <v>Thu</v>
      </c>
      <c r="V818" s="8" t="str">
        <f t="shared" si="73"/>
        <v>Tue</v>
      </c>
    </row>
    <row r="819" spans="1:22" x14ac:dyDescent="0.25">
      <c r="A819" t="s">
        <v>363</v>
      </c>
      <c r="B819" t="s">
        <v>38</v>
      </c>
      <c r="C819" t="s">
        <v>8</v>
      </c>
      <c r="D819" t="s">
        <v>12</v>
      </c>
      <c r="F819" s="5">
        <v>44231</v>
      </c>
      <c r="G819" s="5">
        <v>44260</v>
      </c>
      <c r="H819" s="2">
        <v>1</v>
      </c>
      <c r="I819" s="6"/>
      <c r="J819" s="6"/>
      <c r="K819" s="7">
        <v>0.5</v>
      </c>
      <c r="L819" s="7">
        <v>36.890099999999997</v>
      </c>
      <c r="M819" t="s">
        <v>18</v>
      </c>
      <c r="N819" s="16">
        <f>POWER(SQRT(WorkOrders27[[#This Row],[WorkDate]]-WorkOrders27[[#This Row],[ReqDate]]),2)</f>
        <v>28.999999999999996</v>
      </c>
      <c r="O819" s="8">
        <f t="array" ref="O819">INDEX(TechRate,MATCH(H819,TechNum,0))</f>
        <v>80</v>
      </c>
      <c r="P819" s="10">
        <f>WorkOrders27[[#This Row],[Techs]]*(WorkOrders27[[#This Row],[PartsCost]]*WorkOrders27[[#This Row],[LbrHrs]])</f>
        <v>18.445049999999998</v>
      </c>
      <c r="Q819" s="10">
        <f t="shared" si="69"/>
        <v>18.445049999999998</v>
      </c>
      <c r="R819" s="10">
        <f t="shared" si="70"/>
        <v>36.890099999999997</v>
      </c>
      <c r="S819" s="10">
        <f t="shared" si="71"/>
        <v>55.335149999999999</v>
      </c>
      <c r="T819" s="10">
        <f t="shared" si="72"/>
        <v>55.335149999999999</v>
      </c>
      <c r="U819" s="8" t="str">
        <f t="shared" si="73"/>
        <v>Thu</v>
      </c>
      <c r="V819" s="8" t="str">
        <f t="shared" si="73"/>
        <v>Fri</v>
      </c>
    </row>
    <row r="820" spans="1:22" x14ac:dyDescent="0.25">
      <c r="A820" t="s">
        <v>364</v>
      </c>
      <c r="B820" t="s">
        <v>39</v>
      </c>
      <c r="C820" t="s">
        <v>8</v>
      </c>
      <c r="D820" t="s">
        <v>12</v>
      </c>
      <c r="F820" s="5">
        <v>44231</v>
      </c>
      <c r="G820" s="5">
        <v>44264</v>
      </c>
      <c r="H820" s="2">
        <v>1</v>
      </c>
      <c r="I820" s="6"/>
      <c r="J820" s="6"/>
      <c r="K820" s="7">
        <v>0.5</v>
      </c>
      <c r="L820" s="7">
        <v>25.339500000000001</v>
      </c>
      <c r="M820" t="s">
        <v>18</v>
      </c>
      <c r="N820" s="16">
        <f>POWER(SQRT(WorkOrders27[[#This Row],[WorkDate]]-WorkOrders27[[#This Row],[ReqDate]]),2)</f>
        <v>33</v>
      </c>
      <c r="O820" s="8">
        <f t="array" ref="O820">INDEX(TechRate,MATCH(H820,TechNum,0))</f>
        <v>80</v>
      </c>
      <c r="P820" s="10">
        <f>WorkOrders27[[#This Row],[Techs]]*(WorkOrders27[[#This Row],[PartsCost]]*WorkOrders27[[#This Row],[LbrHrs]])</f>
        <v>12.669750000000001</v>
      </c>
      <c r="Q820" s="10">
        <f t="shared" si="69"/>
        <v>12.669750000000001</v>
      </c>
      <c r="R820" s="10">
        <f t="shared" si="70"/>
        <v>25.339500000000001</v>
      </c>
      <c r="S820" s="10">
        <f t="shared" si="71"/>
        <v>38.009250000000002</v>
      </c>
      <c r="T820" s="10">
        <f t="shared" si="72"/>
        <v>38.009250000000002</v>
      </c>
      <c r="U820" s="8" t="str">
        <f t="shared" si="73"/>
        <v>Thu</v>
      </c>
      <c r="V820" s="8" t="str">
        <f t="shared" si="73"/>
        <v>Tue</v>
      </c>
    </row>
    <row r="821" spans="1:22" x14ac:dyDescent="0.25">
      <c r="A821" t="s">
        <v>365</v>
      </c>
      <c r="B821" t="s">
        <v>41</v>
      </c>
      <c r="C821" t="s">
        <v>7</v>
      </c>
      <c r="D821" t="s">
        <v>11</v>
      </c>
      <c r="F821" s="5">
        <v>44231</v>
      </c>
      <c r="G821" s="5">
        <v>44270</v>
      </c>
      <c r="H821" s="2">
        <v>1</v>
      </c>
      <c r="I821" s="6"/>
      <c r="J821" s="6"/>
      <c r="K821" s="7">
        <v>0.25</v>
      </c>
      <c r="L821" s="7">
        <v>30</v>
      </c>
      <c r="M821" t="s">
        <v>17</v>
      </c>
      <c r="N821" s="16">
        <f>POWER(SQRT(WorkOrders27[[#This Row],[WorkDate]]-WorkOrders27[[#This Row],[ReqDate]]),2)</f>
        <v>39</v>
      </c>
      <c r="O821" s="8">
        <f t="array" ref="O821">INDEX(TechRate,MATCH(H821,TechNum,0))</f>
        <v>80</v>
      </c>
      <c r="P821" s="10">
        <f>WorkOrders27[[#This Row],[Techs]]*(WorkOrders27[[#This Row],[PartsCost]]*WorkOrders27[[#This Row],[LbrHrs]])</f>
        <v>7.5</v>
      </c>
      <c r="Q821" s="10">
        <f t="shared" si="69"/>
        <v>7.5</v>
      </c>
      <c r="R821" s="10">
        <f t="shared" si="70"/>
        <v>30</v>
      </c>
      <c r="S821" s="10">
        <f t="shared" si="71"/>
        <v>37.5</v>
      </c>
      <c r="T821" s="10">
        <f t="shared" si="72"/>
        <v>37.5</v>
      </c>
      <c r="U821" s="8" t="str">
        <f t="shared" si="73"/>
        <v>Thu</v>
      </c>
      <c r="V821" s="8" t="str">
        <f t="shared" si="73"/>
        <v>Mon</v>
      </c>
    </row>
    <row r="822" spans="1:22" x14ac:dyDescent="0.25">
      <c r="A822" t="s">
        <v>366</v>
      </c>
      <c r="B822" t="s">
        <v>39</v>
      </c>
      <c r="C822" t="s">
        <v>9</v>
      </c>
      <c r="D822" t="s">
        <v>12</v>
      </c>
      <c r="E822" t="s">
        <v>3</v>
      </c>
      <c r="F822" s="5">
        <v>44232</v>
      </c>
      <c r="G822" s="5">
        <v>44268</v>
      </c>
      <c r="H822" s="2">
        <v>1</v>
      </c>
      <c r="I822" s="6"/>
      <c r="J822" s="6"/>
      <c r="K822" s="7">
        <v>0.5</v>
      </c>
      <c r="L822" s="7">
        <v>31.807600000000001</v>
      </c>
      <c r="M822" t="s">
        <v>17</v>
      </c>
      <c r="N822" s="16">
        <f>POWER(SQRT(WorkOrders27[[#This Row],[WorkDate]]-WorkOrders27[[#This Row],[ReqDate]]),2)</f>
        <v>36</v>
      </c>
      <c r="O822" s="8">
        <f t="array" ref="O822">INDEX(TechRate,MATCH(H822,TechNum,0))</f>
        <v>80</v>
      </c>
      <c r="P822" s="10">
        <f>WorkOrders27[[#This Row],[Techs]]*(WorkOrders27[[#This Row],[PartsCost]]*WorkOrders27[[#This Row],[LbrHrs]])</f>
        <v>15.9038</v>
      </c>
      <c r="Q822" s="10">
        <f t="shared" si="69"/>
        <v>15.9038</v>
      </c>
      <c r="R822" s="10">
        <f t="shared" si="70"/>
        <v>31.807600000000001</v>
      </c>
      <c r="S822" s="10">
        <f t="shared" si="71"/>
        <v>47.711399999999998</v>
      </c>
      <c r="T822" s="10">
        <f t="shared" si="72"/>
        <v>47.711399999999998</v>
      </c>
      <c r="U822" s="8" t="str">
        <f t="shared" si="73"/>
        <v>Fri</v>
      </c>
      <c r="V822" s="8" t="str">
        <f t="shared" si="73"/>
        <v>Sat</v>
      </c>
    </row>
    <row r="823" spans="1:22" x14ac:dyDescent="0.25">
      <c r="A823" t="s">
        <v>367</v>
      </c>
      <c r="B823" t="s">
        <v>35</v>
      </c>
      <c r="C823" t="s">
        <v>8</v>
      </c>
      <c r="D823" t="s">
        <v>13</v>
      </c>
      <c r="E823" t="s">
        <v>3</v>
      </c>
      <c r="F823" s="5">
        <v>44232</v>
      </c>
      <c r="G823" s="5">
        <v>44377</v>
      </c>
      <c r="H823" s="2">
        <v>1</v>
      </c>
      <c r="I823" s="6"/>
      <c r="J823" s="6"/>
      <c r="K823" s="7">
        <v>0.5</v>
      </c>
      <c r="L823" s="7">
        <v>61.17</v>
      </c>
      <c r="M823" t="s">
        <v>19</v>
      </c>
      <c r="N823" s="16">
        <f>POWER(SQRT(WorkOrders27[[#This Row],[WorkDate]]-WorkOrders27[[#This Row],[ReqDate]]),2)</f>
        <v>145</v>
      </c>
      <c r="O823" s="8">
        <f t="array" ref="O823">INDEX(TechRate,MATCH(H823,TechNum,0))</f>
        <v>80</v>
      </c>
      <c r="P823" s="10">
        <f>WorkOrders27[[#This Row],[Techs]]*(WorkOrders27[[#This Row],[PartsCost]]*WorkOrders27[[#This Row],[LbrHrs]])</f>
        <v>30.585000000000001</v>
      </c>
      <c r="Q823" s="10">
        <f t="shared" ref="Q823:Q886" si="74">IF(I823="Yes",0,P823)</f>
        <v>30.585000000000001</v>
      </c>
      <c r="R823" s="10">
        <f t="shared" ref="R823:R886" si="75">IF(J823="Yes",0,L823)</f>
        <v>61.17</v>
      </c>
      <c r="S823" s="10">
        <f t="shared" ref="S823:S886" si="76">SUM(L823,P823)</f>
        <v>91.754999999999995</v>
      </c>
      <c r="T823" s="10">
        <f t="shared" ref="T823:T886" si="77">SUM(Q823,R823)</f>
        <v>91.754999999999995</v>
      </c>
      <c r="U823" s="8" t="str">
        <f t="shared" si="73"/>
        <v>Fri</v>
      </c>
      <c r="V823" s="8" t="str">
        <f t="shared" si="73"/>
        <v>Wed</v>
      </c>
    </row>
    <row r="824" spans="1:22" x14ac:dyDescent="0.25">
      <c r="A824" t="s">
        <v>368</v>
      </c>
      <c r="B824" t="s">
        <v>38</v>
      </c>
      <c r="C824" t="s">
        <v>8</v>
      </c>
      <c r="D824" t="s">
        <v>12</v>
      </c>
      <c r="F824" s="5">
        <v>44233</v>
      </c>
      <c r="G824" s="5">
        <v>44278</v>
      </c>
      <c r="H824" s="2">
        <v>1</v>
      </c>
      <c r="I824" s="6"/>
      <c r="J824" s="6"/>
      <c r="K824" s="7">
        <v>0.5</v>
      </c>
      <c r="L824" s="7">
        <v>15.542999999999999</v>
      </c>
      <c r="M824" t="s">
        <v>19</v>
      </c>
      <c r="N824" s="16">
        <f>POWER(SQRT(WorkOrders27[[#This Row],[WorkDate]]-WorkOrders27[[#This Row],[ReqDate]]),2)</f>
        <v>45.000000000000007</v>
      </c>
      <c r="O824" s="8">
        <f t="array" ref="O824">INDEX(TechRate,MATCH(H824,TechNum,0))</f>
        <v>80</v>
      </c>
      <c r="P824" s="10">
        <f>WorkOrders27[[#This Row],[Techs]]*(WorkOrders27[[#This Row],[PartsCost]]*WorkOrders27[[#This Row],[LbrHrs]])</f>
        <v>7.7714999999999996</v>
      </c>
      <c r="Q824" s="10">
        <f t="shared" si="74"/>
        <v>7.7714999999999996</v>
      </c>
      <c r="R824" s="10">
        <f t="shared" si="75"/>
        <v>15.542999999999999</v>
      </c>
      <c r="S824" s="10">
        <f t="shared" si="76"/>
        <v>23.314499999999999</v>
      </c>
      <c r="T824" s="10">
        <f t="shared" si="77"/>
        <v>23.314499999999999</v>
      </c>
      <c r="U824" s="8" t="str">
        <f t="shared" si="73"/>
        <v>Sat</v>
      </c>
      <c r="V824" s="8" t="str">
        <f t="shared" si="73"/>
        <v>Tue</v>
      </c>
    </row>
    <row r="825" spans="1:22" x14ac:dyDescent="0.25">
      <c r="A825" t="s">
        <v>369</v>
      </c>
      <c r="B825" t="s">
        <v>38</v>
      </c>
      <c r="C825" t="s">
        <v>8</v>
      </c>
      <c r="D825" t="s">
        <v>11</v>
      </c>
      <c r="F825" s="5">
        <v>44233</v>
      </c>
      <c r="G825" s="5">
        <v>44286</v>
      </c>
      <c r="H825" s="2">
        <v>1</v>
      </c>
      <c r="I825" s="6"/>
      <c r="J825" s="6"/>
      <c r="K825" s="7">
        <v>0.25</v>
      </c>
      <c r="L825" s="7">
        <v>72.350099999999998</v>
      </c>
      <c r="M825" t="s">
        <v>17</v>
      </c>
      <c r="N825" s="16">
        <f>POWER(SQRT(WorkOrders27[[#This Row],[WorkDate]]-WorkOrders27[[#This Row],[ReqDate]]),2)</f>
        <v>53</v>
      </c>
      <c r="O825" s="8">
        <f t="array" ref="O825">INDEX(TechRate,MATCH(H825,TechNum,0))</f>
        <v>80</v>
      </c>
      <c r="P825" s="10">
        <f>WorkOrders27[[#This Row],[Techs]]*(WorkOrders27[[#This Row],[PartsCost]]*WorkOrders27[[#This Row],[LbrHrs]])</f>
        <v>18.087524999999999</v>
      </c>
      <c r="Q825" s="10">
        <f t="shared" si="74"/>
        <v>18.087524999999999</v>
      </c>
      <c r="R825" s="10">
        <f t="shared" si="75"/>
        <v>72.350099999999998</v>
      </c>
      <c r="S825" s="10">
        <f t="shared" si="76"/>
        <v>90.437624999999997</v>
      </c>
      <c r="T825" s="10">
        <f t="shared" si="77"/>
        <v>90.437624999999997</v>
      </c>
      <c r="U825" s="8" t="str">
        <f t="shared" si="73"/>
        <v>Sat</v>
      </c>
      <c r="V825" s="8" t="str">
        <f t="shared" si="73"/>
        <v>Wed</v>
      </c>
    </row>
    <row r="826" spans="1:22" x14ac:dyDescent="0.25">
      <c r="A826" t="s">
        <v>370</v>
      </c>
      <c r="B826" t="s">
        <v>36</v>
      </c>
      <c r="C826" t="s">
        <v>7</v>
      </c>
      <c r="D826" t="s">
        <v>11</v>
      </c>
      <c r="E826" t="s">
        <v>3</v>
      </c>
      <c r="F826" s="5">
        <v>44235</v>
      </c>
      <c r="G826" s="5">
        <v>44246</v>
      </c>
      <c r="H826" s="2">
        <v>1</v>
      </c>
      <c r="I826" s="6"/>
      <c r="J826" s="6"/>
      <c r="K826" s="7">
        <v>0.25</v>
      </c>
      <c r="L826" s="7">
        <v>96.714699999999993</v>
      </c>
      <c r="M826" t="s">
        <v>17</v>
      </c>
      <c r="N826" s="16">
        <f>POWER(SQRT(WorkOrders27[[#This Row],[WorkDate]]-WorkOrders27[[#This Row],[ReqDate]]),2)</f>
        <v>11</v>
      </c>
      <c r="O826" s="8">
        <f t="array" ref="O826">INDEX(TechRate,MATCH(H826,TechNum,0))</f>
        <v>80</v>
      </c>
      <c r="P826" s="10">
        <f>WorkOrders27[[#This Row],[Techs]]*(WorkOrders27[[#This Row],[PartsCost]]*WorkOrders27[[#This Row],[LbrHrs]])</f>
        <v>24.178674999999998</v>
      </c>
      <c r="Q826" s="10">
        <f t="shared" si="74"/>
        <v>24.178674999999998</v>
      </c>
      <c r="R826" s="10">
        <f t="shared" si="75"/>
        <v>96.714699999999993</v>
      </c>
      <c r="S826" s="10">
        <f t="shared" si="76"/>
        <v>120.89337499999999</v>
      </c>
      <c r="T826" s="10">
        <f t="shared" si="77"/>
        <v>120.89337499999999</v>
      </c>
      <c r="U826" s="8" t="str">
        <f t="shared" si="73"/>
        <v>Mon</v>
      </c>
      <c r="V826" s="8" t="str">
        <f t="shared" si="73"/>
        <v>Fri</v>
      </c>
    </row>
    <row r="827" spans="1:22" x14ac:dyDescent="0.25">
      <c r="A827" t="s">
        <v>371</v>
      </c>
      <c r="B827" t="s">
        <v>35</v>
      </c>
      <c r="C827" t="s">
        <v>44</v>
      </c>
      <c r="D827" t="s">
        <v>13</v>
      </c>
      <c r="F827" s="5">
        <v>44235</v>
      </c>
      <c r="G827" s="5">
        <v>44243</v>
      </c>
      <c r="H827" s="2">
        <v>1</v>
      </c>
      <c r="I827" s="6"/>
      <c r="J827" s="6"/>
      <c r="K827" s="7">
        <v>0.5</v>
      </c>
      <c r="L827" s="7">
        <v>207.89859999999999</v>
      </c>
      <c r="M827" t="s">
        <v>18</v>
      </c>
      <c r="N827" s="16">
        <f>POWER(SQRT(WorkOrders27[[#This Row],[WorkDate]]-WorkOrders27[[#This Row],[ReqDate]]),2)</f>
        <v>8.0000000000000018</v>
      </c>
      <c r="O827" s="8">
        <f t="array" ref="O827">INDEX(TechRate,MATCH(H827,TechNum,0))</f>
        <v>80</v>
      </c>
      <c r="P827" s="10">
        <f>WorkOrders27[[#This Row],[Techs]]*(WorkOrders27[[#This Row],[PartsCost]]*WorkOrders27[[#This Row],[LbrHrs]])</f>
        <v>103.94929999999999</v>
      </c>
      <c r="Q827" s="10">
        <f t="shared" si="74"/>
        <v>103.94929999999999</v>
      </c>
      <c r="R827" s="10">
        <f t="shared" si="75"/>
        <v>207.89859999999999</v>
      </c>
      <c r="S827" s="10">
        <f t="shared" si="76"/>
        <v>311.84789999999998</v>
      </c>
      <c r="T827" s="10">
        <f t="shared" si="77"/>
        <v>311.84789999999998</v>
      </c>
      <c r="U827" s="8" t="str">
        <f t="shared" si="73"/>
        <v>Mon</v>
      </c>
      <c r="V827" s="8" t="str">
        <f t="shared" si="73"/>
        <v>Tue</v>
      </c>
    </row>
    <row r="828" spans="1:22" x14ac:dyDescent="0.25">
      <c r="A828" t="s">
        <v>372</v>
      </c>
      <c r="B828" t="s">
        <v>37</v>
      </c>
      <c r="C828" t="s">
        <v>43</v>
      </c>
      <c r="D828" t="s">
        <v>1</v>
      </c>
      <c r="F828" s="5">
        <v>44235</v>
      </c>
      <c r="G828" s="5">
        <v>44245</v>
      </c>
      <c r="H828" s="2">
        <v>3</v>
      </c>
      <c r="I828" s="6"/>
      <c r="J828" s="6"/>
      <c r="K828" s="7">
        <v>3.5</v>
      </c>
      <c r="L828" s="7">
        <v>821.87300000000005</v>
      </c>
      <c r="M828" t="s">
        <v>17</v>
      </c>
      <c r="N828" s="16">
        <f>POWER(SQRT(WorkOrders27[[#This Row],[WorkDate]]-WorkOrders27[[#This Row],[ReqDate]]),2)</f>
        <v>10.000000000000002</v>
      </c>
      <c r="O828" s="8">
        <f t="array" ref="O828">INDEX(TechRate,MATCH(H828,TechNum,0))</f>
        <v>195</v>
      </c>
      <c r="P828" s="10">
        <f>WorkOrders27[[#This Row],[Techs]]*(WorkOrders27[[#This Row],[PartsCost]]*WorkOrders27[[#This Row],[LbrHrs]])</f>
        <v>8629.6665000000012</v>
      </c>
      <c r="Q828" s="10">
        <f t="shared" si="74"/>
        <v>8629.6665000000012</v>
      </c>
      <c r="R828" s="10">
        <f t="shared" si="75"/>
        <v>821.87300000000005</v>
      </c>
      <c r="S828" s="10">
        <f t="shared" si="76"/>
        <v>9451.5395000000008</v>
      </c>
      <c r="T828" s="10">
        <f t="shared" si="77"/>
        <v>9451.5395000000008</v>
      </c>
      <c r="U828" s="8" t="str">
        <f t="shared" si="73"/>
        <v>Mon</v>
      </c>
      <c r="V828" s="8" t="str">
        <f t="shared" si="73"/>
        <v>Thu</v>
      </c>
    </row>
    <row r="829" spans="1:22" x14ac:dyDescent="0.25">
      <c r="A829" t="s">
        <v>373</v>
      </c>
      <c r="B829" t="s">
        <v>36</v>
      </c>
      <c r="C829" t="s">
        <v>7</v>
      </c>
      <c r="D829" t="s">
        <v>2</v>
      </c>
      <c r="F829" s="5">
        <v>44235</v>
      </c>
      <c r="G829" s="5">
        <v>44249</v>
      </c>
      <c r="H829" s="2">
        <v>2</v>
      </c>
      <c r="I829" s="6"/>
      <c r="J829" s="6"/>
      <c r="K829" s="7">
        <v>1</v>
      </c>
      <c r="L829" s="7">
        <v>118.55840000000001</v>
      </c>
      <c r="M829" t="s">
        <v>17</v>
      </c>
      <c r="N829" s="16">
        <f>POWER(SQRT(WorkOrders27[[#This Row],[WorkDate]]-WorkOrders27[[#This Row],[ReqDate]]),2)</f>
        <v>14</v>
      </c>
      <c r="O829" s="8">
        <f t="array" ref="O829">INDEX(TechRate,MATCH(H829,TechNum,0))</f>
        <v>140</v>
      </c>
      <c r="P829" s="10">
        <f>WorkOrders27[[#This Row],[Techs]]*(WorkOrders27[[#This Row],[PartsCost]]*WorkOrders27[[#This Row],[LbrHrs]])</f>
        <v>237.11680000000001</v>
      </c>
      <c r="Q829" s="10">
        <f t="shared" si="74"/>
        <v>237.11680000000001</v>
      </c>
      <c r="R829" s="10">
        <f t="shared" si="75"/>
        <v>118.55840000000001</v>
      </c>
      <c r="S829" s="10">
        <f t="shared" si="76"/>
        <v>355.67520000000002</v>
      </c>
      <c r="T829" s="10">
        <f t="shared" si="77"/>
        <v>355.67520000000002</v>
      </c>
      <c r="U829" s="8" t="str">
        <f t="shared" si="73"/>
        <v>Mon</v>
      </c>
      <c r="V829" s="8" t="str">
        <f t="shared" si="73"/>
        <v>Mon</v>
      </c>
    </row>
    <row r="830" spans="1:22" x14ac:dyDescent="0.25">
      <c r="A830" t="s">
        <v>374</v>
      </c>
      <c r="B830" t="s">
        <v>35</v>
      </c>
      <c r="C830" t="s">
        <v>44</v>
      </c>
      <c r="D830" t="s">
        <v>12</v>
      </c>
      <c r="E830" t="s">
        <v>3</v>
      </c>
      <c r="F830" s="5">
        <v>44236</v>
      </c>
      <c r="G830" s="5">
        <v>44237</v>
      </c>
      <c r="H830" s="2">
        <v>1</v>
      </c>
      <c r="I830" s="6"/>
      <c r="J830" s="6"/>
      <c r="K830" s="7">
        <v>0.25</v>
      </c>
      <c r="L830" s="7">
        <v>54.463700000000003</v>
      </c>
      <c r="M830" t="s">
        <v>19</v>
      </c>
      <c r="N830" s="16">
        <f>POWER(SQRT(WorkOrders27[[#This Row],[WorkDate]]-WorkOrders27[[#This Row],[ReqDate]]),2)</f>
        <v>1</v>
      </c>
      <c r="O830" s="8">
        <f t="array" ref="O830">INDEX(TechRate,MATCH(H830,TechNum,0))</f>
        <v>80</v>
      </c>
      <c r="P830" s="10">
        <f>WorkOrders27[[#This Row],[Techs]]*(WorkOrders27[[#This Row],[PartsCost]]*WorkOrders27[[#This Row],[LbrHrs]])</f>
        <v>13.615925000000001</v>
      </c>
      <c r="Q830" s="10">
        <f t="shared" si="74"/>
        <v>13.615925000000001</v>
      </c>
      <c r="R830" s="10">
        <f t="shared" si="75"/>
        <v>54.463700000000003</v>
      </c>
      <c r="S830" s="10">
        <f t="shared" si="76"/>
        <v>68.079625000000007</v>
      </c>
      <c r="T830" s="10">
        <f t="shared" si="77"/>
        <v>68.079625000000007</v>
      </c>
      <c r="U830" s="8" t="str">
        <f t="shared" si="73"/>
        <v>Tue</v>
      </c>
      <c r="V830" s="8" t="str">
        <f t="shared" si="73"/>
        <v>Wed</v>
      </c>
    </row>
    <row r="831" spans="1:22" x14ac:dyDescent="0.25">
      <c r="A831" t="s">
        <v>375</v>
      </c>
      <c r="B831" t="s">
        <v>36</v>
      </c>
      <c r="C831" t="s">
        <v>7</v>
      </c>
      <c r="D831" t="s">
        <v>12</v>
      </c>
      <c r="F831" s="5">
        <v>44236</v>
      </c>
      <c r="G831" s="5">
        <v>44249</v>
      </c>
      <c r="H831" s="2">
        <v>2</v>
      </c>
      <c r="I831" s="6"/>
      <c r="J831" s="6"/>
      <c r="K831" s="7">
        <v>0.25</v>
      </c>
      <c r="L831" s="7">
        <v>83.441299999999998</v>
      </c>
      <c r="M831" t="s">
        <v>17</v>
      </c>
      <c r="N831" s="16">
        <f>POWER(SQRT(WorkOrders27[[#This Row],[WorkDate]]-WorkOrders27[[#This Row],[ReqDate]]),2)</f>
        <v>12.999999999999998</v>
      </c>
      <c r="O831" s="8">
        <f t="array" ref="O831">INDEX(TechRate,MATCH(H831,TechNum,0))</f>
        <v>140</v>
      </c>
      <c r="P831" s="10">
        <f>WorkOrders27[[#This Row],[Techs]]*(WorkOrders27[[#This Row],[PartsCost]]*WorkOrders27[[#This Row],[LbrHrs]])</f>
        <v>41.720649999999999</v>
      </c>
      <c r="Q831" s="10">
        <f t="shared" si="74"/>
        <v>41.720649999999999</v>
      </c>
      <c r="R831" s="10">
        <f t="shared" si="75"/>
        <v>83.441299999999998</v>
      </c>
      <c r="S831" s="10">
        <f t="shared" si="76"/>
        <v>125.16194999999999</v>
      </c>
      <c r="T831" s="10">
        <f t="shared" si="77"/>
        <v>125.16194999999999</v>
      </c>
      <c r="U831" s="8" t="str">
        <f t="shared" si="73"/>
        <v>Tue</v>
      </c>
      <c r="V831" s="8" t="str">
        <f t="shared" si="73"/>
        <v>Mon</v>
      </c>
    </row>
    <row r="832" spans="1:22" x14ac:dyDescent="0.25">
      <c r="A832" t="s">
        <v>376</v>
      </c>
      <c r="B832" t="s">
        <v>36</v>
      </c>
      <c r="C832" t="s">
        <v>7</v>
      </c>
      <c r="D832" t="s">
        <v>12</v>
      </c>
      <c r="F832" s="5">
        <v>44236</v>
      </c>
      <c r="G832" s="5">
        <v>44251</v>
      </c>
      <c r="H832" s="2">
        <v>2</v>
      </c>
      <c r="I832" s="6"/>
      <c r="J832" s="6"/>
      <c r="K832" s="7">
        <v>0.75</v>
      </c>
      <c r="L832" s="7">
        <v>36</v>
      </c>
      <c r="M832" t="s">
        <v>17</v>
      </c>
      <c r="N832" s="16">
        <f>POWER(SQRT(WorkOrders27[[#This Row],[WorkDate]]-WorkOrders27[[#This Row],[ReqDate]]),2)</f>
        <v>15.000000000000002</v>
      </c>
      <c r="O832" s="8">
        <f t="array" ref="O832">INDEX(TechRate,MATCH(H832,TechNum,0))</f>
        <v>140</v>
      </c>
      <c r="P832" s="10">
        <f>WorkOrders27[[#This Row],[Techs]]*(WorkOrders27[[#This Row],[PartsCost]]*WorkOrders27[[#This Row],[LbrHrs]])</f>
        <v>54</v>
      </c>
      <c r="Q832" s="10">
        <f t="shared" si="74"/>
        <v>54</v>
      </c>
      <c r="R832" s="10">
        <f t="shared" si="75"/>
        <v>36</v>
      </c>
      <c r="S832" s="10">
        <f t="shared" si="76"/>
        <v>90</v>
      </c>
      <c r="T832" s="10">
        <f t="shared" si="77"/>
        <v>90</v>
      </c>
      <c r="U832" s="8" t="str">
        <f t="shared" si="73"/>
        <v>Tue</v>
      </c>
      <c r="V832" s="8" t="str">
        <f t="shared" si="73"/>
        <v>Wed</v>
      </c>
    </row>
    <row r="833" spans="1:22" x14ac:dyDescent="0.25">
      <c r="A833" t="s">
        <v>377</v>
      </c>
      <c r="B833" t="s">
        <v>37</v>
      </c>
      <c r="C833" t="s">
        <v>43</v>
      </c>
      <c r="D833" t="s">
        <v>13</v>
      </c>
      <c r="F833" s="5">
        <v>44236</v>
      </c>
      <c r="G833" s="5">
        <v>44299</v>
      </c>
      <c r="H833" s="2">
        <v>1</v>
      </c>
      <c r="I833" s="6"/>
      <c r="J833" s="6"/>
      <c r="K833" s="7">
        <v>0.5</v>
      </c>
      <c r="L833" s="7">
        <v>53.43</v>
      </c>
      <c r="M833" t="s">
        <v>17</v>
      </c>
      <c r="N833" s="16">
        <f>POWER(SQRT(WorkOrders27[[#This Row],[WorkDate]]-WorkOrders27[[#This Row],[ReqDate]]),2)</f>
        <v>63.000000000000007</v>
      </c>
      <c r="O833" s="8">
        <f t="array" ref="O833">INDEX(TechRate,MATCH(H833,TechNum,0))</f>
        <v>80</v>
      </c>
      <c r="P833" s="10">
        <f>WorkOrders27[[#This Row],[Techs]]*(WorkOrders27[[#This Row],[PartsCost]]*WorkOrders27[[#This Row],[LbrHrs]])</f>
        <v>26.715</v>
      </c>
      <c r="Q833" s="10">
        <f t="shared" si="74"/>
        <v>26.715</v>
      </c>
      <c r="R833" s="10">
        <f t="shared" si="75"/>
        <v>53.43</v>
      </c>
      <c r="S833" s="10">
        <f t="shared" si="76"/>
        <v>80.144999999999996</v>
      </c>
      <c r="T833" s="10">
        <f t="shared" si="77"/>
        <v>80.144999999999996</v>
      </c>
      <c r="U833" s="8" t="str">
        <f t="shared" si="73"/>
        <v>Tue</v>
      </c>
      <c r="V833" s="8" t="str">
        <f t="shared" si="73"/>
        <v>Tue</v>
      </c>
    </row>
    <row r="834" spans="1:22" x14ac:dyDescent="0.25">
      <c r="A834" t="s">
        <v>378</v>
      </c>
      <c r="B834" t="s">
        <v>36</v>
      </c>
      <c r="C834" t="s">
        <v>7</v>
      </c>
      <c r="D834" t="s">
        <v>12</v>
      </c>
      <c r="F834" s="5">
        <v>44237</v>
      </c>
      <c r="G834" s="5">
        <v>44244</v>
      </c>
      <c r="H834" s="2">
        <v>1</v>
      </c>
      <c r="I834" s="6"/>
      <c r="J834" s="6"/>
      <c r="K834" s="7">
        <v>0.5</v>
      </c>
      <c r="L834" s="7">
        <v>76.787999999999997</v>
      </c>
      <c r="M834" t="s">
        <v>17</v>
      </c>
      <c r="N834" s="16">
        <f>POWER(SQRT(WorkOrders27[[#This Row],[WorkDate]]-WorkOrders27[[#This Row],[ReqDate]]),2)</f>
        <v>7.0000000000000009</v>
      </c>
      <c r="O834" s="8">
        <f t="array" ref="O834">INDEX(TechRate,MATCH(H834,TechNum,0))</f>
        <v>80</v>
      </c>
      <c r="P834" s="10">
        <f>WorkOrders27[[#This Row],[Techs]]*(WorkOrders27[[#This Row],[PartsCost]]*WorkOrders27[[#This Row],[LbrHrs]])</f>
        <v>38.393999999999998</v>
      </c>
      <c r="Q834" s="10">
        <f t="shared" si="74"/>
        <v>38.393999999999998</v>
      </c>
      <c r="R834" s="10">
        <f t="shared" si="75"/>
        <v>76.787999999999997</v>
      </c>
      <c r="S834" s="10">
        <f t="shared" si="76"/>
        <v>115.18199999999999</v>
      </c>
      <c r="T834" s="10">
        <f t="shared" si="77"/>
        <v>115.18199999999999</v>
      </c>
      <c r="U834" s="8" t="str">
        <f t="shared" si="73"/>
        <v>Wed</v>
      </c>
      <c r="V834" s="8" t="str">
        <f t="shared" si="73"/>
        <v>Wed</v>
      </c>
    </row>
    <row r="835" spans="1:22" x14ac:dyDescent="0.25">
      <c r="A835" t="s">
        <v>379</v>
      </c>
      <c r="B835" t="s">
        <v>39</v>
      </c>
      <c r="C835" t="s">
        <v>9</v>
      </c>
      <c r="D835" t="s">
        <v>12</v>
      </c>
      <c r="F835" s="5">
        <v>44237</v>
      </c>
      <c r="G835" s="5">
        <v>44249</v>
      </c>
      <c r="H835" s="2">
        <v>1</v>
      </c>
      <c r="I835" s="6" t="s">
        <v>3</v>
      </c>
      <c r="J835" s="6" t="s">
        <v>3</v>
      </c>
      <c r="K835" s="7">
        <v>0.25</v>
      </c>
      <c r="L835" s="7">
        <v>78</v>
      </c>
      <c r="M835" t="s">
        <v>20</v>
      </c>
      <c r="N835" s="16">
        <f>POWER(SQRT(WorkOrders27[[#This Row],[WorkDate]]-WorkOrders27[[#This Row],[ReqDate]]),2)</f>
        <v>11.999999999999998</v>
      </c>
      <c r="O835" s="8">
        <f t="array" ref="O835">INDEX(TechRate,MATCH(H835,TechNum,0))</f>
        <v>80</v>
      </c>
      <c r="P835" s="10">
        <f>WorkOrders27[[#This Row],[Techs]]*(WorkOrders27[[#This Row],[PartsCost]]*WorkOrders27[[#This Row],[LbrHrs]])</f>
        <v>19.5</v>
      </c>
      <c r="Q835" s="10">
        <f t="shared" si="74"/>
        <v>0</v>
      </c>
      <c r="R835" s="10">
        <f t="shared" si="75"/>
        <v>0</v>
      </c>
      <c r="S835" s="10">
        <f t="shared" si="76"/>
        <v>97.5</v>
      </c>
      <c r="T835" s="10">
        <f t="shared" si="77"/>
        <v>0</v>
      </c>
      <c r="U835" s="8" t="str">
        <f t="shared" si="73"/>
        <v>Wed</v>
      </c>
      <c r="V835" s="8" t="str">
        <f t="shared" si="73"/>
        <v>Mon</v>
      </c>
    </row>
    <row r="836" spans="1:22" x14ac:dyDescent="0.25">
      <c r="A836" t="s">
        <v>380</v>
      </c>
      <c r="B836" t="s">
        <v>35</v>
      </c>
      <c r="C836" t="s">
        <v>9</v>
      </c>
      <c r="D836" t="s">
        <v>13</v>
      </c>
      <c r="F836" s="5">
        <v>44237</v>
      </c>
      <c r="G836" s="5">
        <v>44252</v>
      </c>
      <c r="H836" s="2">
        <v>2</v>
      </c>
      <c r="I836" s="6"/>
      <c r="J836" s="6"/>
      <c r="K836" s="7">
        <v>2.75</v>
      </c>
      <c r="L836" s="7">
        <v>666.4434</v>
      </c>
      <c r="M836" t="s">
        <v>18</v>
      </c>
      <c r="N836" s="16">
        <f>POWER(SQRT(WorkOrders27[[#This Row],[WorkDate]]-WorkOrders27[[#This Row],[ReqDate]]),2)</f>
        <v>15.000000000000002</v>
      </c>
      <c r="O836" s="8">
        <f t="array" ref="O836">INDEX(TechRate,MATCH(H836,TechNum,0))</f>
        <v>140</v>
      </c>
      <c r="P836" s="10">
        <f>WorkOrders27[[#This Row],[Techs]]*(WorkOrders27[[#This Row],[PartsCost]]*WorkOrders27[[#This Row],[LbrHrs]])</f>
        <v>3665.4387000000002</v>
      </c>
      <c r="Q836" s="10">
        <f t="shared" si="74"/>
        <v>3665.4387000000002</v>
      </c>
      <c r="R836" s="10">
        <f t="shared" si="75"/>
        <v>666.4434</v>
      </c>
      <c r="S836" s="10">
        <f t="shared" si="76"/>
        <v>4331.8820999999998</v>
      </c>
      <c r="T836" s="10">
        <f t="shared" si="77"/>
        <v>4331.8820999999998</v>
      </c>
      <c r="U836" s="8" t="str">
        <f t="shared" si="73"/>
        <v>Wed</v>
      </c>
      <c r="V836" s="8" t="str">
        <f t="shared" si="73"/>
        <v>Thu</v>
      </c>
    </row>
    <row r="837" spans="1:22" x14ac:dyDescent="0.25">
      <c r="A837" t="s">
        <v>381</v>
      </c>
      <c r="B837" t="s">
        <v>35</v>
      </c>
      <c r="C837" t="s">
        <v>9</v>
      </c>
      <c r="D837" t="s">
        <v>11</v>
      </c>
      <c r="E837" t="s">
        <v>3</v>
      </c>
      <c r="F837" s="5">
        <v>44238</v>
      </c>
      <c r="G837" s="5">
        <v>44254</v>
      </c>
      <c r="H837" s="2">
        <v>1</v>
      </c>
      <c r="I837" s="6"/>
      <c r="J837" s="6"/>
      <c r="K837" s="7">
        <v>0.25</v>
      </c>
      <c r="L837" s="7">
        <v>19.196999999999999</v>
      </c>
      <c r="M837" t="s">
        <v>18</v>
      </c>
      <c r="N837" s="16">
        <f>POWER(SQRT(WorkOrders27[[#This Row],[WorkDate]]-WorkOrders27[[#This Row],[ReqDate]]),2)</f>
        <v>16</v>
      </c>
      <c r="O837" s="8">
        <f t="array" ref="O837">INDEX(TechRate,MATCH(H837,TechNum,0))</f>
        <v>80</v>
      </c>
      <c r="P837" s="10">
        <f>WorkOrders27[[#This Row],[Techs]]*(WorkOrders27[[#This Row],[PartsCost]]*WorkOrders27[[#This Row],[LbrHrs]])</f>
        <v>4.7992499999999998</v>
      </c>
      <c r="Q837" s="10">
        <f t="shared" si="74"/>
        <v>4.7992499999999998</v>
      </c>
      <c r="R837" s="10">
        <f t="shared" si="75"/>
        <v>19.196999999999999</v>
      </c>
      <c r="S837" s="10">
        <f t="shared" si="76"/>
        <v>23.99625</v>
      </c>
      <c r="T837" s="10">
        <f t="shared" si="77"/>
        <v>23.99625</v>
      </c>
      <c r="U837" s="8" t="str">
        <f t="shared" si="73"/>
        <v>Thu</v>
      </c>
      <c r="V837" s="8" t="str">
        <f t="shared" si="73"/>
        <v>Sat</v>
      </c>
    </row>
    <row r="838" spans="1:22" x14ac:dyDescent="0.25">
      <c r="A838" t="s">
        <v>382</v>
      </c>
      <c r="B838" t="s">
        <v>37</v>
      </c>
      <c r="C838" t="s">
        <v>43</v>
      </c>
      <c r="D838" t="s">
        <v>12</v>
      </c>
      <c r="F838" s="5">
        <v>44238</v>
      </c>
      <c r="G838" s="5">
        <v>44266</v>
      </c>
      <c r="H838" s="2">
        <v>1</v>
      </c>
      <c r="I838" s="6"/>
      <c r="J838" s="6"/>
      <c r="K838" s="7">
        <v>0.75</v>
      </c>
      <c r="L838" s="7">
        <v>414.53649999999999</v>
      </c>
      <c r="M838" t="s">
        <v>19</v>
      </c>
      <c r="N838" s="16">
        <f>POWER(SQRT(WorkOrders27[[#This Row],[WorkDate]]-WorkOrders27[[#This Row],[ReqDate]]),2)</f>
        <v>28.000000000000004</v>
      </c>
      <c r="O838" s="8">
        <f t="array" ref="O838">INDEX(TechRate,MATCH(H838,TechNum,0))</f>
        <v>80</v>
      </c>
      <c r="P838" s="10">
        <f>WorkOrders27[[#This Row],[Techs]]*(WorkOrders27[[#This Row],[PartsCost]]*WorkOrders27[[#This Row],[LbrHrs]])</f>
        <v>310.90237500000001</v>
      </c>
      <c r="Q838" s="10">
        <f t="shared" si="74"/>
        <v>310.90237500000001</v>
      </c>
      <c r="R838" s="10">
        <f t="shared" si="75"/>
        <v>414.53649999999999</v>
      </c>
      <c r="S838" s="10">
        <f t="shared" si="76"/>
        <v>725.43887500000005</v>
      </c>
      <c r="T838" s="10">
        <f t="shared" si="77"/>
        <v>725.43887500000005</v>
      </c>
      <c r="U838" s="8" t="str">
        <f t="shared" si="73"/>
        <v>Thu</v>
      </c>
      <c r="V838" s="8" t="str">
        <f t="shared" si="73"/>
        <v>Thu</v>
      </c>
    </row>
    <row r="839" spans="1:22" x14ac:dyDescent="0.25">
      <c r="A839" t="s">
        <v>383</v>
      </c>
      <c r="B839" t="s">
        <v>39</v>
      </c>
      <c r="C839" t="s">
        <v>8</v>
      </c>
      <c r="D839" t="s">
        <v>2</v>
      </c>
      <c r="F839" s="5">
        <v>44240</v>
      </c>
      <c r="G839" s="5">
        <v>44294</v>
      </c>
      <c r="H839" s="2">
        <v>1</v>
      </c>
      <c r="I839" s="6"/>
      <c r="J839" s="6"/>
      <c r="K839" s="7">
        <v>1</v>
      </c>
      <c r="L839" s="7">
        <v>19.196999999999999</v>
      </c>
      <c r="M839" t="s">
        <v>17</v>
      </c>
      <c r="N839" s="16">
        <f>POWER(SQRT(WorkOrders27[[#This Row],[WorkDate]]-WorkOrders27[[#This Row],[ReqDate]]),2)</f>
        <v>54</v>
      </c>
      <c r="O839" s="8">
        <f t="array" ref="O839">INDEX(TechRate,MATCH(H839,TechNum,0))</f>
        <v>80</v>
      </c>
      <c r="P839" s="10">
        <f>WorkOrders27[[#This Row],[Techs]]*(WorkOrders27[[#This Row],[PartsCost]]*WorkOrders27[[#This Row],[LbrHrs]])</f>
        <v>19.196999999999999</v>
      </c>
      <c r="Q839" s="10">
        <f t="shared" si="74"/>
        <v>19.196999999999999</v>
      </c>
      <c r="R839" s="10">
        <f t="shared" si="75"/>
        <v>19.196999999999999</v>
      </c>
      <c r="S839" s="10">
        <f t="shared" si="76"/>
        <v>38.393999999999998</v>
      </c>
      <c r="T839" s="10">
        <f t="shared" si="77"/>
        <v>38.393999999999998</v>
      </c>
      <c r="U839" s="8" t="str">
        <f t="shared" ref="U839:V902" si="78">TEXT(F839,"ddd")</f>
        <v>Sat</v>
      </c>
      <c r="V839" s="8" t="str">
        <f t="shared" si="78"/>
        <v>Thu</v>
      </c>
    </row>
    <row r="840" spans="1:22" x14ac:dyDescent="0.25">
      <c r="A840" t="s">
        <v>384</v>
      </c>
      <c r="B840" t="s">
        <v>36</v>
      </c>
      <c r="C840" t="s">
        <v>7</v>
      </c>
      <c r="D840" t="s">
        <v>1</v>
      </c>
      <c r="F840" s="5">
        <v>44242</v>
      </c>
      <c r="G840" s="5">
        <v>44245</v>
      </c>
      <c r="H840" s="2">
        <v>2</v>
      </c>
      <c r="I840" s="6"/>
      <c r="J840" s="6"/>
      <c r="K840" s="7">
        <v>1</v>
      </c>
      <c r="L840" s="7">
        <v>157.86000000000001</v>
      </c>
      <c r="M840" t="s">
        <v>17</v>
      </c>
      <c r="N840" s="16">
        <f>POWER(SQRT(WorkOrders27[[#This Row],[WorkDate]]-WorkOrders27[[#This Row],[ReqDate]]),2)</f>
        <v>2.9999999999999996</v>
      </c>
      <c r="O840" s="8">
        <f t="array" ref="O840">INDEX(TechRate,MATCH(H840,TechNum,0))</f>
        <v>140</v>
      </c>
      <c r="P840" s="10">
        <f>WorkOrders27[[#This Row],[Techs]]*(WorkOrders27[[#This Row],[PartsCost]]*WorkOrders27[[#This Row],[LbrHrs]])</f>
        <v>315.72000000000003</v>
      </c>
      <c r="Q840" s="10">
        <f t="shared" si="74"/>
        <v>315.72000000000003</v>
      </c>
      <c r="R840" s="10">
        <f t="shared" si="75"/>
        <v>157.86000000000001</v>
      </c>
      <c r="S840" s="10">
        <f t="shared" si="76"/>
        <v>473.58000000000004</v>
      </c>
      <c r="T840" s="10">
        <f t="shared" si="77"/>
        <v>473.58000000000004</v>
      </c>
      <c r="U840" s="8" t="str">
        <f t="shared" si="78"/>
        <v>Mon</v>
      </c>
      <c r="V840" s="8" t="str">
        <f t="shared" si="78"/>
        <v>Thu</v>
      </c>
    </row>
    <row r="841" spans="1:22" x14ac:dyDescent="0.25">
      <c r="A841" t="s">
        <v>385</v>
      </c>
      <c r="B841" t="s">
        <v>36</v>
      </c>
      <c r="C841" t="s">
        <v>7</v>
      </c>
      <c r="D841" t="s">
        <v>12</v>
      </c>
      <c r="F841" s="5">
        <v>44242</v>
      </c>
      <c r="G841" s="5">
        <v>44251</v>
      </c>
      <c r="H841" s="2">
        <v>2</v>
      </c>
      <c r="I841" s="6"/>
      <c r="J841" s="6"/>
      <c r="K841" s="7">
        <v>0.25</v>
      </c>
      <c r="L841" s="7">
        <v>160.39080000000001</v>
      </c>
      <c r="M841" t="s">
        <v>17</v>
      </c>
      <c r="N841" s="16">
        <f>POWER(SQRT(WorkOrders27[[#This Row],[WorkDate]]-WorkOrders27[[#This Row],[ReqDate]]),2)</f>
        <v>9</v>
      </c>
      <c r="O841" s="8">
        <f t="array" ref="O841">INDEX(TechRate,MATCH(H841,TechNum,0))</f>
        <v>140</v>
      </c>
      <c r="P841" s="10">
        <f>WorkOrders27[[#This Row],[Techs]]*(WorkOrders27[[#This Row],[PartsCost]]*WorkOrders27[[#This Row],[LbrHrs]])</f>
        <v>80.195400000000006</v>
      </c>
      <c r="Q841" s="10">
        <f t="shared" si="74"/>
        <v>80.195400000000006</v>
      </c>
      <c r="R841" s="10">
        <f t="shared" si="75"/>
        <v>160.39080000000001</v>
      </c>
      <c r="S841" s="10">
        <f t="shared" si="76"/>
        <v>240.58620000000002</v>
      </c>
      <c r="T841" s="10">
        <f t="shared" si="77"/>
        <v>240.58620000000002</v>
      </c>
      <c r="U841" s="8" t="str">
        <f t="shared" si="78"/>
        <v>Mon</v>
      </c>
      <c r="V841" s="8" t="str">
        <f t="shared" si="78"/>
        <v>Wed</v>
      </c>
    </row>
    <row r="842" spans="1:22" x14ac:dyDescent="0.25">
      <c r="A842" t="s">
        <v>386</v>
      </c>
      <c r="B842" t="s">
        <v>36</v>
      </c>
      <c r="C842" t="s">
        <v>7</v>
      </c>
      <c r="D842" t="s">
        <v>12</v>
      </c>
      <c r="F842" s="5">
        <v>44242</v>
      </c>
      <c r="G842" s="5">
        <v>44252</v>
      </c>
      <c r="H842" s="2">
        <v>2</v>
      </c>
      <c r="I842" s="6"/>
      <c r="J842" s="6"/>
      <c r="K842" s="7">
        <v>0.25</v>
      </c>
      <c r="L842" s="7">
        <v>46.845300000000002</v>
      </c>
      <c r="M842" t="s">
        <v>17</v>
      </c>
      <c r="N842" s="16">
        <f>POWER(SQRT(WorkOrders27[[#This Row],[WorkDate]]-WorkOrders27[[#This Row],[ReqDate]]),2)</f>
        <v>10.000000000000002</v>
      </c>
      <c r="O842" s="8">
        <f t="array" ref="O842">INDEX(TechRate,MATCH(H842,TechNum,0))</f>
        <v>140</v>
      </c>
      <c r="P842" s="10">
        <f>WorkOrders27[[#This Row],[Techs]]*(WorkOrders27[[#This Row],[PartsCost]]*WorkOrders27[[#This Row],[LbrHrs]])</f>
        <v>23.422650000000001</v>
      </c>
      <c r="Q842" s="10">
        <f t="shared" si="74"/>
        <v>23.422650000000001</v>
      </c>
      <c r="R842" s="10">
        <f t="shared" si="75"/>
        <v>46.845300000000002</v>
      </c>
      <c r="S842" s="10">
        <f t="shared" si="76"/>
        <v>70.267949999999999</v>
      </c>
      <c r="T842" s="10">
        <f t="shared" si="77"/>
        <v>70.267949999999999</v>
      </c>
      <c r="U842" s="8" t="str">
        <f t="shared" si="78"/>
        <v>Mon</v>
      </c>
      <c r="V842" s="8" t="str">
        <f t="shared" si="78"/>
        <v>Thu</v>
      </c>
    </row>
    <row r="843" spans="1:22" x14ac:dyDescent="0.25">
      <c r="A843" t="s">
        <v>387</v>
      </c>
      <c r="B843" t="s">
        <v>42</v>
      </c>
      <c r="C843" t="s">
        <v>44</v>
      </c>
      <c r="D843" t="s">
        <v>13</v>
      </c>
      <c r="E843" t="s">
        <v>3</v>
      </c>
      <c r="F843" s="5">
        <v>44242</v>
      </c>
      <c r="G843" s="5">
        <v>44256</v>
      </c>
      <c r="H843" s="2">
        <v>2</v>
      </c>
      <c r="I843" s="6"/>
      <c r="J843" s="6"/>
      <c r="K843" s="7">
        <v>1.25</v>
      </c>
      <c r="L843" s="7">
        <v>952.06380000000001</v>
      </c>
      <c r="M843" t="s">
        <v>18</v>
      </c>
      <c r="N843" s="16">
        <f>POWER(SQRT(WorkOrders27[[#This Row],[WorkDate]]-WorkOrders27[[#This Row],[ReqDate]]),2)</f>
        <v>14</v>
      </c>
      <c r="O843" s="8">
        <f t="array" ref="O843">INDEX(TechRate,MATCH(H843,TechNum,0))</f>
        <v>140</v>
      </c>
      <c r="P843" s="10">
        <f>WorkOrders27[[#This Row],[Techs]]*(WorkOrders27[[#This Row],[PartsCost]]*WorkOrders27[[#This Row],[LbrHrs]])</f>
        <v>2380.1595000000002</v>
      </c>
      <c r="Q843" s="10">
        <f t="shared" si="74"/>
        <v>2380.1595000000002</v>
      </c>
      <c r="R843" s="10">
        <f t="shared" si="75"/>
        <v>952.06380000000001</v>
      </c>
      <c r="S843" s="10">
        <f t="shared" si="76"/>
        <v>3332.2233000000001</v>
      </c>
      <c r="T843" s="10">
        <f t="shared" si="77"/>
        <v>3332.2233000000001</v>
      </c>
      <c r="U843" s="8" t="str">
        <f t="shared" si="78"/>
        <v>Mon</v>
      </c>
      <c r="V843" s="8" t="str">
        <f t="shared" si="78"/>
        <v>Mon</v>
      </c>
    </row>
    <row r="844" spans="1:22" x14ac:dyDescent="0.25">
      <c r="A844" t="s">
        <v>388</v>
      </c>
      <c r="B844" t="s">
        <v>38</v>
      </c>
      <c r="C844" t="s">
        <v>8</v>
      </c>
      <c r="D844" t="s">
        <v>11</v>
      </c>
      <c r="F844" s="5">
        <v>44243</v>
      </c>
      <c r="G844" s="5">
        <v>44258</v>
      </c>
      <c r="H844" s="2">
        <v>1</v>
      </c>
      <c r="I844" s="6"/>
      <c r="J844" s="6"/>
      <c r="K844" s="7">
        <v>0.25</v>
      </c>
      <c r="L844" s="7">
        <v>17.420000000000002</v>
      </c>
      <c r="M844" t="s">
        <v>17</v>
      </c>
      <c r="N844" s="16">
        <f>POWER(SQRT(WorkOrders27[[#This Row],[WorkDate]]-WorkOrders27[[#This Row],[ReqDate]]),2)</f>
        <v>15.000000000000002</v>
      </c>
      <c r="O844" s="8">
        <f t="array" ref="O844">INDEX(TechRate,MATCH(H844,TechNum,0))</f>
        <v>80</v>
      </c>
      <c r="P844" s="10">
        <f>WorkOrders27[[#This Row],[Techs]]*(WorkOrders27[[#This Row],[PartsCost]]*WorkOrders27[[#This Row],[LbrHrs]])</f>
        <v>4.3550000000000004</v>
      </c>
      <c r="Q844" s="10">
        <f t="shared" si="74"/>
        <v>4.3550000000000004</v>
      </c>
      <c r="R844" s="10">
        <f t="shared" si="75"/>
        <v>17.420000000000002</v>
      </c>
      <c r="S844" s="10">
        <f t="shared" si="76"/>
        <v>21.775000000000002</v>
      </c>
      <c r="T844" s="10">
        <f t="shared" si="77"/>
        <v>21.775000000000002</v>
      </c>
      <c r="U844" s="8" t="str">
        <f t="shared" si="78"/>
        <v>Tue</v>
      </c>
      <c r="V844" s="8" t="str">
        <f t="shared" si="78"/>
        <v>Wed</v>
      </c>
    </row>
    <row r="845" spans="1:22" x14ac:dyDescent="0.25">
      <c r="A845" t="s">
        <v>389</v>
      </c>
      <c r="B845" t="s">
        <v>35</v>
      </c>
      <c r="C845" t="s">
        <v>44</v>
      </c>
      <c r="D845" t="s">
        <v>13</v>
      </c>
      <c r="F845" s="5">
        <v>44243</v>
      </c>
      <c r="G845" s="5">
        <v>44263</v>
      </c>
      <c r="H845" s="2">
        <v>2</v>
      </c>
      <c r="I845" s="6"/>
      <c r="J845" s="6"/>
      <c r="K845" s="7">
        <v>0.5</v>
      </c>
      <c r="L845" s="7">
        <v>202</v>
      </c>
      <c r="M845" t="s">
        <v>18</v>
      </c>
      <c r="N845" s="16">
        <f>POWER(SQRT(WorkOrders27[[#This Row],[WorkDate]]-WorkOrders27[[#This Row],[ReqDate]]),2)</f>
        <v>20.000000000000004</v>
      </c>
      <c r="O845" s="8">
        <f t="array" ref="O845">INDEX(TechRate,MATCH(H845,TechNum,0))</f>
        <v>140</v>
      </c>
      <c r="P845" s="10">
        <f>WorkOrders27[[#This Row],[Techs]]*(WorkOrders27[[#This Row],[PartsCost]]*WorkOrders27[[#This Row],[LbrHrs]])</f>
        <v>202</v>
      </c>
      <c r="Q845" s="10">
        <f t="shared" si="74"/>
        <v>202</v>
      </c>
      <c r="R845" s="10">
        <f t="shared" si="75"/>
        <v>202</v>
      </c>
      <c r="S845" s="10">
        <f t="shared" si="76"/>
        <v>404</v>
      </c>
      <c r="T845" s="10">
        <f t="shared" si="77"/>
        <v>404</v>
      </c>
      <c r="U845" s="8" t="str">
        <f t="shared" si="78"/>
        <v>Tue</v>
      </c>
      <c r="V845" s="8" t="str">
        <f t="shared" si="78"/>
        <v>Mon</v>
      </c>
    </row>
    <row r="846" spans="1:22" x14ac:dyDescent="0.25">
      <c r="A846" t="s">
        <v>390</v>
      </c>
      <c r="B846" t="s">
        <v>39</v>
      </c>
      <c r="C846" t="s">
        <v>9</v>
      </c>
      <c r="D846" t="s">
        <v>12</v>
      </c>
      <c r="F846" s="5">
        <v>44244</v>
      </c>
      <c r="G846" s="5">
        <v>44249</v>
      </c>
      <c r="H846" s="2">
        <v>1</v>
      </c>
      <c r="I846" s="6"/>
      <c r="J846" s="6"/>
      <c r="K846" s="7">
        <v>0.75</v>
      </c>
      <c r="L846" s="7">
        <v>137.13</v>
      </c>
      <c r="M846" t="s">
        <v>17</v>
      </c>
      <c r="N846" s="16">
        <f>POWER(SQRT(WorkOrders27[[#This Row],[WorkDate]]-WorkOrders27[[#This Row],[ReqDate]]),2)</f>
        <v>5.0000000000000009</v>
      </c>
      <c r="O846" s="8">
        <f t="array" ref="O846">INDEX(TechRate,MATCH(H846,TechNum,0))</f>
        <v>80</v>
      </c>
      <c r="P846" s="10">
        <f>WorkOrders27[[#This Row],[Techs]]*(WorkOrders27[[#This Row],[PartsCost]]*WorkOrders27[[#This Row],[LbrHrs]])</f>
        <v>102.8475</v>
      </c>
      <c r="Q846" s="10">
        <f t="shared" si="74"/>
        <v>102.8475</v>
      </c>
      <c r="R846" s="10">
        <f t="shared" si="75"/>
        <v>137.13</v>
      </c>
      <c r="S846" s="10">
        <f t="shared" si="76"/>
        <v>239.97749999999999</v>
      </c>
      <c r="T846" s="10">
        <f t="shared" si="77"/>
        <v>239.97749999999999</v>
      </c>
      <c r="U846" s="8" t="str">
        <f t="shared" si="78"/>
        <v>Wed</v>
      </c>
      <c r="V846" s="8" t="str">
        <f t="shared" si="78"/>
        <v>Mon</v>
      </c>
    </row>
    <row r="847" spans="1:22" x14ac:dyDescent="0.25">
      <c r="A847" t="s">
        <v>391</v>
      </c>
      <c r="B847" t="s">
        <v>38</v>
      </c>
      <c r="C847" t="s">
        <v>8</v>
      </c>
      <c r="D847" t="s">
        <v>12</v>
      </c>
      <c r="F847" s="5">
        <v>44244</v>
      </c>
      <c r="G847" s="5">
        <v>44256</v>
      </c>
      <c r="H847" s="2">
        <v>1</v>
      </c>
      <c r="I847" s="6"/>
      <c r="J847" s="6"/>
      <c r="K847" s="7">
        <v>0.5</v>
      </c>
      <c r="L847" s="7">
        <v>180</v>
      </c>
      <c r="M847" t="s">
        <v>18</v>
      </c>
      <c r="N847" s="16">
        <f>POWER(SQRT(WorkOrders27[[#This Row],[WorkDate]]-WorkOrders27[[#This Row],[ReqDate]]),2)</f>
        <v>11.999999999999998</v>
      </c>
      <c r="O847" s="8">
        <f t="array" ref="O847">INDEX(TechRate,MATCH(H847,TechNum,0))</f>
        <v>80</v>
      </c>
      <c r="P847" s="10">
        <f>WorkOrders27[[#This Row],[Techs]]*(WorkOrders27[[#This Row],[PartsCost]]*WorkOrders27[[#This Row],[LbrHrs]])</f>
        <v>90</v>
      </c>
      <c r="Q847" s="10">
        <f t="shared" si="74"/>
        <v>90</v>
      </c>
      <c r="R847" s="10">
        <f t="shared" si="75"/>
        <v>180</v>
      </c>
      <c r="S847" s="10">
        <f t="shared" si="76"/>
        <v>270</v>
      </c>
      <c r="T847" s="10">
        <f t="shared" si="77"/>
        <v>270</v>
      </c>
      <c r="U847" s="8" t="str">
        <f t="shared" si="78"/>
        <v>Wed</v>
      </c>
      <c r="V847" s="8" t="str">
        <f t="shared" si="78"/>
        <v>Mon</v>
      </c>
    </row>
    <row r="848" spans="1:22" x14ac:dyDescent="0.25">
      <c r="A848" t="s">
        <v>392</v>
      </c>
      <c r="B848" t="s">
        <v>34</v>
      </c>
      <c r="C848" t="s">
        <v>8</v>
      </c>
      <c r="D848" t="s">
        <v>12</v>
      </c>
      <c r="F848" s="5">
        <v>44244</v>
      </c>
      <c r="G848" s="5">
        <v>44256</v>
      </c>
      <c r="H848" s="2">
        <v>1</v>
      </c>
      <c r="I848" s="6"/>
      <c r="J848" s="6"/>
      <c r="K848" s="7">
        <v>0.25</v>
      </c>
      <c r="L848" s="7">
        <v>255.3433</v>
      </c>
      <c r="M848" t="s">
        <v>18</v>
      </c>
      <c r="N848" s="16">
        <f>POWER(SQRT(WorkOrders27[[#This Row],[WorkDate]]-WorkOrders27[[#This Row],[ReqDate]]),2)</f>
        <v>11.999999999999998</v>
      </c>
      <c r="O848" s="8">
        <f t="array" ref="O848">INDEX(TechRate,MATCH(H848,TechNum,0))</f>
        <v>80</v>
      </c>
      <c r="P848" s="10">
        <f>WorkOrders27[[#This Row],[Techs]]*(WorkOrders27[[#This Row],[PartsCost]]*WorkOrders27[[#This Row],[LbrHrs]])</f>
        <v>63.835825</v>
      </c>
      <c r="Q848" s="10">
        <f t="shared" si="74"/>
        <v>63.835825</v>
      </c>
      <c r="R848" s="10">
        <f t="shared" si="75"/>
        <v>255.3433</v>
      </c>
      <c r="S848" s="10">
        <f t="shared" si="76"/>
        <v>319.179125</v>
      </c>
      <c r="T848" s="10">
        <f t="shared" si="77"/>
        <v>319.179125</v>
      </c>
      <c r="U848" s="8" t="str">
        <f t="shared" si="78"/>
        <v>Wed</v>
      </c>
      <c r="V848" s="8" t="str">
        <f t="shared" si="78"/>
        <v>Mon</v>
      </c>
    </row>
    <row r="849" spans="1:22" x14ac:dyDescent="0.25">
      <c r="A849" t="s">
        <v>393</v>
      </c>
      <c r="B849" t="s">
        <v>35</v>
      </c>
      <c r="C849" t="s">
        <v>8</v>
      </c>
      <c r="D849" t="s">
        <v>11</v>
      </c>
      <c r="F849" s="5">
        <v>44244</v>
      </c>
      <c r="G849" s="5">
        <v>44257</v>
      </c>
      <c r="H849" s="2">
        <v>1</v>
      </c>
      <c r="I849" s="6"/>
      <c r="J849" s="6"/>
      <c r="K849" s="7">
        <v>0.25</v>
      </c>
      <c r="L849" s="7">
        <v>48.372999999999998</v>
      </c>
      <c r="M849" t="s">
        <v>19</v>
      </c>
      <c r="N849" s="16">
        <f>POWER(SQRT(WorkOrders27[[#This Row],[WorkDate]]-WorkOrders27[[#This Row],[ReqDate]]),2)</f>
        <v>12.999999999999998</v>
      </c>
      <c r="O849" s="8">
        <f t="array" ref="O849">INDEX(TechRate,MATCH(H849,TechNum,0))</f>
        <v>80</v>
      </c>
      <c r="P849" s="10">
        <f>WorkOrders27[[#This Row],[Techs]]*(WorkOrders27[[#This Row],[PartsCost]]*WorkOrders27[[#This Row],[LbrHrs]])</f>
        <v>12.093249999999999</v>
      </c>
      <c r="Q849" s="10">
        <f t="shared" si="74"/>
        <v>12.093249999999999</v>
      </c>
      <c r="R849" s="10">
        <f t="shared" si="75"/>
        <v>48.372999999999998</v>
      </c>
      <c r="S849" s="10">
        <f t="shared" si="76"/>
        <v>60.466249999999995</v>
      </c>
      <c r="T849" s="10">
        <f t="shared" si="77"/>
        <v>60.466249999999995</v>
      </c>
      <c r="U849" s="8" t="str">
        <f t="shared" si="78"/>
        <v>Wed</v>
      </c>
      <c r="V849" s="8" t="str">
        <f t="shared" si="78"/>
        <v>Tue</v>
      </c>
    </row>
    <row r="850" spans="1:22" x14ac:dyDescent="0.25">
      <c r="A850" t="s">
        <v>394</v>
      </c>
      <c r="B850" t="s">
        <v>36</v>
      </c>
      <c r="C850" t="s">
        <v>7</v>
      </c>
      <c r="D850" t="s">
        <v>11</v>
      </c>
      <c r="F850" s="5">
        <v>44244</v>
      </c>
      <c r="G850" s="5">
        <v>44263</v>
      </c>
      <c r="H850" s="2">
        <v>1</v>
      </c>
      <c r="I850" s="6"/>
      <c r="J850" s="6"/>
      <c r="K850" s="7">
        <v>0.25</v>
      </c>
      <c r="L850" s="7">
        <v>40.200000000000003</v>
      </c>
      <c r="M850" t="s">
        <v>17</v>
      </c>
      <c r="N850" s="16">
        <f>POWER(SQRT(WorkOrders27[[#This Row],[WorkDate]]-WorkOrders27[[#This Row],[ReqDate]]),2)</f>
        <v>19.000000000000004</v>
      </c>
      <c r="O850" s="8">
        <f t="array" ref="O850">INDEX(TechRate,MATCH(H850,TechNum,0))</f>
        <v>80</v>
      </c>
      <c r="P850" s="10">
        <f>WorkOrders27[[#This Row],[Techs]]*(WorkOrders27[[#This Row],[PartsCost]]*WorkOrders27[[#This Row],[LbrHrs]])</f>
        <v>10.050000000000001</v>
      </c>
      <c r="Q850" s="10">
        <f t="shared" si="74"/>
        <v>10.050000000000001</v>
      </c>
      <c r="R850" s="10">
        <f t="shared" si="75"/>
        <v>40.200000000000003</v>
      </c>
      <c r="S850" s="10">
        <f t="shared" si="76"/>
        <v>50.25</v>
      </c>
      <c r="T850" s="10">
        <f t="shared" si="77"/>
        <v>50.25</v>
      </c>
      <c r="U850" s="8" t="str">
        <f t="shared" si="78"/>
        <v>Wed</v>
      </c>
      <c r="V850" s="8" t="str">
        <f t="shared" si="78"/>
        <v>Mon</v>
      </c>
    </row>
    <row r="851" spans="1:22" x14ac:dyDescent="0.25">
      <c r="A851" t="s">
        <v>395</v>
      </c>
      <c r="B851" t="s">
        <v>34</v>
      </c>
      <c r="C851" t="s">
        <v>44</v>
      </c>
      <c r="D851" t="s">
        <v>11</v>
      </c>
      <c r="F851" s="5">
        <v>44245</v>
      </c>
      <c r="G851" s="5">
        <v>44261</v>
      </c>
      <c r="H851" s="2">
        <v>1</v>
      </c>
      <c r="I851" s="6"/>
      <c r="J851" s="6"/>
      <c r="K851" s="7">
        <v>0.25</v>
      </c>
      <c r="L851" s="7">
        <v>61.4985</v>
      </c>
      <c r="M851" t="s">
        <v>17</v>
      </c>
      <c r="N851" s="16">
        <f>POWER(SQRT(WorkOrders27[[#This Row],[WorkDate]]-WorkOrders27[[#This Row],[ReqDate]]),2)</f>
        <v>16</v>
      </c>
      <c r="O851" s="8">
        <f t="array" ref="O851">INDEX(TechRate,MATCH(H851,TechNum,0))</f>
        <v>80</v>
      </c>
      <c r="P851" s="10">
        <f>WorkOrders27[[#This Row],[Techs]]*(WorkOrders27[[#This Row],[PartsCost]]*WorkOrders27[[#This Row],[LbrHrs]])</f>
        <v>15.374625</v>
      </c>
      <c r="Q851" s="10">
        <f t="shared" si="74"/>
        <v>15.374625</v>
      </c>
      <c r="R851" s="10">
        <f t="shared" si="75"/>
        <v>61.4985</v>
      </c>
      <c r="S851" s="10">
        <f t="shared" si="76"/>
        <v>76.873125000000002</v>
      </c>
      <c r="T851" s="10">
        <f t="shared" si="77"/>
        <v>76.873125000000002</v>
      </c>
      <c r="U851" s="8" t="str">
        <f t="shared" si="78"/>
        <v>Thu</v>
      </c>
      <c r="V851" s="8" t="str">
        <f t="shared" si="78"/>
        <v>Sat</v>
      </c>
    </row>
    <row r="852" spans="1:22" x14ac:dyDescent="0.25">
      <c r="A852" t="s">
        <v>396</v>
      </c>
      <c r="B852" t="s">
        <v>35</v>
      </c>
      <c r="C852" t="s">
        <v>8</v>
      </c>
      <c r="D852" t="s">
        <v>13</v>
      </c>
      <c r="F852" s="5">
        <v>44245</v>
      </c>
      <c r="G852" s="5">
        <v>44257</v>
      </c>
      <c r="H852" s="2">
        <v>1</v>
      </c>
      <c r="I852" s="6"/>
      <c r="J852" s="6"/>
      <c r="K852" s="7">
        <v>0.5</v>
      </c>
      <c r="L852" s="7">
        <v>42.66</v>
      </c>
      <c r="M852" t="s">
        <v>17</v>
      </c>
      <c r="N852" s="16">
        <f>POWER(SQRT(WorkOrders27[[#This Row],[WorkDate]]-WorkOrders27[[#This Row],[ReqDate]]),2)</f>
        <v>11.999999999999998</v>
      </c>
      <c r="O852" s="8">
        <f t="array" ref="O852">INDEX(TechRate,MATCH(H852,TechNum,0))</f>
        <v>80</v>
      </c>
      <c r="P852" s="10">
        <f>WorkOrders27[[#This Row],[Techs]]*(WorkOrders27[[#This Row],[PartsCost]]*WorkOrders27[[#This Row],[LbrHrs]])</f>
        <v>21.33</v>
      </c>
      <c r="Q852" s="10">
        <f t="shared" si="74"/>
        <v>21.33</v>
      </c>
      <c r="R852" s="10">
        <f t="shared" si="75"/>
        <v>42.66</v>
      </c>
      <c r="S852" s="10">
        <f t="shared" si="76"/>
        <v>63.989999999999995</v>
      </c>
      <c r="T852" s="10">
        <f t="shared" si="77"/>
        <v>63.989999999999995</v>
      </c>
      <c r="U852" s="8" t="str">
        <f t="shared" si="78"/>
        <v>Thu</v>
      </c>
      <c r="V852" s="8" t="str">
        <f t="shared" si="78"/>
        <v>Tue</v>
      </c>
    </row>
    <row r="853" spans="1:22" x14ac:dyDescent="0.25">
      <c r="A853" t="s">
        <v>397</v>
      </c>
      <c r="B853" t="s">
        <v>36</v>
      </c>
      <c r="C853" t="s">
        <v>7</v>
      </c>
      <c r="D853" t="s">
        <v>13</v>
      </c>
      <c r="F853" s="5">
        <v>44245</v>
      </c>
      <c r="G853" s="5">
        <v>44265</v>
      </c>
      <c r="H853" s="2">
        <v>1</v>
      </c>
      <c r="I853" s="6"/>
      <c r="J853" s="6"/>
      <c r="K853" s="7">
        <v>0.5</v>
      </c>
      <c r="L853" s="7">
        <v>16.420000000000002</v>
      </c>
      <c r="M853" t="s">
        <v>21</v>
      </c>
      <c r="N853" s="16">
        <f>POWER(SQRT(WorkOrders27[[#This Row],[WorkDate]]-WorkOrders27[[#This Row],[ReqDate]]),2)</f>
        <v>20.000000000000004</v>
      </c>
      <c r="O853" s="8">
        <f t="array" ref="O853">INDEX(TechRate,MATCH(H853,TechNum,0))</f>
        <v>80</v>
      </c>
      <c r="P853" s="10">
        <f>WorkOrders27[[#This Row],[Techs]]*(WorkOrders27[[#This Row],[PartsCost]]*WorkOrders27[[#This Row],[LbrHrs]])</f>
        <v>8.2100000000000009</v>
      </c>
      <c r="Q853" s="10">
        <f t="shared" si="74"/>
        <v>8.2100000000000009</v>
      </c>
      <c r="R853" s="10">
        <f t="shared" si="75"/>
        <v>16.420000000000002</v>
      </c>
      <c r="S853" s="10">
        <f t="shared" si="76"/>
        <v>24.630000000000003</v>
      </c>
      <c r="T853" s="10">
        <f t="shared" si="77"/>
        <v>24.630000000000003</v>
      </c>
      <c r="U853" s="8" t="str">
        <f t="shared" si="78"/>
        <v>Thu</v>
      </c>
      <c r="V853" s="8" t="str">
        <f t="shared" si="78"/>
        <v>Wed</v>
      </c>
    </row>
    <row r="854" spans="1:22" x14ac:dyDescent="0.25">
      <c r="A854" t="s">
        <v>398</v>
      </c>
      <c r="B854" t="s">
        <v>39</v>
      </c>
      <c r="C854" t="s">
        <v>9</v>
      </c>
      <c r="D854" t="s">
        <v>12</v>
      </c>
      <c r="F854" s="5">
        <v>44246</v>
      </c>
      <c r="G854" s="5">
        <v>44264</v>
      </c>
      <c r="H854" s="2">
        <v>2</v>
      </c>
      <c r="I854" s="6"/>
      <c r="J854" s="6"/>
      <c r="K854" s="7">
        <v>0.5</v>
      </c>
      <c r="L854" s="7">
        <v>31.807600000000001</v>
      </c>
      <c r="M854" t="s">
        <v>17</v>
      </c>
      <c r="N854" s="16">
        <f>POWER(SQRT(WorkOrders27[[#This Row],[WorkDate]]-WorkOrders27[[#This Row],[ReqDate]]),2)</f>
        <v>17.999999999999996</v>
      </c>
      <c r="O854" s="8">
        <f t="array" ref="O854">INDEX(TechRate,MATCH(H854,TechNum,0))</f>
        <v>140</v>
      </c>
      <c r="P854" s="10">
        <f>WorkOrders27[[#This Row],[Techs]]*(WorkOrders27[[#This Row],[PartsCost]]*WorkOrders27[[#This Row],[LbrHrs]])</f>
        <v>31.807600000000001</v>
      </c>
      <c r="Q854" s="10">
        <f t="shared" si="74"/>
        <v>31.807600000000001</v>
      </c>
      <c r="R854" s="10">
        <f t="shared" si="75"/>
        <v>31.807600000000001</v>
      </c>
      <c r="S854" s="10">
        <f t="shared" si="76"/>
        <v>63.615200000000002</v>
      </c>
      <c r="T854" s="10">
        <f t="shared" si="77"/>
        <v>63.615200000000002</v>
      </c>
      <c r="U854" s="8" t="str">
        <f t="shared" si="78"/>
        <v>Fri</v>
      </c>
      <c r="V854" s="8" t="str">
        <f t="shared" si="78"/>
        <v>Tue</v>
      </c>
    </row>
    <row r="855" spans="1:22" x14ac:dyDescent="0.25">
      <c r="A855" t="s">
        <v>399</v>
      </c>
      <c r="B855" t="s">
        <v>36</v>
      </c>
      <c r="C855" t="s">
        <v>7</v>
      </c>
      <c r="D855" t="s">
        <v>12</v>
      </c>
      <c r="F855" s="5">
        <v>44249</v>
      </c>
      <c r="G855" s="5">
        <v>44284</v>
      </c>
      <c r="H855" s="2">
        <v>2</v>
      </c>
      <c r="I855" s="6"/>
      <c r="J855" s="6"/>
      <c r="K855" s="7">
        <v>0.5</v>
      </c>
      <c r="L855" s="7">
        <v>239.96940000000001</v>
      </c>
      <c r="M855" t="s">
        <v>17</v>
      </c>
      <c r="N855" s="16">
        <f>POWER(SQRT(WorkOrders27[[#This Row],[WorkDate]]-WorkOrders27[[#This Row],[ReqDate]]),2)</f>
        <v>35</v>
      </c>
      <c r="O855" s="8">
        <f t="array" ref="O855">INDEX(TechRate,MATCH(H855,TechNum,0))</f>
        <v>140</v>
      </c>
      <c r="P855" s="10">
        <f>WorkOrders27[[#This Row],[Techs]]*(WorkOrders27[[#This Row],[PartsCost]]*WorkOrders27[[#This Row],[LbrHrs]])</f>
        <v>239.96940000000001</v>
      </c>
      <c r="Q855" s="10">
        <f t="shared" si="74"/>
        <v>239.96940000000001</v>
      </c>
      <c r="R855" s="10">
        <f t="shared" si="75"/>
        <v>239.96940000000001</v>
      </c>
      <c r="S855" s="10">
        <f t="shared" si="76"/>
        <v>479.93880000000001</v>
      </c>
      <c r="T855" s="10">
        <f t="shared" si="77"/>
        <v>479.93880000000001</v>
      </c>
      <c r="U855" s="8" t="str">
        <f t="shared" si="78"/>
        <v>Mon</v>
      </c>
      <c r="V855" s="8" t="str">
        <f t="shared" si="78"/>
        <v>Mon</v>
      </c>
    </row>
    <row r="856" spans="1:22" x14ac:dyDescent="0.25">
      <c r="A856" t="s">
        <v>400</v>
      </c>
      <c r="B856" t="s">
        <v>34</v>
      </c>
      <c r="C856" t="s">
        <v>9</v>
      </c>
      <c r="D856" t="s">
        <v>2</v>
      </c>
      <c r="F856" s="5">
        <v>44250</v>
      </c>
      <c r="G856" s="5">
        <v>44257</v>
      </c>
      <c r="H856" s="2">
        <v>1</v>
      </c>
      <c r="I856" s="6"/>
      <c r="J856" s="6"/>
      <c r="K856" s="7">
        <v>1</v>
      </c>
      <c r="L856" s="7">
        <v>90</v>
      </c>
      <c r="M856" t="s">
        <v>18</v>
      </c>
      <c r="N856" s="16">
        <f>POWER(SQRT(WorkOrders27[[#This Row],[WorkDate]]-WorkOrders27[[#This Row],[ReqDate]]),2)</f>
        <v>7.0000000000000009</v>
      </c>
      <c r="O856" s="8">
        <f t="array" ref="O856">INDEX(TechRate,MATCH(H856,TechNum,0))</f>
        <v>80</v>
      </c>
      <c r="P856" s="10">
        <f>WorkOrders27[[#This Row],[Techs]]*(WorkOrders27[[#This Row],[PartsCost]]*WorkOrders27[[#This Row],[LbrHrs]])</f>
        <v>90</v>
      </c>
      <c r="Q856" s="10">
        <f t="shared" si="74"/>
        <v>90</v>
      </c>
      <c r="R856" s="10">
        <f t="shared" si="75"/>
        <v>90</v>
      </c>
      <c r="S856" s="10">
        <f t="shared" si="76"/>
        <v>180</v>
      </c>
      <c r="T856" s="10">
        <f t="shared" si="77"/>
        <v>180</v>
      </c>
      <c r="U856" s="8" t="str">
        <f t="shared" si="78"/>
        <v>Tue</v>
      </c>
      <c r="V856" s="8" t="str">
        <f t="shared" si="78"/>
        <v>Tue</v>
      </c>
    </row>
    <row r="857" spans="1:22" x14ac:dyDescent="0.25">
      <c r="A857" t="s">
        <v>401</v>
      </c>
      <c r="B857" t="s">
        <v>37</v>
      </c>
      <c r="C857" t="s">
        <v>43</v>
      </c>
      <c r="D857" t="s">
        <v>11</v>
      </c>
      <c r="F857" s="5">
        <v>44250</v>
      </c>
      <c r="G857" s="5">
        <v>44271</v>
      </c>
      <c r="H857" s="2">
        <v>1</v>
      </c>
      <c r="I857" s="6"/>
      <c r="J857" s="6"/>
      <c r="K857" s="7">
        <v>0.25</v>
      </c>
      <c r="L857" s="7">
        <v>16.25</v>
      </c>
      <c r="M857" t="s">
        <v>17</v>
      </c>
      <c r="N857" s="16">
        <f>POWER(SQRT(WorkOrders27[[#This Row],[WorkDate]]-WorkOrders27[[#This Row],[ReqDate]]),2)</f>
        <v>21</v>
      </c>
      <c r="O857" s="8">
        <f t="array" ref="O857">INDEX(TechRate,MATCH(H857,TechNum,0))</f>
        <v>80</v>
      </c>
      <c r="P857" s="10">
        <f>WorkOrders27[[#This Row],[Techs]]*(WorkOrders27[[#This Row],[PartsCost]]*WorkOrders27[[#This Row],[LbrHrs]])</f>
        <v>4.0625</v>
      </c>
      <c r="Q857" s="10">
        <f t="shared" si="74"/>
        <v>4.0625</v>
      </c>
      <c r="R857" s="10">
        <f t="shared" si="75"/>
        <v>16.25</v>
      </c>
      <c r="S857" s="10">
        <f t="shared" si="76"/>
        <v>20.3125</v>
      </c>
      <c r="T857" s="10">
        <f t="shared" si="77"/>
        <v>20.3125</v>
      </c>
      <c r="U857" s="8" t="str">
        <f t="shared" si="78"/>
        <v>Tue</v>
      </c>
      <c r="V857" s="8" t="str">
        <f t="shared" si="78"/>
        <v>Tue</v>
      </c>
    </row>
    <row r="858" spans="1:22" x14ac:dyDescent="0.25">
      <c r="A858" t="s">
        <v>402</v>
      </c>
      <c r="B858" t="s">
        <v>34</v>
      </c>
      <c r="C858" t="s">
        <v>44</v>
      </c>
      <c r="D858" t="s">
        <v>12</v>
      </c>
      <c r="F858" s="5">
        <v>44250</v>
      </c>
      <c r="G858" s="5">
        <v>44287</v>
      </c>
      <c r="H858" s="2">
        <v>2</v>
      </c>
      <c r="I858" s="6"/>
      <c r="J858" s="6"/>
      <c r="K858" s="7">
        <v>0.25</v>
      </c>
      <c r="L858" s="7">
        <v>269.40269999999998</v>
      </c>
      <c r="M858" t="s">
        <v>18</v>
      </c>
      <c r="N858" s="16">
        <f>POWER(SQRT(WorkOrders27[[#This Row],[WorkDate]]-WorkOrders27[[#This Row],[ReqDate]]),2)</f>
        <v>36.999999999999993</v>
      </c>
      <c r="O858" s="8">
        <f t="array" ref="O858">INDEX(TechRate,MATCH(H858,TechNum,0))</f>
        <v>140</v>
      </c>
      <c r="P858" s="10">
        <f>WorkOrders27[[#This Row],[Techs]]*(WorkOrders27[[#This Row],[PartsCost]]*WorkOrders27[[#This Row],[LbrHrs]])</f>
        <v>134.70134999999999</v>
      </c>
      <c r="Q858" s="10">
        <f t="shared" si="74"/>
        <v>134.70134999999999</v>
      </c>
      <c r="R858" s="10">
        <f t="shared" si="75"/>
        <v>269.40269999999998</v>
      </c>
      <c r="S858" s="10">
        <f t="shared" si="76"/>
        <v>404.10404999999997</v>
      </c>
      <c r="T858" s="10">
        <f t="shared" si="77"/>
        <v>404.10404999999997</v>
      </c>
      <c r="U858" s="8" t="str">
        <f t="shared" si="78"/>
        <v>Tue</v>
      </c>
      <c r="V858" s="8" t="str">
        <f t="shared" si="78"/>
        <v>Thu</v>
      </c>
    </row>
    <row r="859" spans="1:22" x14ac:dyDescent="0.25">
      <c r="A859" t="s">
        <v>403</v>
      </c>
      <c r="B859" t="s">
        <v>37</v>
      </c>
      <c r="C859" t="s">
        <v>43</v>
      </c>
      <c r="D859" t="s">
        <v>11</v>
      </c>
      <c r="F859" s="5">
        <v>44251</v>
      </c>
      <c r="G859" s="5">
        <v>44270</v>
      </c>
      <c r="H859" s="2">
        <v>1</v>
      </c>
      <c r="I859" s="6"/>
      <c r="J859" s="6"/>
      <c r="K859" s="7">
        <v>0.25</v>
      </c>
      <c r="L859" s="7">
        <v>33.497100000000003</v>
      </c>
      <c r="M859" t="s">
        <v>17</v>
      </c>
      <c r="N859" s="16">
        <f>POWER(SQRT(WorkOrders27[[#This Row],[WorkDate]]-WorkOrders27[[#This Row],[ReqDate]]),2)</f>
        <v>19.000000000000004</v>
      </c>
      <c r="O859" s="8">
        <f t="array" ref="O859">INDEX(TechRate,MATCH(H859,TechNum,0))</f>
        <v>80</v>
      </c>
      <c r="P859" s="10">
        <f>WorkOrders27[[#This Row],[Techs]]*(WorkOrders27[[#This Row],[PartsCost]]*WorkOrders27[[#This Row],[LbrHrs]])</f>
        <v>8.3742750000000008</v>
      </c>
      <c r="Q859" s="10">
        <f t="shared" si="74"/>
        <v>8.3742750000000008</v>
      </c>
      <c r="R859" s="10">
        <f t="shared" si="75"/>
        <v>33.497100000000003</v>
      </c>
      <c r="S859" s="10">
        <f t="shared" si="76"/>
        <v>41.871375</v>
      </c>
      <c r="T859" s="10">
        <f t="shared" si="77"/>
        <v>41.871375</v>
      </c>
      <c r="U859" s="8" t="str">
        <f t="shared" si="78"/>
        <v>Wed</v>
      </c>
      <c r="V859" s="8" t="str">
        <f t="shared" si="78"/>
        <v>Mon</v>
      </c>
    </row>
    <row r="860" spans="1:22" x14ac:dyDescent="0.25">
      <c r="A860" t="s">
        <v>404</v>
      </c>
      <c r="B860" t="s">
        <v>34</v>
      </c>
      <c r="C860" t="s">
        <v>9</v>
      </c>
      <c r="D860" t="s">
        <v>12</v>
      </c>
      <c r="F860" s="5">
        <v>44252</v>
      </c>
      <c r="G860" s="5">
        <v>44263</v>
      </c>
      <c r="H860" s="2">
        <v>1</v>
      </c>
      <c r="I860" s="6"/>
      <c r="J860" s="6"/>
      <c r="K860" s="7">
        <v>0.25</v>
      </c>
      <c r="L860" s="7">
        <v>305.46260000000001</v>
      </c>
      <c r="M860" t="s">
        <v>17</v>
      </c>
      <c r="N860" s="16">
        <f>POWER(SQRT(WorkOrders27[[#This Row],[WorkDate]]-WorkOrders27[[#This Row],[ReqDate]]),2)</f>
        <v>11</v>
      </c>
      <c r="O860" s="8">
        <f t="array" ref="O860">INDEX(TechRate,MATCH(H860,TechNum,0))</f>
        <v>80</v>
      </c>
      <c r="P860" s="10">
        <f>WorkOrders27[[#This Row],[Techs]]*(WorkOrders27[[#This Row],[PartsCost]]*WorkOrders27[[#This Row],[LbrHrs]])</f>
        <v>76.365650000000002</v>
      </c>
      <c r="Q860" s="10">
        <f t="shared" si="74"/>
        <v>76.365650000000002</v>
      </c>
      <c r="R860" s="10">
        <f t="shared" si="75"/>
        <v>305.46260000000001</v>
      </c>
      <c r="S860" s="10">
        <f t="shared" si="76"/>
        <v>381.82825000000003</v>
      </c>
      <c r="T860" s="10">
        <f t="shared" si="77"/>
        <v>381.82825000000003</v>
      </c>
      <c r="U860" s="8" t="str">
        <f t="shared" si="78"/>
        <v>Thu</v>
      </c>
      <c r="V860" s="8" t="str">
        <f t="shared" si="78"/>
        <v>Mon</v>
      </c>
    </row>
    <row r="861" spans="1:22" x14ac:dyDescent="0.25">
      <c r="A861" t="s">
        <v>405</v>
      </c>
      <c r="B861" t="s">
        <v>37</v>
      </c>
      <c r="C861" t="s">
        <v>43</v>
      </c>
      <c r="D861" t="s">
        <v>13</v>
      </c>
      <c r="F861" s="5">
        <v>44252</v>
      </c>
      <c r="G861" s="5">
        <v>44270</v>
      </c>
      <c r="H861" s="2">
        <v>1</v>
      </c>
      <c r="I861" s="6"/>
      <c r="J861" s="6"/>
      <c r="K861" s="7">
        <v>0.75</v>
      </c>
      <c r="L861" s="7">
        <v>50.672400000000003</v>
      </c>
      <c r="M861" t="s">
        <v>19</v>
      </c>
      <c r="N861" s="16">
        <f>POWER(SQRT(WorkOrders27[[#This Row],[WorkDate]]-WorkOrders27[[#This Row],[ReqDate]]),2)</f>
        <v>17.999999999999996</v>
      </c>
      <c r="O861" s="8">
        <f t="array" ref="O861">INDEX(TechRate,MATCH(H861,TechNum,0))</f>
        <v>80</v>
      </c>
      <c r="P861" s="10">
        <f>WorkOrders27[[#This Row],[Techs]]*(WorkOrders27[[#This Row],[PartsCost]]*WorkOrders27[[#This Row],[LbrHrs]])</f>
        <v>38.004300000000001</v>
      </c>
      <c r="Q861" s="10">
        <f t="shared" si="74"/>
        <v>38.004300000000001</v>
      </c>
      <c r="R861" s="10">
        <f t="shared" si="75"/>
        <v>50.672400000000003</v>
      </c>
      <c r="S861" s="10">
        <f t="shared" si="76"/>
        <v>88.676700000000011</v>
      </c>
      <c r="T861" s="10">
        <f t="shared" si="77"/>
        <v>88.676700000000011</v>
      </c>
      <c r="U861" s="8" t="str">
        <f t="shared" si="78"/>
        <v>Thu</v>
      </c>
      <c r="V861" s="8" t="str">
        <f t="shared" si="78"/>
        <v>Mon</v>
      </c>
    </row>
    <row r="862" spans="1:22" x14ac:dyDescent="0.25">
      <c r="A862" t="s">
        <v>406</v>
      </c>
      <c r="B862" t="s">
        <v>37</v>
      </c>
      <c r="C862" t="s">
        <v>43</v>
      </c>
      <c r="D862" t="s">
        <v>13</v>
      </c>
      <c r="F862" s="5">
        <v>44252</v>
      </c>
      <c r="G862" s="5">
        <v>44271</v>
      </c>
      <c r="H862" s="2">
        <v>1</v>
      </c>
      <c r="I862" s="6"/>
      <c r="J862" s="6"/>
      <c r="K862" s="7">
        <v>0.5</v>
      </c>
      <c r="L862" s="7">
        <v>45.63</v>
      </c>
      <c r="M862" t="s">
        <v>19</v>
      </c>
      <c r="N862" s="16">
        <f>POWER(SQRT(WorkOrders27[[#This Row],[WorkDate]]-WorkOrders27[[#This Row],[ReqDate]]),2)</f>
        <v>19.000000000000004</v>
      </c>
      <c r="O862" s="8">
        <f t="array" ref="O862">INDEX(TechRate,MATCH(H862,TechNum,0))</f>
        <v>80</v>
      </c>
      <c r="P862" s="10">
        <f>WorkOrders27[[#This Row],[Techs]]*(WorkOrders27[[#This Row],[PartsCost]]*WorkOrders27[[#This Row],[LbrHrs]])</f>
        <v>22.815000000000001</v>
      </c>
      <c r="Q862" s="10">
        <f t="shared" si="74"/>
        <v>22.815000000000001</v>
      </c>
      <c r="R862" s="10">
        <f t="shared" si="75"/>
        <v>45.63</v>
      </c>
      <c r="S862" s="10">
        <f t="shared" si="76"/>
        <v>68.445000000000007</v>
      </c>
      <c r="T862" s="10">
        <f t="shared" si="77"/>
        <v>68.445000000000007</v>
      </c>
      <c r="U862" s="8" t="str">
        <f t="shared" si="78"/>
        <v>Thu</v>
      </c>
      <c r="V862" s="8" t="str">
        <f t="shared" si="78"/>
        <v>Tue</v>
      </c>
    </row>
    <row r="863" spans="1:22" x14ac:dyDescent="0.25">
      <c r="A863" t="s">
        <v>407</v>
      </c>
      <c r="B863" t="s">
        <v>38</v>
      </c>
      <c r="C863" t="s">
        <v>8</v>
      </c>
      <c r="D863" t="s">
        <v>13</v>
      </c>
      <c r="F863" s="5">
        <v>44252</v>
      </c>
      <c r="G863" s="5">
        <v>44279</v>
      </c>
      <c r="H863" s="2">
        <v>1</v>
      </c>
      <c r="I863" s="6"/>
      <c r="J863" s="6"/>
      <c r="K863" s="7">
        <v>1</v>
      </c>
      <c r="L863" s="7">
        <v>42.66</v>
      </c>
      <c r="M863" t="s">
        <v>18</v>
      </c>
      <c r="N863" s="16">
        <f>POWER(SQRT(WorkOrders27[[#This Row],[WorkDate]]-WorkOrders27[[#This Row],[ReqDate]]),2)</f>
        <v>27</v>
      </c>
      <c r="O863" s="8">
        <f t="array" ref="O863">INDEX(TechRate,MATCH(H863,TechNum,0))</f>
        <v>80</v>
      </c>
      <c r="P863" s="10">
        <f>WorkOrders27[[#This Row],[Techs]]*(WorkOrders27[[#This Row],[PartsCost]]*WorkOrders27[[#This Row],[LbrHrs]])</f>
        <v>42.66</v>
      </c>
      <c r="Q863" s="10">
        <f t="shared" si="74"/>
        <v>42.66</v>
      </c>
      <c r="R863" s="10">
        <f t="shared" si="75"/>
        <v>42.66</v>
      </c>
      <c r="S863" s="10">
        <f t="shared" si="76"/>
        <v>85.32</v>
      </c>
      <c r="T863" s="10">
        <f t="shared" si="77"/>
        <v>85.32</v>
      </c>
      <c r="U863" s="8" t="str">
        <f t="shared" si="78"/>
        <v>Thu</v>
      </c>
      <c r="V863" s="8" t="str">
        <f t="shared" si="78"/>
        <v>Wed</v>
      </c>
    </row>
    <row r="864" spans="1:22" x14ac:dyDescent="0.25">
      <c r="A864" t="s">
        <v>408</v>
      </c>
      <c r="B864" t="s">
        <v>34</v>
      </c>
      <c r="C864" t="s">
        <v>9</v>
      </c>
      <c r="D864" t="s">
        <v>12</v>
      </c>
      <c r="F864" s="5">
        <v>44252</v>
      </c>
      <c r="G864" s="5">
        <v>44293</v>
      </c>
      <c r="H864" s="2">
        <v>1</v>
      </c>
      <c r="I864" s="6"/>
      <c r="J864" s="6"/>
      <c r="K864" s="7">
        <v>0.25</v>
      </c>
      <c r="L864" s="7">
        <v>38.698399999999999</v>
      </c>
      <c r="M864" t="s">
        <v>19</v>
      </c>
      <c r="N864" s="16">
        <f>POWER(SQRT(WorkOrders27[[#This Row],[WorkDate]]-WorkOrders27[[#This Row],[ReqDate]]),2)</f>
        <v>41</v>
      </c>
      <c r="O864" s="8">
        <f t="array" ref="O864">INDEX(TechRate,MATCH(H864,TechNum,0))</f>
        <v>80</v>
      </c>
      <c r="P864" s="10">
        <f>WorkOrders27[[#This Row],[Techs]]*(WorkOrders27[[#This Row],[PartsCost]]*WorkOrders27[[#This Row],[LbrHrs]])</f>
        <v>9.6745999999999999</v>
      </c>
      <c r="Q864" s="10">
        <f t="shared" si="74"/>
        <v>9.6745999999999999</v>
      </c>
      <c r="R864" s="10">
        <f t="shared" si="75"/>
        <v>38.698399999999999</v>
      </c>
      <c r="S864" s="10">
        <f t="shared" si="76"/>
        <v>48.372999999999998</v>
      </c>
      <c r="T864" s="10">
        <f t="shared" si="77"/>
        <v>48.372999999999998</v>
      </c>
      <c r="U864" s="8" t="str">
        <f t="shared" si="78"/>
        <v>Thu</v>
      </c>
      <c r="V864" s="8" t="str">
        <f t="shared" si="78"/>
        <v>Wed</v>
      </c>
    </row>
    <row r="865" spans="1:22" x14ac:dyDescent="0.25">
      <c r="A865" t="s">
        <v>409</v>
      </c>
      <c r="B865" t="s">
        <v>34</v>
      </c>
      <c r="C865" t="s">
        <v>44</v>
      </c>
      <c r="D865" t="s">
        <v>12</v>
      </c>
      <c r="F865" s="5">
        <v>44256</v>
      </c>
      <c r="G865" s="5">
        <v>44270</v>
      </c>
      <c r="H865" s="2">
        <v>1</v>
      </c>
      <c r="I865" s="6"/>
      <c r="J865" s="6"/>
      <c r="K865" s="7">
        <v>0.25</v>
      </c>
      <c r="L865" s="7">
        <v>164.22120000000001</v>
      </c>
      <c r="M865" t="s">
        <v>17</v>
      </c>
      <c r="N865" s="16">
        <f>POWER(SQRT(WorkOrders27[[#This Row],[WorkDate]]-WorkOrders27[[#This Row],[ReqDate]]),2)</f>
        <v>14</v>
      </c>
      <c r="O865" s="8">
        <f t="array" ref="O865">INDEX(TechRate,MATCH(H865,TechNum,0))</f>
        <v>80</v>
      </c>
      <c r="P865" s="10">
        <f>WorkOrders27[[#This Row],[Techs]]*(WorkOrders27[[#This Row],[PartsCost]]*WorkOrders27[[#This Row],[LbrHrs]])</f>
        <v>41.055300000000003</v>
      </c>
      <c r="Q865" s="10">
        <f t="shared" si="74"/>
        <v>41.055300000000003</v>
      </c>
      <c r="R865" s="10">
        <f t="shared" si="75"/>
        <v>164.22120000000001</v>
      </c>
      <c r="S865" s="10">
        <f t="shared" si="76"/>
        <v>205.2765</v>
      </c>
      <c r="T865" s="10">
        <f t="shared" si="77"/>
        <v>205.2765</v>
      </c>
      <c r="U865" s="8" t="str">
        <f t="shared" si="78"/>
        <v>Mon</v>
      </c>
      <c r="V865" s="8" t="str">
        <f t="shared" si="78"/>
        <v>Mon</v>
      </c>
    </row>
    <row r="866" spans="1:22" x14ac:dyDescent="0.25">
      <c r="A866" t="s">
        <v>410</v>
      </c>
      <c r="B866" t="s">
        <v>38</v>
      </c>
      <c r="C866" t="s">
        <v>8</v>
      </c>
      <c r="D866" t="s">
        <v>13</v>
      </c>
      <c r="F866" s="5">
        <v>44256</v>
      </c>
      <c r="G866" s="5">
        <v>44270</v>
      </c>
      <c r="H866" s="2">
        <v>2</v>
      </c>
      <c r="I866" s="6"/>
      <c r="J866" s="6"/>
      <c r="K866" s="7">
        <v>0.5</v>
      </c>
      <c r="L866" s="7">
        <v>24.38</v>
      </c>
      <c r="M866" t="s">
        <v>17</v>
      </c>
      <c r="N866" s="16">
        <f>POWER(SQRT(WorkOrders27[[#This Row],[WorkDate]]-WorkOrders27[[#This Row],[ReqDate]]),2)</f>
        <v>14</v>
      </c>
      <c r="O866" s="8">
        <f t="array" ref="O866">INDEX(TechRate,MATCH(H866,TechNum,0))</f>
        <v>140</v>
      </c>
      <c r="P866" s="10">
        <f>WorkOrders27[[#This Row],[Techs]]*(WorkOrders27[[#This Row],[PartsCost]]*WorkOrders27[[#This Row],[LbrHrs]])</f>
        <v>24.38</v>
      </c>
      <c r="Q866" s="10">
        <f t="shared" si="74"/>
        <v>24.38</v>
      </c>
      <c r="R866" s="10">
        <f t="shared" si="75"/>
        <v>24.38</v>
      </c>
      <c r="S866" s="10">
        <f t="shared" si="76"/>
        <v>48.76</v>
      </c>
      <c r="T866" s="10">
        <f t="shared" si="77"/>
        <v>48.76</v>
      </c>
      <c r="U866" s="8" t="str">
        <f t="shared" si="78"/>
        <v>Mon</v>
      </c>
      <c r="V866" s="8" t="str">
        <f t="shared" si="78"/>
        <v>Mon</v>
      </c>
    </row>
    <row r="867" spans="1:22" x14ac:dyDescent="0.25">
      <c r="A867" t="s">
        <v>411</v>
      </c>
      <c r="B867" t="s">
        <v>37</v>
      </c>
      <c r="C867" t="s">
        <v>43</v>
      </c>
      <c r="D867" t="s">
        <v>12</v>
      </c>
      <c r="F867" s="5">
        <v>44256</v>
      </c>
      <c r="G867" s="5">
        <v>44279</v>
      </c>
      <c r="H867" s="2">
        <v>1</v>
      </c>
      <c r="I867" s="6"/>
      <c r="J867" s="6"/>
      <c r="K867" s="7">
        <v>0.25</v>
      </c>
      <c r="L867" s="7">
        <v>267.94040000000001</v>
      </c>
      <c r="M867" t="s">
        <v>19</v>
      </c>
      <c r="N867" s="16">
        <f>POWER(SQRT(WorkOrders27[[#This Row],[WorkDate]]-WorkOrders27[[#This Row],[ReqDate]]),2)</f>
        <v>22.999999999999996</v>
      </c>
      <c r="O867" s="8">
        <f t="array" ref="O867">INDEX(TechRate,MATCH(H867,TechNum,0))</f>
        <v>80</v>
      </c>
      <c r="P867" s="10">
        <f>WorkOrders27[[#This Row],[Techs]]*(WorkOrders27[[#This Row],[PartsCost]]*WorkOrders27[[#This Row],[LbrHrs]])</f>
        <v>66.985100000000003</v>
      </c>
      <c r="Q867" s="10">
        <f t="shared" si="74"/>
        <v>66.985100000000003</v>
      </c>
      <c r="R867" s="10">
        <f t="shared" si="75"/>
        <v>267.94040000000001</v>
      </c>
      <c r="S867" s="10">
        <f t="shared" si="76"/>
        <v>334.9255</v>
      </c>
      <c r="T867" s="10">
        <f t="shared" si="77"/>
        <v>334.9255</v>
      </c>
      <c r="U867" s="8" t="str">
        <f t="shared" si="78"/>
        <v>Mon</v>
      </c>
      <c r="V867" s="8" t="str">
        <f t="shared" si="78"/>
        <v>Wed</v>
      </c>
    </row>
    <row r="868" spans="1:22" x14ac:dyDescent="0.25">
      <c r="A868" t="s">
        <v>412</v>
      </c>
      <c r="B868" t="s">
        <v>40</v>
      </c>
      <c r="C868" t="s">
        <v>7</v>
      </c>
      <c r="D868" t="s">
        <v>12</v>
      </c>
      <c r="F868" s="5">
        <v>44256</v>
      </c>
      <c r="G868" s="5">
        <v>44299</v>
      </c>
      <c r="H868" s="2">
        <v>2</v>
      </c>
      <c r="I868" s="6"/>
      <c r="J868" s="6"/>
      <c r="K868" s="7">
        <v>0.5</v>
      </c>
      <c r="L868" s="7">
        <v>175.8682</v>
      </c>
      <c r="M868" t="s">
        <v>17</v>
      </c>
      <c r="N868" s="16">
        <f>POWER(SQRT(WorkOrders27[[#This Row],[WorkDate]]-WorkOrders27[[#This Row],[ReqDate]]),2)</f>
        <v>42.999999999999993</v>
      </c>
      <c r="O868" s="8">
        <f t="array" ref="O868">INDEX(TechRate,MATCH(H868,TechNum,0))</f>
        <v>140</v>
      </c>
      <c r="P868" s="10">
        <f>WorkOrders27[[#This Row],[Techs]]*(WorkOrders27[[#This Row],[PartsCost]]*WorkOrders27[[#This Row],[LbrHrs]])</f>
        <v>175.8682</v>
      </c>
      <c r="Q868" s="10">
        <f t="shared" si="74"/>
        <v>175.8682</v>
      </c>
      <c r="R868" s="10">
        <f t="shared" si="75"/>
        <v>175.8682</v>
      </c>
      <c r="S868" s="10">
        <f t="shared" si="76"/>
        <v>351.7364</v>
      </c>
      <c r="T868" s="10">
        <f t="shared" si="77"/>
        <v>351.7364</v>
      </c>
      <c r="U868" s="8" t="str">
        <f t="shared" si="78"/>
        <v>Mon</v>
      </c>
      <c r="V868" s="8" t="str">
        <f t="shared" si="78"/>
        <v>Tue</v>
      </c>
    </row>
    <row r="869" spans="1:22" x14ac:dyDescent="0.25">
      <c r="A869" t="s">
        <v>413</v>
      </c>
      <c r="B869" t="s">
        <v>34</v>
      </c>
      <c r="C869" t="s">
        <v>44</v>
      </c>
      <c r="D869" t="s">
        <v>11</v>
      </c>
      <c r="F869" s="5">
        <v>44256</v>
      </c>
      <c r="G869" s="5">
        <v>44306</v>
      </c>
      <c r="H869" s="2">
        <v>1</v>
      </c>
      <c r="I869" s="6" t="s">
        <v>3</v>
      </c>
      <c r="J869" s="6" t="s">
        <v>3</v>
      </c>
      <c r="K869" s="7">
        <v>0.25</v>
      </c>
      <c r="L869" s="7">
        <v>81.12</v>
      </c>
      <c r="M869" t="s">
        <v>20</v>
      </c>
      <c r="N869" s="16">
        <f>POWER(SQRT(WorkOrders27[[#This Row],[WorkDate]]-WorkOrders27[[#This Row],[ReqDate]]),2)</f>
        <v>50.000000000000007</v>
      </c>
      <c r="O869" s="8">
        <f t="array" ref="O869">INDEX(TechRate,MATCH(H869,TechNum,0))</f>
        <v>80</v>
      </c>
      <c r="P869" s="10">
        <f>WorkOrders27[[#This Row],[Techs]]*(WorkOrders27[[#This Row],[PartsCost]]*WorkOrders27[[#This Row],[LbrHrs]])</f>
        <v>20.28</v>
      </c>
      <c r="Q869" s="10">
        <f t="shared" si="74"/>
        <v>0</v>
      </c>
      <c r="R869" s="10">
        <f t="shared" si="75"/>
        <v>0</v>
      </c>
      <c r="S869" s="10">
        <f t="shared" si="76"/>
        <v>101.4</v>
      </c>
      <c r="T869" s="10">
        <f t="shared" si="77"/>
        <v>0</v>
      </c>
      <c r="U869" s="8" t="str">
        <f t="shared" si="78"/>
        <v>Mon</v>
      </c>
      <c r="V869" s="8" t="str">
        <f t="shared" si="78"/>
        <v>Tue</v>
      </c>
    </row>
    <row r="870" spans="1:22" x14ac:dyDescent="0.25">
      <c r="A870" t="s">
        <v>414</v>
      </c>
      <c r="B870" t="s">
        <v>36</v>
      </c>
      <c r="C870" t="s">
        <v>7</v>
      </c>
      <c r="D870" t="s">
        <v>12</v>
      </c>
      <c r="F870" s="5">
        <v>44256</v>
      </c>
      <c r="G870" s="5">
        <v>44315</v>
      </c>
      <c r="H870" s="2">
        <v>2</v>
      </c>
      <c r="I870" s="6" t="s">
        <v>3</v>
      </c>
      <c r="J870" s="6" t="s">
        <v>3</v>
      </c>
      <c r="K870" s="7">
        <v>1</v>
      </c>
      <c r="L870" s="7">
        <v>9.98</v>
      </c>
      <c r="M870" t="s">
        <v>20</v>
      </c>
      <c r="N870" s="16">
        <f>POWER(SQRT(WorkOrders27[[#This Row],[WorkDate]]-WorkOrders27[[#This Row],[ReqDate]]),2)</f>
        <v>58.999999999999993</v>
      </c>
      <c r="O870" s="8">
        <f t="array" ref="O870">INDEX(TechRate,MATCH(H870,TechNum,0))</f>
        <v>140</v>
      </c>
      <c r="P870" s="10">
        <f>WorkOrders27[[#This Row],[Techs]]*(WorkOrders27[[#This Row],[PartsCost]]*WorkOrders27[[#This Row],[LbrHrs]])</f>
        <v>19.96</v>
      </c>
      <c r="Q870" s="10">
        <f t="shared" si="74"/>
        <v>0</v>
      </c>
      <c r="R870" s="10">
        <f t="shared" si="75"/>
        <v>0</v>
      </c>
      <c r="S870" s="10">
        <f t="shared" si="76"/>
        <v>29.94</v>
      </c>
      <c r="T870" s="10">
        <f t="shared" si="77"/>
        <v>0</v>
      </c>
      <c r="U870" s="8" t="str">
        <f t="shared" si="78"/>
        <v>Mon</v>
      </c>
      <c r="V870" s="8" t="str">
        <f t="shared" si="78"/>
        <v>Thu</v>
      </c>
    </row>
    <row r="871" spans="1:22" x14ac:dyDescent="0.25">
      <c r="A871" t="s">
        <v>415</v>
      </c>
      <c r="B871" t="s">
        <v>35</v>
      </c>
      <c r="C871" t="s">
        <v>8</v>
      </c>
      <c r="D871" t="s">
        <v>12</v>
      </c>
      <c r="F871" s="5">
        <v>44257</v>
      </c>
      <c r="G871" s="5">
        <v>44264</v>
      </c>
      <c r="H871" s="2">
        <v>1</v>
      </c>
      <c r="I871" s="6"/>
      <c r="J871" s="6"/>
      <c r="K871" s="7">
        <v>1.25</v>
      </c>
      <c r="L871" s="7">
        <v>340.70060000000001</v>
      </c>
      <c r="M871" t="s">
        <v>17</v>
      </c>
      <c r="N871" s="16">
        <f>POWER(SQRT(WorkOrders27[[#This Row],[WorkDate]]-WorkOrders27[[#This Row],[ReqDate]]),2)</f>
        <v>7.0000000000000009</v>
      </c>
      <c r="O871" s="8">
        <f t="array" ref="O871">INDEX(TechRate,MATCH(H871,TechNum,0))</f>
        <v>80</v>
      </c>
      <c r="P871" s="10">
        <f>WorkOrders27[[#This Row],[Techs]]*(WorkOrders27[[#This Row],[PartsCost]]*WorkOrders27[[#This Row],[LbrHrs]])</f>
        <v>425.87575000000004</v>
      </c>
      <c r="Q871" s="10">
        <f t="shared" si="74"/>
        <v>425.87575000000004</v>
      </c>
      <c r="R871" s="10">
        <f t="shared" si="75"/>
        <v>340.70060000000001</v>
      </c>
      <c r="S871" s="10">
        <f t="shared" si="76"/>
        <v>766.57635000000005</v>
      </c>
      <c r="T871" s="10">
        <f t="shared" si="77"/>
        <v>766.57635000000005</v>
      </c>
      <c r="U871" s="8" t="str">
        <f t="shared" si="78"/>
        <v>Tue</v>
      </c>
      <c r="V871" s="8" t="str">
        <f t="shared" si="78"/>
        <v>Tue</v>
      </c>
    </row>
    <row r="872" spans="1:22" x14ac:dyDescent="0.25">
      <c r="A872" t="s">
        <v>416</v>
      </c>
      <c r="B872" t="s">
        <v>35</v>
      </c>
      <c r="C872" t="s">
        <v>8</v>
      </c>
      <c r="D872" t="s">
        <v>13</v>
      </c>
      <c r="E872" t="s">
        <v>3</v>
      </c>
      <c r="F872" s="5">
        <v>44257</v>
      </c>
      <c r="G872" s="5">
        <v>44265</v>
      </c>
      <c r="H872" s="2">
        <v>1</v>
      </c>
      <c r="I872" s="6"/>
      <c r="J872" s="6"/>
      <c r="K872" s="7">
        <v>0.75</v>
      </c>
      <c r="L872" s="7">
        <v>22.84</v>
      </c>
      <c r="M872" t="s">
        <v>19</v>
      </c>
      <c r="N872" s="16">
        <f>POWER(SQRT(WorkOrders27[[#This Row],[WorkDate]]-WorkOrders27[[#This Row],[ReqDate]]),2)</f>
        <v>8.0000000000000018</v>
      </c>
      <c r="O872" s="8">
        <f t="array" ref="O872">INDEX(TechRate,MATCH(H872,TechNum,0))</f>
        <v>80</v>
      </c>
      <c r="P872" s="10">
        <f>WorkOrders27[[#This Row],[Techs]]*(WorkOrders27[[#This Row],[PartsCost]]*WorkOrders27[[#This Row],[LbrHrs]])</f>
        <v>17.13</v>
      </c>
      <c r="Q872" s="10">
        <f t="shared" si="74"/>
        <v>17.13</v>
      </c>
      <c r="R872" s="10">
        <f t="shared" si="75"/>
        <v>22.84</v>
      </c>
      <c r="S872" s="10">
        <f t="shared" si="76"/>
        <v>39.97</v>
      </c>
      <c r="T872" s="10">
        <f t="shared" si="77"/>
        <v>39.97</v>
      </c>
      <c r="U872" s="8" t="str">
        <f t="shared" si="78"/>
        <v>Tue</v>
      </c>
      <c r="V872" s="8" t="str">
        <f t="shared" si="78"/>
        <v>Wed</v>
      </c>
    </row>
    <row r="873" spans="1:22" x14ac:dyDescent="0.25">
      <c r="A873" t="s">
        <v>417</v>
      </c>
      <c r="B873" t="s">
        <v>37</v>
      </c>
      <c r="C873" t="s">
        <v>43</v>
      </c>
      <c r="D873" t="s">
        <v>13</v>
      </c>
      <c r="F873" s="5">
        <v>44257</v>
      </c>
      <c r="G873" s="5">
        <v>44266</v>
      </c>
      <c r="H873" s="2">
        <v>1</v>
      </c>
      <c r="I873" s="6"/>
      <c r="J873" s="6"/>
      <c r="K873" s="7">
        <v>0.5</v>
      </c>
      <c r="L873" s="7">
        <v>3.5750000000000002</v>
      </c>
      <c r="M873" t="s">
        <v>17</v>
      </c>
      <c r="N873" s="16">
        <f>POWER(SQRT(WorkOrders27[[#This Row],[WorkDate]]-WorkOrders27[[#This Row],[ReqDate]]),2)</f>
        <v>9</v>
      </c>
      <c r="O873" s="8">
        <f t="array" ref="O873">INDEX(TechRate,MATCH(H873,TechNum,0))</f>
        <v>80</v>
      </c>
      <c r="P873" s="10">
        <f>WorkOrders27[[#This Row],[Techs]]*(WorkOrders27[[#This Row],[PartsCost]]*WorkOrders27[[#This Row],[LbrHrs]])</f>
        <v>1.7875000000000001</v>
      </c>
      <c r="Q873" s="10">
        <f t="shared" si="74"/>
        <v>1.7875000000000001</v>
      </c>
      <c r="R873" s="10">
        <f t="shared" si="75"/>
        <v>3.5750000000000002</v>
      </c>
      <c r="S873" s="10">
        <f t="shared" si="76"/>
        <v>5.3625000000000007</v>
      </c>
      <c r="T873" s="10">
        <f t="shared" si="77"/>
        <v>5.3625000000000007</v>
      </c>
      <c r="U873" s="8" t="str">
        <f t="shared" si="78"/>
        <v>Tue</v>
      </c>
      <c r="V873" s="8" t="str">
        <f t="shared" si="78"/>
        <v>Thu</v>
      </c>
    </row>
    <row r="874" spans="1:22" x14ac:dyDescent="0.25">
      <c r="A874" t="s">
        <v>418</v>
      </c>
      <c r="B874" t="s">
        <v>37</v>
      </c>
      <c r="C874" t="s">
        <v>43</v>
      </c>
      <c r="D874" t="s">
        <v>12</v>
      </c>
      <c r="F874" s="5">
        <v>44257</v>
      </c>
      <c r="G874" s="5">
        <v>44266</v>
      </c>
      <c r="H874" s="2">
        <v>1</v>
      </c>
      <c r="I874" s="6"/>
      <c r="J874" s="6"/>
      <c r="K874" s="7">
        <v>0.25</v>
      </c>
      <c r="L874" s="7">
        <v>16.25</v>
      </c>
      <c r="M874" t="s">
        <v>17</v>
      </c>
      <c r="N874" s="16">
        <f>POWER(SQRT(WorkOrders27[[#This Row],[WorkDate]]-WorkOrders27[[#This Row],[ReqDate]]),2)</f>
        <v>9</v>
      </c>
      <c r="O874" s="8">
        <f t="array" ref="O874">INDEX(TechRate,MATCH(H874,TechNum,0))</f>
        <v>80</v>
      </c>
      <c r="P874" s="10">
        <f>WorkOrders27[[#This Row],[Techs]]*(WorkOrders27[[#This Row],[PartsCost]]*WorkOrders27[[#This Row],[LbrHrs]])</f>
        <v>4.0625</v>
      </c>
      <c r="Q874" s="10">
        <f t="shared" si="74"/>
        <v>4.0625</v>
      </c>
      <c r="R874" s="10">
        <f t="shared" si="75"/>
        <v>16.25</v>
      </c>
      <c r="S874" s="10">
        <f t="shared" si="76"/>
        <v>20.3125</v>
      </c>
      <c r="T874" s="10">
        <f t="shared" si="77"/>
        <v>20.3125</v>
      </c>
      <c r="U874" s="8" t="str">
        <f t="shared" si="78"/>
        <v>Tue</v>
      </c>
      <c r="V874" s="8" t="str">
        <f t="shared" si="78"/>
        <v>Thu</v>
      </c>
    </row>
    <row r="875" spans="1:22" x14ac:dyDescent="0.25">
      <c r="A875" t="s">
        <v>419</v>
      </c>
      <c r="B875" t="s">
        <v>34</v>
      </c>
      <c r="C875" t="s">
        <v>9</v>
      </c>
      <c r="D875" t="s">
        <v>13</v>
      </c>
      <c r="F875" s="5">
        <v>44257</v>
      </c>
      <c r="G875" s="5">
        <v>44275</v>
      </c>
      <c r="H875" s="2">
        <v>1</v>
      </c>
      <c r="I875" s="6"/>
      <c r="J875" s="6"/>
      <c r="K875" s="7">
        <v>0.75</v>
      </c>
      <c r="L875" s="7">
        <v>19.196999999999999</v>
      </c>
      <c r="M875" t="s">
        <v>19</v>
      </c>
      <c r="N875" s="16">
        <f>POWER(SQRT(WorkOrders27[[#This Row],[WorkDate]]-WorkOrders27[[#This Row],[ReqDate]]),2)</f>
        <v>17.999999999999996</v>
      </c>
      <c r="O875" s="8">
        <f t="array" ref="O875">INDEX(TechRate,MATCH(H875,TechNum,0))</f>
        <v>80</v>
      </c>
      <c r="P875" s="10">
        <f>WorkOrders27[[#This Row],[Techs]]*(WorkOrders27[[#This Row],[PartsCost]]*WorkOrders27[[#This Row],[LbrHrs]])</f>
        <v>14.397749999999998</v>
      </c>
      <c r="Q875" s="10">
        <f t="shared" si="74"/>
        <v>14.397749999999998</v>
      </c>
      <c r="R875" s="10">
        <f t="shared" si="75"/>
        <v>19.196999999999999</v>
      </c>
      <c r="S875" s="10">
        <f t="shared" si="76"/>
        <v>33.594749999999998</v>
      </c>
      <c r="T875" s="10">
        <f t="shared" si="77"/>
        <v>33.594749999999998</v>
      </c>
      <c r="U875" s="8" t="str">
        <f t="shared" si="78"/>
        <v>Tue</v>
      </c>
      <c r="V875" s="8" t="str">
        <f t="shared" si="78"/>
        <v>Sat</v>
      </c>
    </row>
    <row r="876" spans="1:22" x14ac:dyDescent="0.25">
      <c r="A876" t="s">
        <v>420</v>
      </c>
      <c r="B876" t="s">
        <v>39</v>
      </c>
      <c r="C876" t="s">
        <v>44</v>
      </c>
      <c r="D876" t="s">
        <v>11</v>
      </c>
      <c r="F876" s="5">
        <v>44257</v>
      </c>
      <c r="G876" s="5">
        <v>44271</v>
      </c>
      <c r="H876" s="2">
        <v>1</v>
      </c>
      <c r="I876" s="6"/>
      <c r="J876" s="6"/>
      <c r="K876" s="7">
        <v>0.25</v>
      </c>
      <c r="L876" s="7">
        <v>73.508899999999997</v>
      </c>
      <c r="M876" t="s">
        <v>19</v>
      </c>
      <c r="N876" s="16">
        <f>POWER(SQRT(WorkOrders27[[#This Row],[WorkDate]]-WorkOrders27[[#This Row],[ReqDate]]),2)</f>
        <v>14</v>
      </c>
      <c r="O876" s="8">
        <f t="array" ref="O876">INDEX(TechRate,MATCH(H876,TechNum,0))</f>
        <v>80</v>
      </c>
      <c r="P876" s="10">
        <f>WorkOrders27[[#This Row],[Techs]]*(WorkOrders27[[#This Row],[PartsCost]]*WorkOrders27[[#This Row],[LbrHrs]])</f>
        <v>18.377224999999999</v>
      </c>
      <c r="Q876" s="10">
        <f t="shared" si="74"/>
        <v>18.377224999999999</v>
      </c>
      <c r="R876" s="10">
        <f t="shared" si="75"/>
        <v>73.508899999999997</v>
      </c>
      <c r="S876" s="10">
        <f t="shared" si="76"/>
        <v>91.886124999999993</v>
      </c>
      <c r="T876" s="10">
        <f t="shared" si="77"/>
        <v>91.886124999999993</v>
      </c>
      <c r="U876" s="8" t="str">
        <f t="shared" si="78"/>
        <v>Tue</v>
      </c>
      <c r="V876" s="8" t="str">
        <f t="shared" si="78"/>
        <v>Tue</v>
      </c>
    </row>
    <row r="877" spans="1:22" x14ac:dyDescent="0.25">
      <c r="A877" t="s">
        <v>421</v>
      </c>
      <c r="B877" t="s">
        <v>34</v>
      </c>
      <c r="C877" t="s">
        <v>9</v>
      </c>
      <c r="D877" t="s">
        <v>12</v>
      </c>
      <c r="F877" s="5">
        <v>44257</v>
      </c>
      <c r="G877" s="5">
        <v>44278</v>
      </c>
      <c r="H877" s="2">
        <v>1</v>
      </c>
      <c r="I877" s="6"/>
      <c r="J877" s="6"/>
      <c r="K877" s="7">
        <v>0.25</v>
      </c>
      <c r="L877" s="7">
        <v>144</v>
      </c>
      <c r="M877" t="s">
        <v>19</v>
      </c>
      <c r="N877" s="16">
        <f>POWER(SQRT(WorkOrders27[[#This Row],[WorkDate]]-WorkOrders27[[#This Row],[ReqDate]]),2)</f>
        <v>21</v>
      </c>
      <c r="O877" s="8">
        <f t="array" ref="O877">INDEX(TechRate,MATCH(H877,TechNum,0))</f>
        <v>80</v>
      </c>
      <c r="P877" s="10">
        <f>WorkOrders27[[#This Row],[Techs]]*(WorkOrders27[[#This Row],[PartsCost]]*WorkOrders27[[#This Row],[LbrHrs]])</f>
        <v>36</v>
      </c>
      <c r="Q877" s="10">
        <f t="shared" si="74"/>
        <v>36</v>
      </c>
      <c r="R877" s="10">
        <f t="shared" si="75"/>
        <v>144</v>
      </c>
      <c r="S877" s="10">
        <f t="shared" si="76"/>
        <v>180</v>
      </c>
      <c r="T877" s="10">
        <f t="shared" si="77"/>
        <v>180</v>
      </c>
      <c r="U877" s="8" t="str">
        <f t="shared" si="78"/>
        <v>Tue</v>
      </c>
      <c r="V877" s="8" t="str">
        <f t="shared" si="78"/>
        <v>Tue</v>
      </c>
    </row>
    <row r="878" spans="1:22" x14ac:dyDescent="0.25">
      <c r="A878" t="s">
        <v>422</v>
      </c>
      <c r="B878" t="s">
        <v>39</v>
      </c>
      <c r="C878" t="s">
        <v>9</v>
      </c>
      <c r="D878" t="s">
        <v>1</v>
      </c>
      <c r="F878" s="5">
        <v>44257</v>
      </c>
      <c r="G878" s="5">
        <v>44278</v>
      </c>
      <c r="H878" s="2">
        <v>1</v>
      </c>
      <c r="I878" s="6"/>
      <c r="J878" s="6" t="s">
        <v>3</v>
      </c>
      <c r="K878" s="7">
        <v>2</v>
      </c>
      <c r="L878" s="7">
        <v>94.71</v>
      </c>
      <c r="M878" t="s">
        <v>18</v>
      </c>
      <c r="N878" s="16">
        <f>POWER(SQRT(WorkOrders27[[#This Row],[WorkDate]]-WorkOrders27[[#This Row],[ReqDate]]),2)</f>
        <v>21</v>
      </c>
      <c r="O878" s="8">
        <f t="array" ref="O878">INDEX(TechRate,MATCH(H878,TechNum,0))</f>
        <v>80</v>
      </c>
      <c r="P878" s="10">
        <f>WorkOrders27[[#This Row],[Techs]]*(WorkOrders27[[#This Row],[PartsCost]]*WorkOrders27[[#This Row],[LbrHrs]])</f>
        <v>189.42</v>
      </c>
      <c r="Q878" s="10">
        <f t="shared" si="74"/>
        <v>189.42</v>
      </c>
      <c r="R878" s="10">
        <f t="shared" si="75"/>
        <v>0</v>
      </c>
      <c r="S878" s="10">
        <f t="shared" si="76"/>
        <v>284.13</v>
      </c>
      <c r="T878" s="10">
        <f t="shared" si="77"/>
        <v>189.42</v>
      </c>
      <c r="U878" s="8" t="str">
        <f t="shared" si="78"/>
        <v>Tue</v>
      </c>
      <c r="V878" s="8" t="str">
        <f t="shared" si="78"/>
        <v>Tue</v>
      </c>
    </row>
    <row r="879" spans="1:22" x14ac:dyDescent="0.25">
      <c r="A879" t="s">
        <v>423</v>
      </c>
      <c r="B879" t="s">
        <v>34</v>
      </c>
      <c r="C879" t="s">
        <v>9</v>
      </c>
      <c r="D879" t="s">
        <v>12</v>
      </c>
      <c r="E879" t="s">
        <v>3</v>
      </c>
      <c r="F879" s="5">
        <v>44258</v>
      </c>
      <c r="G879" s="5">
        <v>44264</v>
      </c>
      <c r="H879" s="2">
        <v>2</v>
      </c>
      <c r="I879" s="6"/>
      <c r="J879" s="6"/>
      <c r="K879" s="7">
        <v>0.25</v>
      </c>
      <c r="L879" s="7">
        <v>41.153799999999997</v>
      </c>
      <c r="M879" t="s">
        <v>18</v>
      </c>
      <c r="N879" s="16">
        <f>POWER(SQRT(WorkOrders27[[#This Row],[WorkDate]]-WorkOrders27[[#This Row],[ReqDate]]),2)</f>
        <v>5.9999999999999991</v>
      </c>
      <c r="O879" s="8">
        <f t="array" ref="O879">INDEX(TechRate,MATCH(H879,TechNum,0))</f>
        <v>140</v>
      </c>
      <c r="P879" s="10">
        <f>WorkOrders27[[#This Row],[Techs]]*(WorkOrders27[[#This Row],[PartsCost]]*WorkOrders27[[#This Row],[LbrHrs]])</f>
        <v>20.576899999999998</v>
      </c>
      <c r="Q879" s="10">
        <f t="shared" si="74"/>
        <v>20.576899999999998</v>
      </c>
      <c r="R879" s="10">
        <f t="shared" si="75"/>
        <v>41.153799999999997</v>
      </c>
      <c r="S879" s="10">
        <f t="shared" si="76"/>
        <v>61.730699999999999</v>
      </c>
      <c r="T879" s="10">
        <f t="shared" si="77"/>
        <v>61.730699999999999</v>
      </c>
      <c r="U879" s="8" t="str">
        <f t="shared" si="78"/>
        <v>Wed</v>
      </c>
      <c r="V879" s="8" t="str">
        <f t="shared" si="78"/>
        <v>Tue</v>
      </c>
    </row>
    <row r="880" spans="1:22" x14ac:dyDescent="0.25">
      <c r="A880" t="s">
        <v>424</v>
      </c>
      <c r="B880" t="s">
        <v>40</v>
      </c>
      <c r="C880" t="s">
        <v>7</v>
      </c>
      <c r="D880" t="s">
        <v>13</v>
      </c>
      <c r="F880" s="5">
        <v>44258</v>
      </c>
      <c r="G880" s="5">
        <v>44292</v>
      </c>
      <c r="H880" s="2">
        <v>2</v>
      </c>
      <c r="I880" s="6"/>
      <c r="J880" s="6"/>
      <c r="K880" s="7">
        <v>0.5</v>
      </c>
      <c r="L880" s="7">
        <v>76.9499</v>
      </c>
      <c r="M880" t="s">
        <v>18</v>
      </c>
      <c r="N880" s="16">
        <f>POWER(SQRT(WorkOrders27[[#This Row],[WorkDate]]-WorkOrders27[[#This Row],[ReqDate]]),2)</f>
        <v>34</v>
      </c>
      <c r="O880" s="8">
        <f t="array" ref="O880">INDEX(TechRate,MATCH(H880,TechNum,0))</f>
        <v>140</v>
      </c>
      <c r="P880" s="10">
        <f>WorkOrders27[[#This Row],[Techs]]*(WorkOrders27[[#This Row],[PartsCost]]*WorkOrders27[[#This Row],[LbrHrs]])</f>
        <v>76.9499</v>
      </c>
      <c r="Q880" s="10">
        <f t="shared" si="74"/>
        <v>76.9499</v>
      </c>
      <c r="R880" s="10">
        <f t="shared" si="75"/>
        <v>76.9499</v>
      </c>
      <c r="S880" s="10">
        <f t="shared" si="76"/>
        <v>153.8998</v>
      </c>
      <c r="T880" s="10">
        <f t="shared" si="77"/>
        <v>153.8998</v>
      </c>
      <c r="U880" s="8" t="str">
        <f t="shared" si="78"/>
        <v>Wed</v>
      </c>
      <c r="V880" s="8" t="str">
        <f t="shared" si="78"/>
        <v>Tue</v>
      </c>
    </row>
    <row r="881" spans="1:22" x14ac:dyDescent="0.25">
      <c r="A881" t="s">
        <v>425</v>
      </c>
      <c r="B881" t="s">
        <v>38</v>
      </c>
      <c r="C881" t="s">
        <v>8</v>
      </c>
      <c r="D881" t="s">
        <v>12</v>
      </c>
      <c r="F881" s="5">
        <v>44258</v>
      </c>
      <c r="G881" s="5">
        <v>44312</v>
      </c>
      <c r="H881" s="2">
        <v>1</v>
      </c>
      <c r="I881" s="6"/>
      <c r="J881" s="6"/>
      <c r="K881" s="7">
        <v>0.5</v>
      </c>
      <c r="L881" s="7">
        <v>25.24</v>
      </c>
      <c r="M881" t="s">
        <v>19</v>
      </c>
      <c r="N881" s="16">
        <f>POWER(SQRT(WorkOrders27[[#This Row],[WorkDate]]-WorkOrders27[[#This Row],[ReqDate]]),2)</f>
        <v>54</v>
      </c>
      <c r="O881" s="8">
        <f t="array" ref="O881">INDEX(TechRate,MATCH(H881,TechNum,0))</f>
        <v>80</v>
      </c>
      <c r="P881" s="10">
        <f>WorkOrders27[[#This Row],[Techs]]*(WorkOrders27[[#This Row],[PartsCost]]*WorkOrders27[[#This Row],[LbrHrs]])</f>
        <v>12.62</v>
      </c>
      <c r="Q881" s="10">
        <f t="shared" si="74"/>
        <v>12.62</v>
      </c>
      <c r="R881" s="10">
        <f t="shared" si="75"/>
        <v>25.24</v>
      </c>
      <c r="S881" s="10">
        <f t="shared" si="76"/>
        <v>37.86</v>
      </c>
      <c r="T881" s="10">
        <f t="shared" si="77"/>
        <v>37.86</v>
      </c>
      <c r="U881" s="8" t="str">
        <f t="shared" si="78"/>
        <v>Wed</v>
      </c>
      <c r="V881" s="8" t="str">
        <f t="shared" si="78"/>
        <v>Mon</v>
      </c>
    </row>
    <row r="882" spans="1:22" x14ac:dyDescent="0.25">
      <c r="A882" t="s">
        <v>426</v>
      </c>
      <c r="B882" t="s">
        <v>35</v>
      </c>
      <c r="C882" t="s">
        <v>9</v>
      </c>
      <c r="D882" t="s">
        <v>12</v>
      </c>
      <c r="E882" t="s">
        <v>3</v>
      </c>
      <c r="F882" s="5">
        <v>44258</v>
      </c>
      <c r="G882" s="5">
        <v>44329</v>
      </c>
      <c r="H882" s="2">
        <v>2</v>
      </c>
      <c r="I882" s="6"/>
      <c r="J882" s="6"/>
      <c r="K882" s="7">
        <v>0.75</v>
      </c>
      <c r="L882" s="7">
        <v>572.62689999999998</v>
      </c>
      <c r="M882" t="s">
        <v>18</v>
      </c>
      <c r="N882" s="16">
        <f>POWER(SQRT(WorkOrders27[[#This Row],[WorkDate]]-WorkOrders27[[#This Row],[ReqDate]]),2)</f>
        <v>71</v>
      </c>
      <c r="O882" s="8">
        <f t="array" ref="O882">INDEX(TechRate,MATCH(H882,TechNum,0))</f>
        <v>140</v>
      </c>
      <c r="P882" s="10">
        <f>WorkOrders27[[#This Row],[Techs]]*(WorkOrders27[[#This Row],[PartsCost]]*WorkOrders27[[#This Row],[LbrHrs]])</f>
        <v>858.94034999999997</v>
      </c>
      <c r="Q882" s="10">
        <f t="shared" si="74"/>
        <v>858.94034999999997</v>
      </c>
      <c r="R882" s="10">
        <f t="shared" si="75"/>
        <v>572.62689999999998</v>
      </c>
      <c r="S882" s="10">
        <f t="shared" si="76"/>
        <v>1431.5672500000001</v>
      </c>
      <c r="T882" s="10">
        <f t="shared" si="77"/>
        <v>1431.5672500000001</v>
      </c>
      <c r="U882" s="8" t="str">
        <f t="shared" si="78"/>
        <v>Wed</v>
      </c>
      <c r="V882" s="8" t="str">
        <f t="shared" si="78"/>
        <v>Thu</v>
      </c>
    </row>
    <row r="883" spans="1:22" x14ac:dyDescent="0.25">
      <c r="A883" t="s">
        <v>427</v>
      </c>
      <c r="B883" t="s">
        <v>37</v>
      </c>
      <c r="C883" t="s">
        <v>9</v>
      </c>
      <c r="D883" t="s">
        <v>13</v>
      </c>
      <c r="F883" s="5">
        <v>44258</v>
      </c>
      <c r="G883" s="5">
        <v>44389</v>
      </c>
      <c r="H883" s="2">
        <v>2</v>
      </c>
      <c r="I883" s="6"/>
      <c r="J883" s="6"/>
      <c r="K883" s="7">
        <v>1.25</v>
      </c>
      <c r="L883" s="7">
        <v>361.90370000000001</v>
      </c>
      <c r="M883" t="s">
        <v>17</v>
      </c>
      <c r="N883" s="16">
        <f>POWER(SQRT(WorkOrders27[[#This Row],[WorkDate]]-WorkOrders27[[#This Row],[ReqDate]]),2)</f>
        <v>131</v>
      </c>
      <c r="O883" s="8">
        <f t="array" ref="O883">INDEX(TechRate,MATCH(H883,TechNum,0))</f>
        <v>140</v>
      </c>
      <c r="P883" s="10">
        <f>WorkOrders27[[#This Row],[Techs]]*(WorkOrders27[[#This Row],[PartsCost]]*WorkOrders27[[#This Row],[LbrHrs]])</f>
        <v>904.75925000000007</v>
      </c>
      <c r="Q883" s="10">
        <f t="shared" si="74"/>
        <v>904.75925000000007</v>
      </c>
      <c r="R883" s="10">
        <f t="shared" si="75"/>
        <v>361.90370000000001</v>
      </c>
      <c r="S883" s="10">
        <f t="shared" si="76"/>
        <v>1266.6629500000001</v>
      </c>
      <c r="T883" s="10">
        <f t="shared" si="77"/>
        <v>1266.6629500000001</v>
      </c>
      <c r="U883" s="8" t="str">
        <f t="shared" si="78"/>
        <v>Wed</v>
      </c>
      <c r="V883" s="8" t="str">
        <f t="shared" si="78"/>
        <v>Mon</v>
      </c>
    </row>
    <row r="884" spans="1:22" x14ac:dyDescent="0.25">
      <c r="A884" t="s">
        <v>428</v>
      </c>
      <c r="B884" t="s">
        <v>35</v>
      </c>
      <c r="C884" t="s">
        <v>44</v>
      </c>
      <c r="D884" t="s">
        <v>12</v>
      </c>
      <c r="F884" s="5">
        <v>44259</v>
      </c>
      <c r="G884" s="5">
        <v>44263</v>
      </c>
      <c r="H884" s="2">
        <v>1</v>
      </c>
      <c r="I884" s="6"/>
      <c r="J884" s="6"/>
      <c r="K884" s="7">
        <v>0.25</v>
      </c>
      <c r="L884" s="7">
        <v>110.2272</v>
      </c>
      <c r="M884" t="s">
        <v>17</v>
      </c>
      <c r="N884" s="16">
        <f>POWER(SQRT(WorkOrders27[[#This Row],[WorkDate]]-WorkOrders27[[#This Row],[ReqDate]]),2)</f>
        <v>4</v>
      </c>
      <c r="O884" s="8">
        <f t="array" ref="O884">INDEX(TechRate,MATCH(H884,TechNum,0))</f>
        <v>80</v>
      </c>
      <c r="P884" s="10">
        <f>WorkOrders27[[#This Row],[Techs]]*(WorkOrders27[[#This Row],[PartsCost]]*WorkOrders27[[#This Row],[LbrHrs]])</f>
        <v>27.556799999999999</v>
      </c>
      <c r="Q884" s="10">
        <f t="shared" si="74"/>
        <v>27.556799999999999</v>
      </c>
      <c r="R884" s="10">
        <f t="shared" si="75"/>
        <v>110.2272</v>
      </c>
      <c r="S884" s="10">
        <f t="shared" si="76"/>
        <v>137.78399999999999</v>
      </c>
      <c r="T884" s="10">
        <f t="shared" si="77"/>
        <v>137.78399999999999</v>
      </c>
      <c r="U884" s="8" t="str">
        <f t="shared" si="78"/>
        <v>Thu</v>
      </c>
      <c r="V884" s="8" t="str">
        <f t="shared" si="78"/>
        <v>Mon</v>
      </c>
    </row>
    <row r="885" spans="1:22" x14ac:dyDescent="0.25">
      <c r="A885" t="s">
        <v>429</v>
      </c>
      <c r="B885" t="s">
        <v>37</v>
      </c>
      <c r="C885" t="s">
        <v>43</v>
      </c>
      <c r="D885" t="s">
        <v>12</v>
      </c>
      <c r="F885" s="5">
        <v>44259</v>
      </c>
      <c r="G885" s="5">
        <v>44270</v>
      </c>
      <c r="H885" s="2">
        <v>1</v>
      </c>
      <c r="I885" s="6"/>
      <c r="J885" s="6"/>
      <c r="K885" s="7">
        <v>0.25</v>
      </c>
      <c r="L885" s="7">
        <v>33.910499999999999</v>
      </c>
      <c r="M885" t="s">
        <v>17</v>
      </c>
      <c r="N885" s="16">
        <f>POWER(SQRT(WorkOrders27[[#This Row],[WorkDate]]-WorkOrders27[[#This Row],[ReqDate]]),2)</f>
        <v>11</v>
      </c>
      <c r="O885" s="8">
        <f t="array" ref="O885">INDEX(TechRate,MATCH(H885,TechNum,0))</f>
        <v>80</v>
      </c>
      <c r="P885" s="10">
        <f>WorkOrders27[[#This Row],[Techs]]*(WorkOrders27[[#This Row],[PartsCost]]*WorkOrders27[[#This Row],[LbrHrs]])</f>
        <v>8.4776249999999997</v>
      </c>
      <c r="Q885" s="10">
        <f t="shared" si="74"/>
        <v>8.4776249999999997</v>
      </c>
      <c r="R885" s="10">
        <f t="shared" si="75"/>
        <v>33.910499999999999</v>
      </c>
      <c r="S885" s="10">
        <f t="shared" si="76"/>
        <v>42.388125000000002</v>
      </c>
      <c r="T885" s="10">
        <f t="shared" si="77"/>
        <v>42.388125000000002</v>
      </c>
      <c r="U885" s="8" t="str">
        <f t="shared" si="78"/>
        <v>Thu</v>
      </c>
      <c r="V885" s="8" t="str">
        <f t="shared" si="78"/>
        <v>Mon</v>
      </c>
    </row>
    <row r="886" spans="1:22" x14ac:dyDescent="0.25">
      <c r="A886" t="s">
        <v>430</v>
      </c>
      <c r="B886" t="s">
        <v>36</v>
      </c>
      <c r="C886" t="s">
        <v>7</v>
      </c>
      <c r="D886" t="s">
        <v>12</v>
      </c>
      <c r="F886" s="5">
        <v>44259</v>
      </c>
      <c r="G886" s="5">
        <v>44279</v>
      </c>
      <c r="H886" s="2">
        <v>2</v>
      </c>
      <c r="I886" s="6"/>
      <c r="J886" s="6"/>
      <c r="K886" s="7">
        <v>0.25</v>
      </c>
      <c r="L886" s="7">
        <v>19</v>
      </c>
      <c r="M886" t="s">
        <v>17</v>
      </c>
      <c r="N886" s="16">
        <f>POWER(SQRT(WorkOrders27[[#This Row],[WorkDate]]-WorkOrders27[[#This Row],[ReqDate]]),2)</f>
        <v>20.000000000000004</v>
      </c>
      <c r="O886" s="8">
        <f t="array" ref="O886">INDEX(TechRate,MATCH(H886,TechNum,0))</f>
        <v>140</v>
      </c>
      <c r="P886" s="10">
        <f>WorkOrders27[[#This Row],[Techs]]*(WorkOrders27[[#This Row],[PartsCost]]*WorkOrders27[[#This Row],[LbrHrs]])</f>
        <v>9.5</v>
      </c>
      <c r="Q886" s="10">
        <f t="shared" si="74"/>
        <v>9.5</v>
      </c>
      <c r="R886" s="10">
        <f t="shared" si="75"/>
        <v>19</v>
      </c>
      <c r="S886" s="10">
        <f t="shared" si="76"/>
        <v>28.5</v>
      </c>
      <c r="T886" s="10">
        <f t="shared" si="77"/>
        <v>28.5</v>
      </c>
      <c r="U886" s="8" t="str">
        <f t="shared" si="78"/>
        <v>Thu</v>
      </c>
      <c r="V886" s="8" t="str">
        <f t="shared" si="78"/>
        <v>Wed</v>
      </c>
    </row>
    <row r="887" spans="1:22" x14ac:dyDescent="0.25">
      <c r="A887" t="s">
        <v>431</v>
      </c>
      <c r="B887" t="s">
        <v>38</v>
      </c>
      <c r="C887" t="s">
        <v>8</v>
      </c>
      <c r="D887" t="s">
        <v>1</v>
      </c>
      <c r="F887" s="5">
        <v>44259</v>
      </c>
      <c r="G887" s="5">
        <v>44279</v>
      </c>
      <c r="H887" s="2">
        <v>1</v>
      </c>
      <c r="I887" s="6"/>
      <c r="J887" s="6"/>
      <c r="K887" s="7">
        <v>1.25</v>
      </c>
      <c r="L887" s="7">
        <v>294.77999999999997</v>
      </c>
      <c r="M887" t="s">
        <v>19</v>
      </c>
      <c r="N887" s="16">
        <f>POWER(SQRT(WorkOrders27[[#This Row],[WorkDate]]-WorkOrders27[[#This Row],[ReqDate]]),2)</f>
        <v>20.000000000000004</v>
      </c>
      <c r="O887" s="8">
        <f t="array" ref="O887">INDEX(TechRate,MATCH(H887,TechNum,0))</f>
        <v>80</v>
      </c>
      <c r="P887" s="10">
        <f>WorkOrders27[[#This Row],[Techs]]*(WorkOrders27[[#This Row],[PartsCost]]*WorkOrders27[[#This Row],[LbrHrs]])</f>
        <v>368.47499999999997</v>
      </c>
      <c r="Q887" s="10">
        <f t="shared" ref="Q887:Q950" si="79">IF(I887="Yes",0,P887)</f>
        <v>368.47499999999997</v>
      </c>
      <c r="R887" s="10">
        <f t="shared" ref="R887:R950" si="80">IF(J887="Yes",0,L887)</f>
        <v>294.77999999999997</v>
      </c>
      <c r="S887" s="10">
        <f t="shared" ref="S887:S950" si="81">SUM(L887,P887)</f>
        <v>663.25499999999988</v>
      </c>
      <c r="T887" s="10">
        <f t="shared" ref="T887:T950" si="82">SUM(Q887,R887)</f>
        <v>663.25499999999988</v>
      </c>
      <c r="U887" s="8" t="str">
        <f t="shared" si="78"/>
        <v>Thu</v>
      </c>
      <c r="V887" s="8" t="str">
        <f t="shared" si="78"/>
        <v>Wed</v>
      </c>
    </row>
    <row r="888" spans="1:22" x14ac:dyDescent="0.25">
      <c r="A888" t="s">
        <v>432</v>
      </c>
      <c r="B888" t="s">
        <v>40</v>
      </c>
      <c r="C888" t="s">
        <v>7</v>
      </c>
      <c r="D888" t="s">
        <v>12</v>
      </c>
      <c r="F888" s="5">
        <v>44259</v>
      </c>
      <c r="G888" s="5">
        <v>44312</v>
      </c>
      <c r="H888" s="2">
        <v>2</v>
      </c>
      <c r="I888" s="6"/>
      <c r="J888" s="6"/>
      <c r="K888" s="7">
        <v>0.25</v>
      </c>
      <c r="L888" s="7">
        <v>83.231700000000004</v>
      </c>
      <c r="M888" t="s">
        <v>17</v>
      </c>
      <c r="N888" s="16">
        <f>POWER(SQRT(WorkOrders27[[#This Row],[WorkDate]]-WorkOrders27[[#This Row],[ReqDate]]),2)</f>
        <v>53</v>
      </c>
      <c r="O888" s="8">
        <f t="array" ref="O888">INDEX(TechRate,MATCH(H888,TechNum,0))</f>
        <v>140</v>
      </c>
      <c r="P888" s="10">
        <f>WorkOrders27[[#This Row],[Techs]]*(WorkOrders27[[#This Row],[PartsCost]]*WorkOrders27[[#This Row],[LbrHrs]])</f>
        <v>41.615850000000002</v>
      </c>
      <c r="Q888" s="10">
        <f t="shared" si="79"/>
        <v>41.615850000000002</v>
      </c>
      <c r="R888" s="10">
        <f t="shared" si="80"/>
        <v>83.231700000000004</v>
      </c>
      <c r="S888" s="10">
        <f t="shared" si="81"/>
        <v>124.84755000000001</v>
      </c>
      <c r="T888" s="10">
        <f t="shared" si="82"/>
        <v>124.84755000000001</v>
      </c>
      <c r="U888" s="8" t="str">
        <f t="shared" si="78"/>
        <v>Thu</v>
      </c>
      <c r="V888" s="8" t="str">
        <f t="shared" si="78"/>
        <v>Mon</v>
      </c>
    </row>
    <row r="889" spans="1:22" x14ac:dyDescent="0.25">
      <c r="A889" t="s">
        <v>433</v>
      </c>
      <c r="B889" t="s">
        <v>37</v>
      </c>
      <c r="C889" t="s">
        <v>43</v>
      </c>
      <c r="D889" t="s">
        <v>12</v>
      </c>
      <c r="F889" s="5">
        <v>44263</v>
      </c>
      <c r="G889" s="5">
        <v>44271</v>
      </c>
      <c r="H889" s="2">
        <v>1</v>
      </c>
      <c r="I889" s="6"/>
      <c r="J889" s="6"/>
      <c r="K889" s="7">
        <v>0.75</v>
      </c>
      <c r="L889" s="7">
        <v>103.0842</v>
      </c>
      <c r="M889" t="s">
        <v>17</v>
      </c>
      <c r="N889" s="16">
        <f>POWER(SQRT(WorkOrders27[[#This Row],[WorkDate]]-WorkOrders27[[#This Row],[ReqDate]]),2)</f>
        <v>8.0000000000000018</v>
      </c>
      <c r="O889" s="8">
        <f t="array" ref="O889">INDEX(TechRate,MATCH(H889,TechNum,0))</f>
        <v>80</v>
      </c>
      <c r="P889" s="10">
        <f>WorkOrders27[[#This Row],[Techs]]*(WorkOrders27[[#This Row],[PartsCost]]*WorkOrders27[[#This Row],[LbrHrs]])</f>
        <v>77.313149999999993</v>
      </c>
      <c r="Q889" s="10">
        <f t="shared" si="79"/>
        <v>77.313149999999993</v>
      </c>
      <c r="R889" s="10">
        <f t="shared" si="80"/>
        <v>103.0842</v>
      </c>
      <c r="S889" s="10">
        <f t="shared" si="81"/>
        <v>180.39734999999999</v>
      </c>
      <c r="T889" s="10">
        <f t="shared" si="82"/>
        <v>180.39734999999999</v>
      </c>
      <c r="U889" s="8" t="str">
        <f t="shared" si="78"/>
        <v>Mon</v>
      </c>
      <c r="V889" s="8" t="str">
        <f t="shared" si="78"/>
        <v>Tue</v>
      </c>
    </row>
    <row r="890" spans="1:22" x14ac:dyDescent="0.25">
      <c r="A890" t="s">
        <v>434</v>
      </c>
      <c r="B890" t="s">
        <v>34</v>
      </c>
      <c r="C890" t="s">
        <v>44</v>
      </c>
      <c r="D890" t="s">
        <v>13</v>
      </c>
      <c r="F890" s="5">
        <v>44263</v>
      </c>
      <c r="G890" s="5">
        <v>44271</v>
      </c>
      <c r="H890" s="2">
        <v>2</v>
      </c>
      <c r="I890" s="6"/>
      <c r="J890" s="6"/>
      <c r="K890" s="7">
        <v>0.5</v>
      </c>
      <c r="L890" s="7">
        <v>144.30529999999999</v>
      </c>
      <c r="M890" t="s">
        <v>18</v>
      </c>
      <c r="N890" s="16">
        <f>POWER(SQRT(WorkOrders27[[#This Row],[WorkDate]]-WorkOrders27[[#This Row],[ReqDate]]),2)</f>
        <v>8.0000000000000018</v>
      </c>
      <c r="O890" s="8">
        <f t="array" ref="O890">INDEX(TechRate,MATCH(H890,TechNum,0))</f>
        <v>140</v>
      </c>
      <c r="P890" s="10">
        <f>WorkOrders27[[#This Row],[Techs]]*(WorkOrders27[[#This Row],[PartsCost]]*WorkOrders27[[#This Row],[LbrHrs]])</f>
        <v>144.30529999999999</v>
      </c>
      <c r="Q890" s="10">
        <f t="shared" si="79"/>
        <v>144.30529999999999</v>
      </c>
      <c r="R890" s="10">
        <f t="shared" si="80"/>
        <v>144.30529999999999</v>
      </c>
      <c r="S890" s="10">
        <f t="shared" si="81"/>
        <v>288.61059999999998</v>
      </c>
      <c r="T890" s="10">
        <f t="shared" si="82"/>
        <v>288.61059999999998</v>
      </c>
      <c r="U890" s="8" t="str">
        <f t="shared" si="78"/>
        <v>Mon</v>
      </c>
      <c r="V890" s="8" t="str">
        <f t="shared" si="78"/>
        <v>Tue</v>
      </c>
    </row>
    <row r="891" spans="1:22" x14ac:dyDescent="0.25">
      <c r="A891" t="s">
        <v>435</v>
      </c>
      <c r="B891" t="s">
        <v>36</v>
      </c>
      <c r="C891" t="s">
        <v>7</v>
      </c>
      <c r="D891" t="s">
        <v>12</v>
      </c>
      <c r="F891" s="5">
        <v>44263</v>
      </c>
      <c r="G891" s="5">
        <v>44280</v>
      </c>
      <c r="H891" s="2">
        <v>2</v>
      </c>
      <c r="I891" s="6"/>
      <c r="J891" s="6"/>
      <c r="K891" s="7">
        <v>0.25</v>
      </c>
      <c r="L891" s="7">
        <v>39</v>
      </c>
      <c r="M891" t="s">
        <v>17</v>
      </c>
      <c r="N891" s="16">
        <f>POWER(SQRT(WorkOrders27[[#This Row],[WorkDate]]-WorkOrders27[[#This Row],[ReqDate]]),2)</f>
        <v>17</v>
      </c>
      <c r="O891" s="8">
        <f t="array" ref="O891">INDEX(TechRate,MATCH(H891,TechNum,0))</f>
        <v>140</v>
      </c>
      <c r="P891" s="10">
        <f>WorkOrders27[[#This Row],[Techs]]*(WorkOrders27[[#This Row],[PartsCost]]*WorkOrders27[[#This Row],[LbrHrs]])</f>
        <v>19.5</v>
      </c>
      <c r="Q891" s="10">
        <f t="shared" si="79"/>
        <v>19.5</v>
      </c>
      <c r="R891" s="10">
        <f t="shared" si="80"/>
        <v>39</v>
      </c>
      <c r="S891" s="10">
        <f t="shared" si="81"/>
        <v>58.5</v>
      </c>
      <c r="T891" s="10">
        <f t="shared" si="82"/>
        <v>58.5</v>
      </c>
      <c r="U891" s="8" t="str">
        <f t="shared" si="78"/>
        <v>Mon</v>
      </c>
      <c r="V891" s="8" t="str">
        <f t="shared" si="78"/>
        <v>Thu</v>
      </c>
    </row>
    <row r="892" spans="1:22" x14ac:dyDescent="0.25">
      <c r="A892" t="s">
        <v>436</v>
      </c>
      <c r="B892" t="s">
        <v>34</v>
      </c>
      <c r="C892" t="s">
        <v>9</v>
      </c>
      <c r="D892" t="s">
        <v>1</v>
      </c>
      <c r="F892" s="5">
        <v>44263</v>
      </c>
      <c r="G892" s="5">
        <v>44282</v>
      </c>
      <c r="H892" s="2">
        <v>2</v>
      </c>
      <c r="I892" s="6"/>
      <c r="J892" s="6"/>
      <c r="K892" s="7">
        <v>2.5</v>
      </c>
      <c r="L892" s="7">
        <v>224</v>
      </c>
      <c r="M892" t="s">
        <v>18</v>
      </c>
      <c r="N892" s="16">
        <f>POWER(SQRT(WorkOrders27[[#This Row],[WorkDate]]-WorkOrders27[[#This Row],[ReqDate]]),2)</f>
        <v>19.000000000000004</v>
      </c>
      <c r="O892" s="8">
        <f t="array" ref="O892">INDEX(TechRate,MATCH(H892,TechNum,0))</f>
        <v>140</v>
      </c>
      <c r="P892" s="10">
        <f>WorkOrders27[[#This Row],[Techs]]*(WorkOrders27[[#This Row],[PartsCost]]*WorkOrders27[[#This Row],[LbrHrs]])</f>
        <v>1120</v>
      </c>
      <c r="Q892" s="10">
        <f t="shared" si="79"/>
        <v>1120</v>
      </c>
      <c r="R892" s="10">
        <f t="shared" si="80"/>
        <v>224</v>
      </c>
      <c r="S892" s="10">
        <f t="shared" si="81"/>
        <v>1344</v>
      </c>
      <c r="T892" s="10">
        <f t="shared" si="82"/>
        <v>1344</v>
      </c>
      <c r="U892" s="8" t="str">
        <f t="shared" si="78"/>
        <v>Mon</v>
      </c>
      <c r="V892" s="8" t="str">
        <f t="shared" si="78"/>
        <v>Sat</v>
      </c>
    </row>
    <row r="893" spans="1:22" x14ac:dyDescent="0.25">
      <c r="A893" t="s">
        <v>437</v>
      </c>
      <c r="B893" t="s">
        <v>37</v>
      </c>
      <c r="C893" t="s">
        <v>43</v>
      </c>
      <c r="D893" t="s">
        <v>12</v>
      </c>
      <c r="F893" s="5">
        <v>44263</v>
      </c>
      <c r="G893" s="5">
        <v>44359</v>
      </c>
      <c r="H893" s="2">
        <v>1</v>
      </c>
      <c r="I893" s="6"/>
      <c r="J893" s="6"/>
      <c r="K893" s="7">
        <v>0.5</v>
      </c>
      <c r="L893" s="7">
        <v>475.54</v>
      </c>
      <c r="M893" t="s">
        <v>17</v>
      </c>
      <c r="N893" s="16">
        <f>POWER(SQRT(WorkOrders27[[#This Row],[WorkDate]]-WorkOrders27[[#This Row],[ReqDate]]),2)</f>
        <v>95.999999999999986</v>
      </c>
      <c r="O893" s="8">
        <f t="array" ref="O893">INDEX(TechRate,MATCH(H893,TechNum,0))</f>
        <v>80</v>
      </c>
      <c r="P893" s="10">
        <f>WorkOrders27[[#This Row],[Techs]]*(WorkOrders27[[#This Row],[PartsCost]]*WorkOrders27[[#This Row],[LbrHrs]])</f>
        <v>237.77</v>
      </c>
      <c r="Q893" s="10">
        <f t="shared" si="79"/>
        <v>237.77</v>
      </c>
      <c r="R893" s="10">
        <f t="shared" si="80"/>
        <v>475.54</v>
      </c>
      <c r="S893" s="10">
        <f t="shared" si="81"/>
        <v>713.31000000000006</v>
      </c>
      <c r="T893" s="10">
        <f t="shared" si="82"/>
        <v>713.31000000000006</v>
      </c>
      <c r="U893" s="8" t="str">
        <f t="shared" si="78"/>
        <v>Mon</v>
      </c>
      <c r="V893" s="8" t="str">
        <f t="shared" si="78"/>
        <v>Sat</v>
      </c>
    </row>
    <row r="894" spans="1:22" x14ac:dyDescent="0.25">
      <c r="A894" t="s">
        <v>438</v>
      </c>
      <c r="B894" t="s">
        <v>34</v>
      </c>
      <c r="C894" t="s">
        <v>8</v>
      </c>
      <c r="D894" t="s">
        <v>12</v>
      </c>
      <c r="F894" s="5">
        <v>44264</v>
      </c>
      <c r="G894" s="5">
        <v>44271</v>
      </c>
      <c r="H894" s="2">
        <v>1</v>
      </c>
      <c r="I894" s="6"/>
      <c r="J894" s="6"/>
      <c r="K894" s="7">
        <v>1</v>
      </c>
      <c r="L894" s="7">
        <v>46.036799999999999</v>
      </c>
      <c r="M894" t="s">
        <v>18</v>
      </c>
      <c r="N894" s="16">
        <f>POWER(SQRT(WorkOrders27[[#This Row],[WorkDate]]-WorkOrders27[[#This Row],[ReqDate]]),2)</f>
        <v>7.0000000000000009</v>
      </c>
      <c r="O894" s="8">
        <f t="array" ref="O894">INDEX(TechRate,MATCH(H894,TechNum,0))</f>
        <v>80</v>
      </c>
      <c r="P894" s="10">
        <f>WorkOrders27[[#This Row],[Techs]]*(WorkOrders27[[#This Row],[PartsCost]]*WorkOrders27[[#This Row],[LbrHrs]])</f>
        <v>46.036799999999999</v>
      </c>
      <c r="Q894" s="10">
        <f t="shared" si="79"/>
        <v>46.036799999999999</v>
      </c>
      <c r="R894" s="10">
        <f t="shared" si="80"/>
        <v>46.036799999999999</v>
      </c>
      <c r="S894" s="10">
        <f t="shared" si="81"/>
        <v>92.073599999999999</v>
      </c>
      <c r="T894" s="10">
        <f t="shared" si="82"/>
        <v>92.073599999999999</v>
      </c>
      <c r="U894" s="8" t="str">
        <f t="shared" si="78"/>
        <v>Tue</v>
      </c>
      <c r="V894" s="8" t="str">
        <f t="shared" si="78"/>
        <v>Tue</v>
      </c>
    </row>
    <row r="895" spans="1:22" x14ac:dyDescent="0.25">
      <c r="A895" t="s">
        <v>439</v>
      </c>
      <c r="B895" t="s">
        <v>37</v>
      </c>
      <c r="C895" t="s">
        <v>43</v>
      </c>
      <c r="D895" t="s">
        <v>12</v>
      </c>
      <c r="F895" s="5">
        <v>44264</v>
      </c>
      <c r="G895" s="5">
        <v>44271</v>
      </c>
      <c r="H895" s="2">
        <v>1</v>
      </c>
      <c r="I895" s="6"/>
      <c r="J895" s="6"/>
      <c r="K895" s="7">
        <v>0.75</v>
      </c>
      <c r="L895" s="7">
        <v>294.5514</v>
      </c>
      <c r="M895" t="s">
        <v>17</v>
      </c>
      <c r="N895" s="16">
        <f>POWER(SQRT(WorkOrders27[[#This Row],[WorkDate]]-WorkOrders27[[#This Row],[ReqDate]]),2)</f>
        <v>7.0000000000000009</v>
      </c>
      <c r="O895" s="8">
        <f t="array" ref="O895">INDEX(TechRate,MATCH(H895,TechNum,0))</f>
        <v>80</v>
      </c>
      <c r="P895" s="10">
        <f>WorkOrders27[[#This Row],[Techs]]*(WorkOrders27[[#This Row],[PartsCost]]*WorkOrders27[[#This Row],[LbrHrs]])</f>
        <v>220.91354999999999</v>
      </c>
      <c r="Q895" s="10">
        <f t="shared" si="79"/>
        <v>220.91354999999999</v>
      </c>
      <c r="R895" s="10">
        <f t="shared" si="80"/>
        <v>294.5514</v>
      </c>
      <c r="S895" s="10">
        <f t="shared" si="81"/>
        <v>515.46495000000004</v>
      </c>
      <c r="T895" s="10">
        <f t="shared" si="82"/>
        <v>515.46495000000004</v>
      </c>
      <c r="U895" s="8" t="str">
        <f t="shared" si="78"/>
        <v>Tue</v>
      </c>
      <c r="V895" s="8" t="str">
        <f t="shared" si="78"/>
        <v>Tue</v>
      </c>
    </row>
    <row r="896" spans="1:22" x14ac:dyDescent="0.25">
      <c r="A896" t="s">
        <v>440</v>
      </c>
      <c r="B896" t="s">
        <v>38</v>
      </c>
      <c r="C896" t="s">
        <v>8</v>
      </c>
      <c r="D896" t="s">
        <v>13</v>
      </c>
      <c r="F896" s="5">
        <v>44264</v>
      </c>
      <c r="G896" s="5">
        <v>44341</v>
      </c>
      <c r="H896" s="2">
        <v>2</v>
      </c>
      <c r="I896" s="6"/>
      <c r="J896" s="6"/>
      <c r="K896" s="7">
        <v>1</v>
      </c>
      <c r="L896" s="7">
        <v>28.5</v>
      </c>
      <c r="M896" t="s">
        <v>19</v>
      </c>
      <c r="N896" s="16">
        <f>POWER(SQRT(WorkOrders27[[#This Row],[WorkDate]]-WorkOrders27[[#This Row],[ReqDate]]),2)</f>
        <v>77.000000000000014</v>
      </c>
      <c r="O896" s="8">
        <f t="array" ref="O896">INDEX(TechRate,MATCH(H896,TechNum,0))</f>
        <v>140</v>
      </c>
      <c r="P896" s="10">
        <f>WorkOrders27[[#This Row],[Techs]]*(WorkOrders27[[#This Row],[PartsCost]]*WorkOrders27[[#This Row],[LbrHrs]])</f>
        <v>57</v>
      </c>
      <c r="Q896" s="10">
        <f t="shared" si="79"/>
        <v>57</v>
      </c>
      <c r="R896" s="10">
        <f t="shared" si="80"/>
        <v>28.5</v>
      </c>
      <c r="S896" s="10">
        <f t="shared" si="81"/>
        <v>85.5</v>
      </c>
      <c r="T896" s="10">
        <f t="shared" si="82"/>
        <v>85.5</v>
      </c>
      <c r="U896" s="8" t="str">
        <f t="shared" si="78"/>
        <v>Tue</v>
      </c>
      <c r="V896" s="8" t="str">
        <f t="shared" si="78"/>
        <v>Tue</v>
      </c>
    </row>
    <row r="897" spans="1:22" x14ac:dyDescent="0.25">
      <c r="A897" t="s">
        <v>441</v>
      </c>
      <c r="B897" t="s">
        <v>40</v>
      </c>
      <c r="C897" t="s">
        <v>7</v>
      </c>
      <c r="D897" t="s">
        <v>1</v>
      </c>
      <c r="F897" s="5">
        <v>44265</v>
      </c>
      <c r="G897" s="5">
        <v>44267</v>
      </c>
      <c r="H897" s="2">
        <v>2</v>
      </c>
      <c r="I897" s="6"/>
      <c r="J897" s="6"/>
      <c r="K897" s="7">
        <v>1.5</v>
      </c>
      <c r="L897" s="7">
        <v>50</v>
      </c>
      <c r="M897" t="s">
        <v>17</v>
      </c>
      <c r="N897" s="16">
        <f>POWER(SQRT(WorkOrders27[[#This Row],[WorkDate]]-WorkOrders27[[#This Row],[ReqDate]]),2)</f>
        <v>2.0000000000000004</v>
      </c>
      <c r="O897" s="8">
        <f t="array" ref="O897">INDEX(TechRate,MATCH(H897,TechNum,0))</f>
        <v>140</v>
      </c>
      <c r="P897" s="10">
        <f>WorkOrders27[[#This Row],[Techs]]*(WorkOrders27[[#This Row],[PartsCost]]*WorkOrders27[[#This Row],[LbrHrs]])</f>
        <v>150</v>
      </c>
      <c r="Q897" s="10">
        <f t="shared" si="79"/>
        <v>150</v>
      </c>
      <c r="R897" s="10">
        <f t="shared" si="80"/>
        <v>50</v>
      </c>
      <c r="S897" s="10">
        <f t="shared" si="81"/>
        <v>200</v>
      </c>
      <c r="T897" s="10">
        <f t="shared" si="82"/>
        <v>200</v>
      </c>
      <c r="U897" s="8" t="str">
        <f t="shared" si="78"/>
        <v>Wed</v>
      </c>
      <c r="V897" s="8" t="str">
        <f t="shared" si="78"/>
        <v>Fri</v>
      </c>
    </row>
    <row r="898" spans="1:22" x14ac:dyDescent="0.25">
      <c r="A898" t="s">
        <v>442</v>
      </c>
      <c r="B898" t="s">
        <v>39</v>
      </c>
      <c r="C898" t="s">
        <v>8</v>
      </c>
      <c r="D898" t="s">
        <v>12</v>
      </c>
      <c r="F898" s="5">
        <v>44265</v>
      </c>
      <c r="G898" s="5">
        <v>44265</v>
      </c>
      <c r="H898" s="2">
        <v>1</v>
      </c>
      <c r="I898" s="6"/>
      <c r="J898" s="6"/>
      <c r="K898" s="7">
        <v>0.5</v>
      </c>
      <c r="L898" s="7">
        <v>10</v>
      </c>
      <c r="M898" t="s">
        <v>17</v>
      </c>
      <c r="N898" s="16">
        <f>POWER(SQRT(WorkOrders27[[#This Row],[WorkDate]]-WorkOrders27[[#This Row],[ReqDate]]),2)</f>
        <v>0</v>
      </c>
      <c r="O898" s="8">
        <f t="array" ref="O898">INDEX(TechRate,MATCH(H898,TechNum,0))</f>
        <v>80</v>
      </c>
      <c r="P898" s="10">
        <f>WorkOrders27[[#This Row],[Techs]]*(WorkOrders27[[#This Row],[PartsCost]]*WorkOrders27[[#This Row],[LbrHrs]])</f>
        <v>5</v>
      </c>
      <c r="Q898" s="10">
        <f t="shared" si="79"/>
        <v>5</v>
      </c>
      <c r="R898" s="10">
        <f t="shared" si="80"/>
        <v>10</v>
      </c>
      <c r="S898" s="10">
        <f t="shared" si="81"/>
        <v>15</v>
      </c>
      <c r="T898" s="10">
        <f t="shared" si="82"/>
        <v>15</v>
      </c>
      <c r="U898" s="8" t="str">
        <f t="shared" si="78"/>
        <v>Wed</v>
      </c>
      <c r="V898" s="8" t="str">
        <f t="shared" si="78"/>
        <v>Wed</v>
      </c>
    </row>
    <row r="899" spans="1:22" x14ac:dyDescent="0.25">
      <c r="A899" t="s">
        <v>443</v>
      </c>
      <c r="B899" t="s">
        <v>36</v>
      </c>
      <c r="C899" t="s">
        <v>7</v>
      </c>
      <c r="D899" t="s">
        <v>1</v>
      </c>
      <c r="E899" t="s">
        <v>3</v>
      </c>
      <c r="F899" s="5">
        <v>44265</v>
      </c>
      <c r="G899" s="5">
        <v>44272</v>
      </c>
      <c r="H899" s="2">
        <v>2</v>
      </c>
      <c r="I899" s="6"/>
      <c r="J899" s="6"/>
      <c r="K899" s="7">
        <v>1.5</v>
      </c>
      <c r="L899" s="7">
        <v>29.33</v>
      </c>
      <c r="M899" t="s">
        <v>17</v>
      </c>
      <c r="N899" s="16">
        <f>POWER(SQRT(WorkOrders27[[#This Row],[WorkDate]]-WorkOrders27[[#This Row],[ReqDate]]),2)</f>
        <v>7.0000000000000009</v>
      </c>
      <c r="O899" s="8">
        <f t="array" ref="O899">INDEX(TechRate,MATCH(H899,TechNum,0))</f>
        <v>140</v>
      </c>
      <c r="P899" s="10">
        <f>WorkOrders27[[#This Row],[Techs]]*(WorkOrders27[[#This Row],[PartsCost]]*WorkOrders27[[#This Row],[LbrHrs]])</f>
        <v>87.99</v>
      </c>
      <c r="Q899" s="10">
        <f t="shared" si="79"/>
        <v>87.99</v>
      </c>
      <c r="R899" s="10">
        <f t="shared" si="80"/>
        <v>29.33</v>
      </c>
      <c r="S899" s="10">
        <f t="shared" si="81"/>
        <v>117.32</v>
      </c>
      <c r="T899" s="10">
        <f t="shared" si="82"/>
        <v>117.32</v>
      </c>
      <c r="U899" s="8" t="str">
        <f t="shared" si="78"/>
        <v>Wed</v>
      </c>
      <c r="V899" s="8" t="str">
        <f t="shared" si="78"/>
        <v>Wed</v>
      </c>
    </row>
    <row r="900" spans="1:22" x14ac:dyDescent="0.25">
      <c r="A900" t="s">
        <v>444</v>
      </c>
      <c r="B900" t="s">
        <v>37</v>
      </c>
      <c r="C900" t="s">
        <v>9</v>
      </c>
      <c r="D900" t="s">
        <v>12</v>
      </c>
      <c r="E900" t="s">
        <v>3</v>
      </c>
      <c r="F900" s="5">
        <v>44265</v>
      </c>
      <c r="G900" s="5">
        <v>44272</v>
      </c>
      <c r="H900" s="2">
        <v>1</v>
      </c>
      <c r="I900" s="6"/>
      <c r="J900" s="6" t="s">
        <v>3</v>
      </c>
      <c r="K900" s="7">
        <v>0.25</v>
      </c>
      <c r="L900" s="7">
        <v>19.196999999999999</v>
      </c>
      <c r="M900" t="s">
        <v>18</v>
      </c>
      <c r="N900" s="16">
        <f>POWER(SQRT(WorkOrders27[[#This Row],[WorkDate]]-WorkOrders27[[#This Row],[ReqDate]]),2)</f>
        <v>7.0000000000000009</v>
      </c>
      <c r="O900" s="8">
        <f t="array" ref="O900">INDEX(TechRate,MATCH(H900,TechNum,0))</f>
        <v>80</v>
      </c>
      <c r="P900" s="10">
        <f>WorkOrders27[[#This Row],[Techs]]*(WorkOrders27[[#This Row],[PartsCost]]*WorkOrders27[[#This Row],[LbrHrs]])</f>
        <v>4.7992499999999998</v>
      </c>
      <c r="Q900" s="10">
        <f t="shared" si="79"/>
        <v>4.7992499999999998</v>
      </c>
      <c r="R900" s="10">
        <f t="shared" si="80"/>
        <v>0</v>
      </c>
      <c r="S900" s="10">
        <f t="shared" si="81"/>
        <v>23.99625</v>
      </c>
      <c r="T900" s="10">
        <f t="shared" si="82"/>
        <v>4.7992499999999998</v>
      </c>
      <c r="U900" s="8" t="str">
        <f t="shared" si="78"/>
        <v>Wed</v>
      </c>
      <c r="V900" s="8" t="str">
        <f t="shared" si="78"/>
        <v>Wed</v>
      </c>
    </row>
    <row r="901" spans="1:22" x14ac:dyDescent="0.25">
      <c r="A901" t="s">
        <v>445</v>
      </c>
      <c r="B901" t="s">
        <v>38</v>
      </c>
      <c r="C901" t="s">
        <v>8</v>
      </c>
      <c r="D901" t="s">
        <v>13</v>
      </c>
      <c r="F901" s="5">
        <v>44265</v>
      </c>
      <c r="G901" s="5">
        <v>44272</v>
      </c>
      <c r="H901" s="2">
        <v>2</v>
      </c>
      <c r="I901" s="6"/>
      <c r="J901" s="6"/>
      <c r="K901" s="7">
        <v>0.5</v>
      </c>
      <c r="L901" s="7">
        <v>24.186499999999999</v>
      </c>
      <c r="M901" t="s">
        <v>18</v>
      </c>
      <c r="N901" s="16">
        <f>POWER(SQRT(WorkOrders27[[#This Row],[WorkDate]]-WorkOrders27[[#This Row],[ReqDate]]),2)</f>
        <v>7.0000000000000009</v>
      </c>
      <c r="O901" s="8">
        <f t="array" ref="O901">INDEX(TechRate,MATCH(H901,TechNum,0))</f>
        <v>140</v>
      </c>
      <c r="P901" s="10">
        <f>WorkOrders27[[#This Row],[Techs]]*(WorkOrders27[[#This Row],[PartsCost]]*WorkOrders27[[#This Row],[LbrHrs]])</f>
        <v>24.186499999999999</v>
      </c>
      <c r="Q901" s="10">
        <f t="shared" si="79"/>
        <v>24.186499999999999</v>
      </c>
      <c r="R901" s="10">
        <f t="shared" si="80"/>
        <v>24.186499999999999</v>
      </c>
      <c r="S901" s="10">
        <f t="shared" si="81"/>
        <v>48.372999999999998</v>
      </c>
      <c r="T901" s="10">
        <f t="shared" si="82"/>
        <v>48.372999999999998</v>
      </c>
      <c r="U901" s="8" t="str">
        <f t="shared" si="78"/>
        <v>Wed</v>
      </c>
      <c r="V901" s="8" t="str">
        <f t="shared" si="78"/>
        <v>Wed</v>
      </c>
    </row>
    <row r="902" spans="1:22" x14ac:dyDescent="0.25">
      <c r="A902" t="s">
        <v>446</v>
      </c>
      <c r="B902" t="s">
        <v>40</v>
      </c>
      <c r="C902" t="s">
        <v>7</v>
      </c>
      <c r="D902" t="s">
        <v>12</v>
      </c>
      <c r="F902" s="5">
        <v>44265</v>
      </c>
      <c r="G902" s="5">
        <v>44273</v>
      </c>
      <c r="H902" s="2">
        <v>2</v>
      </c>
      <c r="I902" s="6"/>
      <c r="J902" s="6"/>
      <c r="K902" s="7">
        <v>0.5</v>
      </c>
      <c r="L902" s="7">
        <v>159</v>
      </c>
      <c r="M902" t="s">
        <v>17</v>
      </c>
      <c r="N902" s="16">
        <f>POWER(SQRT(WorkOrders27[[#This Row],[WorkDate]]-WorkOrders27[[#This Row],[ReqDate]]),2)</f>
        <v>8.0000000000000018</v>
      </c>
      <c r="O902" s="8">
        <f t="array" ref="O902">INDEX(TechRate,MATCH(H902,TechNum,0))</f>
        <v>140</v>
      </c>
      <c r="P902" s="10">
        <f>WorkOrders27[[#This Row],[Techs]]*(WorkOrders27[[#This Row],[PartsCost]]*WorkOrders27[[#This Row],[LbrHrs]])</f>
        <v>159</v>
      </c>
      <c r="Q902" s="10">
        <f t="shared" si="79"/>
        <v>159</v>
      </c>
      <c r="R902" s="10">
        <f t="shared" si="80"/>
        <v>159</v>
      </c>
      <c r="S902" s="10">
        <f t="shared" si="81"/>
        <v>318</v>
      </c>
      <c r="T902" s="10">
        <f t="shared" si="82"/>
        <v>318</v>
      </c>
      <c r="U902" s="8" t="str">
        <f t="shared" si="78"/>
        <v>Wed</v>
      </c>
      <c r="V902" s="8" t="str">
        <f t="shared" si="78"/>
        <v>Thu</v>
      </c>
    </row>
    <row r="903" spans="1:22" x14ac:dyDescent="0.25">
      <c r="A903" t="s">
        <v>447</v>
      </c>
      <c r="B903" t="s">
        <v>39</v>
      </c>
      <c r="C903" t="s">
        <v>9</v>
      </c>
      <c r="D903" t="s">
        <v>12</v>
      </c>
      <c r="F903" s="5">
        <v>44265</v>
      </c>
      <c r="G903" s="5">
        <v>44279</v>
      </c>
      <c r="H903" s="2">
        <v>2</v>
      </c>
      <c r="I903" s="6"/>
      <c r="J903" s="6" t="s">
        <v>3</v>
      </c>
      <c r="K903" s="7">
        <v>0.5</v>
      </c>
      <c r="L903" s="7">
        <v>411.09530000000001</v>
      </c>
      <c r="M903" t="s">
        <v>18</v>
      </c>
      <c r="N903" s="16">
        <f>POWER(SQRT(WorkOrders27[[#This Row],[WorkDate]]-WorkOrders27[[#This Row],[ReqDate]]),2)</f>
        <v>14</v>
      </c>
      <c r="O903" s="8">
        <f t="array" ref="O903">INDEX(TechRate,MATCH(H903,TechNum,0))</f>
        <v>140</v>
      </c>
      <c r="P903" s="10">
        <f>WorkOrders27[[#This Row],[Techs]]*(WorkOrders27[[#This Row],[PartsCost]]*WorkOrders27[[#This Row],[LbrHrs]])</f>
        <v>411.09530000000001</v>
      </c>
      <c r="Q903" s="10">
        <f t="shared" si="79"/>
        <v>411.09530000000001</v>
      </c>
      <c r="R903" s="10">
        <f t="shared" si="80"/>
        <v>0</v>
      </c>
      <c r="S903" s="10">
        <f t="shared" si="81"/>
        <v>822.19060000000002</v>
      </c>
      <c r="T903" s="10">
        <f t="shared" si="82"/>
        <v>411.09530000000001</v>
      </c>
      <c r="U903" s="8" t="str">
        <f t="shared" ref="U903:V966" si="83">TEXT(F903,"ddd")</f>
        <v>Wed</v>
      </c>
      <c r="V903" s="8" t="str">
        <f t="shared" si="83"/>
        <v>Wed</v>
      </c>
    </row>
    <row r="904" spans="1:22" x14ac:dyDescent="0.25">
      <c r="A904" t="s">
        <v>448</v>
      </c>
      <c r="B904" t="s">
        <v>36</v>
      </c>
      <c r="C904" t="s">
        <v>7</v>
      </c>
      <c r="D904" t="s">
        <v>12</v>
      </c>
      <c r="F904" s="5">
        <v>44265</v>
      </c>
      <c r="G904" s="5">
        <v>44294</v>
      </c>
      <c r="H904" s="2">
        <v>1</v>
      </c>
      <c r="I904" s="6"/>
      <c r="J904" s="6"/>
      <c r="K904" s="7">
        <v>0.75</v>
      </c>
      <c r="L904" s="7">
        <v>58.361699999999999</v>
      </c>
      <c r="M904" t="s">
        <v>17</v>
      </c>
      <c r="N904" s="16">
        <f>POWER(SQRT(WorkOrders27[[#This Row],[WorkDate]]-WorkOrders27[[#This Row],[ReqDate]]),2)</f>
        <v>28.999999999999996</v>
      </c>
      <c r="O904" s="8">
        <f t="array" ref="O904">INDEX(TechRate,MATCH(H904,TechNum,0))</f>
        <v>80</v>
      </c>
      <c r="P904" s="10">
        <f>WorkOrders27[[#This Row],[Techs]]*(WorkOrders27[[#This Row],[PartsCost]]*WorkOrders27[[#This Row],[LbrHrs]])</f>
        <v>43.771275000000003</v>
      </c>
      <c r="Q904" s="10">
        <f t="shared" si="79"/>
        <v>43.771275000000003</v>
      </c>
      <c r="R904" s="10">
        <f t="shared" si="80"/>
        <v>58.361699999999999</v>
      </c>
      <c r="S904" s="10">
        <f t="shared" si="81"/>
        <v>102.132975</v>
      </c>
      <c r="T904" s="10">
        <f t="shared" si="82"/>
        <v>102.132975</v>
      </c>
      <c r="U904" s="8" t="str">
        <f t="shared" si="83"/>
        <v>Wed</v>
      </c>
      <c r="V904" s="8" t="str">
        <f t="shared" si="83"/>
        <v>Thu</v>
      </c>
    </row>
    <row r="905" spans="1:22" x14ac:dyDescent="0.25">
      <c r="A905" t="s">
        <v>449</v>
      </c>
      <c r="B905" t="s">
        <v>39</v>
      </c>
      <c r="C905" t="s">
        <v>9</v>
      </c>
      <c r="D905" t="s">
        <v>2</v>
      </c>
      <c r="F905" s="5">
        <v>44265</v>
      </c>
      <c r="G905" s="5">
        <v>44306</v>
      </c>
      <c r="H905" s="2">
        <v>1</v>
      </c>
      <c r="I905" s="6"/>
      <c r="J905" s="6" t="s">
        <v>3</v>
      </c>
      <c r="K905" s="7">
        <v>1.75</v>
      </c>
      <c r="L905" s="7">
        <v>98.547600000000003</v>
      </c>
      <c r="M905" t="s">
        <v>18</v>
      </c>
      <c r="N905" s="16">
        <f>POWER(SQRT(WorkOrders27[[#This Row],[WorkDate]]-WorkOrders27[[#This Row],[ReqDate]]),2)</f>
        <v>41</v>
      </c>
      <c r="O905" s="8">
        <f t="array" ref="O905">INDEX(TechRate,MATCH(H905,TechNum,0))</f>
        <v>80</v>
      </c>
      <c r="P905" s="10">
        <f>WorkOrders27[[#This Row],[Techs]]*(WorkOrders27[[#This Row],[PartsCost]]*WorkOrders27[[#This Row],[LbrHrs]])</f>
        <v>172.45830000000001</v>
      </c>
      <c r="Q905" s="10">
        <f t="shared" si="79"/>
        <v>172.45830000000001</v>
      </c>
      <c r="R905" s="10">
        <f t="shared" si="80"/>
        <v>0</v>
      </c>
      <c r="S905" s="10">
        <f t="shared" si="81"/>
        <v>271.0059</v>
      </c>
      <c r="T905" s="10">
        <f t="shared" si="82"/>
        <v>172.45830000000001</v>
      </c>
      <c r="U905" s="8" t="str">
        <f t="shared" si="83"/>
        <v>Wed</v>
      </c>
      <c r="V905" s="8" t="str">
        <f t="shared" si="83"/>
        <v>Tue</v>
      </c>
    </row>
    <row r="906" spans="1:22" x14ac:dyDescent="0.25">
      <c r="A906" t="s">
        <v>450</v>
      </c>
      <c r="B906" t="s">
        <v>40</v>
      </c>
      <c r="C906" t="s">
        <v>7</v>
      </c>
      <c r="D906" t="s">
        <v>2</v>
      </c>
      <c r="F906" s="5">
        <v>44265</v>
      </c>
      <c r="G906" s="5">
        <v>44307</v>
      </c>
      <c r="H906" s="2">
        <v>2</v>
      </c>
      <c r="I906" s="6" t="s">
        <v>3</v>
      </c>
      <c r="J906" s="6" t="s">
        <v>3</v>
      </c>
      <c r="K906" s="7">
        <v>2</v>
      </c>
      <c r="L906" s="7">
        <v>145.14920000000001</v>
      </c>
      <c r="M906" t="s">
        <v>20</v>
      </c>
      <c r="N906" s="16">
        <f>POWER(SQRT(WorkOrders27[[#This Row],[WorkDate]]-WorkOrders27[[#This Row],[ReqDate]]),2)</f>
        <v>42</v>
      </c>
      <c r="O906" s="8">
        <f t="array" ref="O906">INDEX(TechRate,MATCH(H906,TechNum,0))</f>
        <v>140</v>
      </c>
      <c r="P906" s="10">
        <f>WorkOrders27[[#This Row],[Techs]]*(WorkOrders27[[#This Row],[PartsCost]]*WorkOrders27[[#This Row],[LbrHrs]])</f>
        <v>580.59680000000003</v>
      </c>
      <c r="Q906" s="10">
        <f t="shared" si="79"/>
        <v>0</v>
      </c>
      <c r="R906" s="10">
        <f t="shared" si="80"/>
        <v>0</v>
      </c>
      <c r="S906" s="10">
        <f t="shared" si="81"/>
        <v>725.74600000000009</v>
      </c>
      <c r="T906" s="10">
        <f t="shared" si="82"/>
        <v>0</v>
      </c>
      <c r="U906" s="8" t="str">
        <f t="shared" si="83"/>
        <v>Wed</v>
      </c>
      <c r="V906" s="8" t="str">
        <f t="shared" si="83"/>
        <v>Wed</v>
      </c>
    </row>
    <row r="907" spans="1:22" x14ac:dyDescent="0.25">
      <c r="A907" t="s">
        <v>451</v>
      </c>
      <c r="B907" t="s">
        <v>39</v>
      </c>
      <c r="C907" t="s">
        <v>9</v>
      </c>
      <c r="D907" t="s">
        <v>13</v>
      </c>
      <c r="F907" s="5">
        <v>44266</v>
      </c>
      <c r="G907" s="5">
        <v>44266</v>
      </c>
      <c r="H907" s="2">
        <v>2</v>
      </c>
      <c r="I907" s="6"/>
      <c r="J907" s="6"/>
      <c r="K907" s="7">
        <v>0.75</v>
      </c>
      <c r="L907" s="7">
        <v>125.7273</v>
      </c>
      <c r="M907" t="s">
        <v>17</v>
      </c>
      <c r="N907" s="16">
        <f>POWER(SQRT(WorkOrders27[[#This Row],[WorkDate]]-WorkOrders27[[#This Row],[ReqDate]]),2)</f>
        <v>0</v>
      </c>
      <c r="O907" s="8">
        <f t="array" ref="O907">INDEX(TechRate,MATCH(H907,TechNum,0))</f>
        <v>140</v>
      </c>
      <c r="P907" s="10">
        <f>WorkOrders27[[#This Row],[Techs]]*(WorkOrders27[[#This Row],[PartsCost]]*WorkOrders27[[#This Row],[LbrHrs]])</f>
        <v>188.59094999999999</v>
      </c>
      <c r="Q907" s="10">
        <f t="shared" si="79"/>
        <v>188.59094999999999</v>
      </c>
      <c r="R907" s="10">
        <f t="shared" si="80"/>
        <v>125.7273</v>
      </c>
      <c r="S907" s="10">
        <f t="shared" si="81"/>
        <v>314.31824999999998</v>
      </c>
      <c r="T907" s="10">
        <f t="shared" si="82"/>
        <v>314.31824999999998</v>
      </c>
      <c r="U907" s="8" t="str">
        <f t="shared" si="83"/>
        <v>Thu</v>
      </c>
      <c r="V907" s="8" t="str">
        <f t="shared" si="83"/>
        <v>Thu</v>
      </c>
    </row>
    <row r="908" spans="1:22" x14ac:dyDescent="0.25">
      <c r="A908" t="s">
        <v>452</v>
      </c>
      <c r="B908" t="s">
        <v>35</v>
      </c>
      <c r="C908" t="s">
        <v>8</v>
      </c>
      <c r="D908" t="s">
        <v>12</v>
      </c>
      <c r="E908" t="s">
        <v>3</v>
      </c>
      <c r="F908" s="5">
        <v>44266</v>
      </c>
      <c r="G908" s="5">
        <v>44348</v>
      </c>
      <c r="H908" s="2">
        <v>1</v>
      </c>
      <c r="I908" s="6"/>
      <c r="J908" s="6"/>
      <c r="K908" s="7">
        <v>0.25</v>
      </c>
      <c r="L908" s="7">
        <v>204.28399999999999</v>
      </c>
      <c r="M908" t="s">
        <v>18</v>
      </c>
      <c r="N908" s="16">
        <f>POWER(SQRT(WorkOrders27[[#This Row],[WorkDate]]-WorkOrders27[[#This Row],[ReqDate]]),2)</f>
        <v>82.000000000000014</v>
      </c>
      <c r="O908" s="8">
        <f t="array" ref="O908">INDEX(TechRate,MATCH(H908,TechNum,0))</f>
        <v>80</v>
      </c>
      <c r="P908" s="10">
        <f>WorkOrders27[[#This Row],[Techs]]*(WorkOrders27[[#This Row],[PartsCost]]*WorkOrders27[[#This Row],[LbrHrs]])</f>
        <v>51.070999999999998</v>
      </c>
      <c r="Q908" s="10">
        <f t="shared" si="79"/>
        <v>51.070999999999998</v>
      </c>
      <c r="R908" s="10">
        <f t="shared" si="80"/>
        <v>204.28399999999999</v>
      </c>
      <c r="S908" s="10">
        <f t="shared" si="81"/>
        <v>255.35499999999999</v>
      </c>
      <c r="T908" s="10">
        <f t="shared" si="82"/>
        <v>255.35499999999999</v>
      </c>
      <c r="U908" s="8" t="str">
        <f t="shared" si="83"/>
        <v>Thu</v>
      </c>
      <c r="V908" s="8" t="str">
        <f t="shared" si="83"/>
        <v>Tue</v>
      </c>
    </row>
    <row r="909" spans="1:22" x14ac:dyDescent="0.25">
      <c r="A909" t="s">
        <v>453</v>
      </c>
      <c r="B909" t="s">
        <v>34</v>
      </c>
      <c r="C909" t="s">
        <v>44</v>
      </c>
      <c r="D909" t="s">
        <v>11</v>
      </c>
      <c r="F909" s="5">
        <v>44266</v>
      </c>
      <c r="G909" s="5">
        <v>44394</v>
      </c>
      <c r="H909" s="2">
        <v>1</v>
      </c>
      <c r="I909" s="6"/>
      <c r="J909" s="6"/>
      <c r="K909" s="7">
        <v>0.25</v>
      </c>
      <c r="L909" s="7">
        <v>120</v>
      </c>
      <c r="M909" t="s">
        <v>17</v>
      </c>
      <c r="N909" s="16">
        <f>POWER(SQRT(WorkOrders27[[#This Row],[WorkDate]]-WorkOrders27[[#This Row],[ReqDate]]),2)</f>
        <v>128.00000000000003</v>
      </c>
      <c r="O909" s="8">
        <f t="array" ref="O909">INDEX(TechRate,MATCH(H909,TechNum,0))</f>
        <v>80</v>
      </c>
      <c r="P909" s="10">
        <f>WorkOrders27[[#This Row],[Techs]]*(WorkOrders27[[#This Row],[PartsCost]]*WorkOrders27[[#This Row],[LbrHrs]])</f>
        <v>30</v>
      </c>
      <c r="Q909" s="10">
        <f t="shared" si="79"/>
        <v>30</v>
      </c>
      <c r="R909" s="10">
        <f t="shared" si="80"/>
        <v>120</v>
      </c>
      <c r="S909" s="10">
        <f t="shared" si="81"/>
        <v>150</v>
      </c>
      <c r="T909" s="10">
        <f t="shared" si="82"/>
        <v>150</v>
      </c>
      <c r="U909" s="8" t="str">
        <f t="shared" si="83"/>
        <v>Thu</v>
      </c>
      <c r="V909" s="8" t="str">
        <f t="shared" si="83"/>
        <v>Sat</v>
      </c>
    </row>
    <row r="910" spans="1:22" x14ac:dyDescent="0.25">
      <c r="A910" t="s">
        <v>454</v>
      </c>
      <c r="B910" t="s">
        <v>36</v>
      </c>
      <c r="C910" t="s">
        <v>7</v>
      </c>
      <c r="D910" t="s">
        <v>12</v>
      </c>
      <c r="F910" s="5">
        <v>44270</v>
      </c>
      <c r="G910" s="5">
        <v>44282</v>
      </c>
      <c r="H910" s="2">
        <v>2</v>
      </c>
      <c r="I910" s="6"/>
      <c r="J910" s="6"/>
      <c r="K910" s="7">
        <v>1</v>
      </c>
      <c r="L910" s="7">
        <v>203</v>
      </c>
      <c r="M910" t="s">
        <v>17</v>
      </c>
      <c r="N910" s="16">
        <f>POWER(SQRT(WorkOrders27[[#This Row],[WorkDate]]-WorkOrders27[[#This Row],[ReqDate]]),2)</f>
        <v>11.999999999999998</v>
      </c>
      <c r="O910" s="8">
        <f t="array" ref="O910">INDEX(TechRate,MATCH(H910,TechNum,0))</f>
        <v>140</v>
      </c>
      <c r="P910" s="10">
        <f>WorkOrders27[[#This Row],[Techs]]*(WorkOrders27[[#This Row],[PartsCost]]*WorkOrders27[[#This Row],[LbrHrs]])</f>
        <v>406</v>
      </c>
      <c r="Q910" s="10">
        <f t="shared" si="79"/>
        <v>406</v>
      </c>
      <c r="R910" s="10">
        <f t="shared" si="80"/>
        <v>203</v>
      </c>
      <c r="S910" s="10">
        <f t="shared" si="81"/>
        <v>609</v>
      </c>
      <c r="T910" s="10">
        <f t="shared" si="82"/>
        <v>609</v>
      </c>
      <c r="U910" s="8" t="str">
        <f t="shared" si="83"/>
        <v>Mon</v>
      </c>
      <c r="V910" s="8" t="str">
        <f t="shared" si="83"/>
        <v>Sat</v>
      </c>
    </row>
    <row r="911" spans="1:22" x14ac:dyDescent="0.25">
      <c r="A911" t="s">
        <v>455</v>
      </c>
      <c r="B911" t="s">
        <v>40</v>
      </c>
      <c r="C911" t="s">
        <v>7</v>
      </c>
      <c r="D911" t="s">
        <v>12</v>
      </c>
      <c r="F911" s="5">
        <v>44270</v>
      </c>
      <c r="G911" s="5">
        <v>44278</v>
      </c>
      <c r="H911" s="2">
        <v>2</v>
      </c>
      <c r="I911" s="6" t="s">
        <v>3</v>
      </c>
      <c r="J911" s="6" t="s">
        <v>3</v>
      </c>
      <c r="K911" s="7">
        <v>0.75</v>
      </c>
      <c r="L911" s="7">
        <v>222.33</v>
      </c>
      <c r="M911" t="s">
        <v>20</v>
      </c>
      <c r="N911" s="16">
        <f>POWER(SQRT(WorkOrders27[[#This Row],[WorkDate]]-WorkOrders27[[#This Row],[ReqDate]]),2)</f>
        <v>8.0000000000000018</v>
      </c>
      <c r="O911" s="8">
        <f t="array" ref="O911">INDEX(TechRate,MATCH(H911,TechNum,0))</f>
        <v>140</v>
      </c>
      <c r="P911" s="10">
        <f>WorkOrders27[[#This Row],[Techs]]*(WorkOrders27[[#This Row],[PartsCost]]*WorkOrders27[[#This Row],[LbrHrs]])</f>
        <v>333.495</v>
      </c>
      <c r="Q911" s="10">
        <f t="shared" si="79"/>
        <v>0</v>
      </c>
      <c r="R911" s="10">
        <f t="shared" si="80"/>
        <v>0</v>
      </c>
      <c r="S911" s="10">
        <f t="shared" si="81"/>
        <v>555.82500000000005</v>
      </c>
      <c r="T911" s="10">
        <f t="shared" si="82"/>
        <v>0</v>
      </c>
      <c r="U911" s="8" t="str">
        <f t="shared" si="83"/>
        <v>Mon</v>
      </c>
      <c r="V911" s="8" t="str">
        <f t="shared" si="83"/>
        <v>Tue</v>
      </c>
    </row>
    <row r="912" spans="1:22" x14ac:dyDescent="0.25">
      <c r="A912" t="s">
        <v>456</v>
      </c>
      <c r="B912" t="s">
        <v>35</v>
      </c>
      <c r="C912" t="s">
        <v>44</v>
      </c>
      <c r="D912" t="s">
        <v>1</v>
      </c>
      <c r="F912" s="5">
        <v>44270</v>
      </c>
      <c r="G912" s="5">
        <v>44279</v>
      </c>
      <c r="H912" s="2">
        <v>2</v>
      </c>
      <c r="I912" s="6"/>
      <c r="J912" s="6"/>
      <c r="K912" s="7">
        <v>4.75</v>
      </c>
      <c r="L912" s="7">
        <v>56.4</v>
      </c>
      <c r="M912" t="s">
        <v>17</v>
      </c>
      <c r="N912" s="16">
        <f>POWER(SQRT(WorkOrders27[[#This Row],[WorkDate]]-WorkOrders27[[#This Row],[ReqDate]]),2)</f>
        <v>9</v>
      </c>
      <c r="O912" s="8">
        <f t="array" ref="O912">INDEX(TechRate,MATCH(H912,TechNum,0))</f>
        <v>140</v>
      </c>
      <c r="P912" s="10">
        <f>WorkOrders27[[#This Row],[Techs]]*(WorkOrders27[[#This Row],[PartsCost]]*WorkOrders27[[#This Row],[LbrHrs]])</f>
        <v>535.79999999999995</v>
      </c>
      <c r="Q912" s="10">
        <f t="shared" si="79"/>
        <v>535.79999999999995</v>
      </c>
      <c r="R912" s="10">
        <f t="shared" si="80"/>
        <v>56.4</v>
      </c>
      <c r="S912" s="10">
        <f t="shared" si="81"/>
        <v>592.19999999999993</v>
      </c>
      <c r="T912" s="10">
        <f t="shared" si="82"/>
        <v>592.19999999999993</v>
      </c>
      <c r="U912" s="8" t="str">
        <f t="shared" si="83"/>
        <v>Mon</v>
      </c>
      <c r="V912" s="8" t="str">
        <f t="shared" si="83"/>
        <v>Wed</v>
      </c>
    </row>
    <row r="913" spans="1:22" x14ac:dyDescent="0.25">
      <c r="A913" t="s">
        <v>457</v>
      </c>
      <c r="B913" t="s">
        <v>36</v>
      </c>
      <c r="C913" t="s">
        <v>7</v>
      </c>
      <c r="D913" t="s">
        <v>1</v>
      </c>
      <c r="F913" s="5">
        <v>44270</v>
      </c>
      <c r="G913" s="5">
        <v>44284</v>
      </c>
      <c r="H913" s="2">
        <v>2</v>
      </c>
      <c r="I913" s="6"/>
      <c r="J913" s="6" t="s">
        <v>3</v>
      </c>
      <c r="K913" s="7">
        <v>1</v>
      </c>
      <c r="L913" s="7">
        <v>60</v>
      </c>
      <c r="M913" t="s">
        <v>18</v>
      </c>
      <c r="N913" s="16">
        <f>POWER(SQRT(WorkOrders27[[#This Row],[WorkDate]]-WorkOrders27[[#This Row],[ReqDate]]),2)</f>
        <v>14</v>
      </c>
      <c r="O913" s="8">
        <f t="array" ref="O913">INDEX(TechRate,MATCH(H913,TechNum,0))</f>
        <v>140</v>
      </c>
      <c r="P913" s="10">
        <f>WorkOrders27[[#This Row],[Techs]]*(WorkOrders27[[#This Row],[PartsCost]]*WorkOrders27[[#This Row],[LbrHrs]])</f>
        <v>120</v>
      </c>
      <c r="Q913" s="10">
        <f t="shared" si="79"/>
        <v>120</v>
      </c>
      <c r="R913" s="10">
        <f t="shared" si="80"/>
        <v>0</v>
      </c>
      <c r="S913" s="10">
        <f t="shared" si="81"/>
        <v>180</v>
      </c>
      <c r="T913" s="10">
        <f t="shared" si="82"/>
        <v>120</v>
      </c>
      <c r="U913" s="8" t="str">
        <f t="shared" si="83"/>
        <v>Mon</v>
      </c>
      <c r="V913" s="8" t="str">
        <f t="shared" si="83"/>
        <v>Mon</v>
      </c>
    </row>
    <row r="914" spans="1:22" x14ac:dyDescent="0.25">
      <c r="A914" t="s">
        <v>458</v>
      </c>
      <c r="B914" t="s">
        <v>36</v>
      </c>
      <c r="C914" t="s">
        <v>7</v>
      </c>
      <c r="D914" t="s">
        <v>12</v>
      </c>
      <c r="F914" s="5">
        <v>44270</v>
      </c>
      <c r="G914" s="5">
        <v>44286</v>
      </c>
      <c r="H914" s="2">
        <v>1</v>
      </c>
      <c r="I914" s="6"/>
      <c r="J914" s="6"/>
      <c r="K914" s="7">
        <v>0.75</v>
      </c>
      <c r="L914" s="7">
        <v>21.33</v>
      </c>
      <c r="M914" t="s">
        <v>17</v>
      </c>
      <c r="N914" s="16">
        <f>POWER(SQRT(WorkOrders27[[#This Row],[WorkDate]]-WorkOrders27[[#This Row],[ReqDate]]),2)</f>
        <v>16</v>
      </c>
      <c r="O914" s="8">
        <f t="array" ref="O914">INDEX(TechRate,MATCH(H914,TechNum,0))</f>
        <v>80</v>
      </c>
      <c r="P914" s="10">
        <f>WorkOrders27[[#This Row],[Techs]]*(WorkOrders27[[#This Row],[PartsCost]]*WorkOrders27[[#This Row],[LbrHrs]])</f>
        <v>15.997499999999999</v>
      </c>
      <c r="Q914" s="10">
        <f t="shared" si="79"/>
        <v>15.997499999999999</v>
      </c>
      <c r="R914" s="10">
        <f t="shared" si="80"/>
        <v>21.33</v>
      </c>
      <c r="S914" s="10">
        <f t="shared" si="81"/>
        <v>37.327500000000001</v>
      </c>
      <c r="T914" s="10">
        <f t="shared" si="82"/>
        <v>37.327500000000001</v>
      </c>
      <c r="U914" s="8" t="str">
        <f t="shared" si="83"/>
        <v>Mon</v>
      </c>
      <c r="V914" s="8" t="str">
        <f t="shared" si="83"/>
        <v>Wed</v>
      </c>
    </row>
    <row r="915" spans="1:22" x14ac:dyDescent="0.25">
      <c r="A915" t="s">
        <v>459</v>
      </c>
      <c r="B915" t="s">
        <v>36</v>
      </c>
      <c r="C915" t="s">
        <v>7</v>
      </c>
      <c r="D915" t="s">
        <v>11</v>
      </c>
      <c r="F915" s="5">
        <v>44270</v>
      </c>
      <c r="G915" s="5">
        <v>44285</v>
      </c>
      <c r="H915" s="2">
        <v>1</v>
      </c>
      <c r="I915" s="6"/>
      <c r="J915" s="6"/>
      <c r="K915" s="7">
        <v>0.25</v>
      </c>
      <c r="L915" s="7">
        <v>204.28399999999999</v>
      </c>
      <c r="M915" t="s">
        <v>17</v>
      </c>
      <c r="N915" s="16">
        <f>POWER(SQRT(WorkOrders27[[#This Row],[WorkDate]]-WorkOrders27[[#This Row],[ReqDate]]),2)</f>
        <v>15.000000000000002</v>
      </c>
      <c r="O915" s="8">
        <f t="array" ref="O915">INDEX(TechRate,MATCH(H915,TechNum,0))</f>
        <v>80</v>
      </c>
      <c r="P915" s="10">
        <f>WorkOrders27[[#This Row],[Techs]]*(WorkOrders27[[#This Row],[PartsCost]]*WorkOrders27[[#This Row],[LbrHrs]])</f>
        <v>51.070999999999998</v>
      </c>
      <c r="Q915" s="10">
        <f t="shared" si="79"/>
        <v>51.070999999999998</v>
      </c>
      <c r="R915" s="10">
        <f t="shared" si="80"/>
        <v>204.28399999999999</v>
      </c>
      <c r="S915" s="10">
        <f t="shared" si="81"/>
        <v>255.35499999999999</v>
      </c>
      <c r="T915" s="10">
        <f t="shared" si="82"/>
        <v>255.35499999999999</v>
      </c>
      <c r="U915" s="8" t="str">
        <f t="shared" si="83"/>
        <v>Mon</v>
      </c>
      <c r="V915" s="8" t="str">
        <f t="shared" si="83"/>
        <v>Tue</v>
      </c>
    </row>
    <row r="916" spans="1:22" x14ac:dyDescent="0.25">
      <c r="A916" t="s">
        <v>460</v>
      </c>
      <c r="B916" t="s">
        <v>34</v>
      </c>
      <c r="C916" t="s">
        <v>9</v>
      </c>
      <c r="D916" t="s">
        <v>2</v>
      </c>
      <c r="F916" s="5">
        <v>44270</v>
      </c>
      <c r="G916" s="5">
        <v>44293</v>
      </c>
      <c r="H916" s="2">
        <v>1</v>
      </c>
      <c r="I916" s="6"/>
      <c r="J916" s="6" t="s">
        <v>3</v>
      </c>
      <c r="K916" s="7">
        <v>1.5</v>
      </c>
      <c r="L916" s="7">
        <v>95.042900000000003</v>
      </c>
      <c r="M916" t="s">
        <v>18</v>
      </c>
      <c r="N916" s="16">
        <f>POWER(SQRT(WorkOrders27[[#This Row],[WorkDate]]-WorkOrders27[[#This Row],[ReqDate]]),2)</f>
        <v>22.999999999999996</v>
      </c>
      <c r="O916" s="8">
        <f t="array" ref="O916">INDEX(TechRate,MATCH(H916,TechNum,0))</f>
        <v>80</v>
      </c>
      <c r="P916" s="10">
        <f>WorkOrders27[[#This Row],[Techs]]*(WorkOrders27[[#This Row],[PartsCost]]*WorkOrders27[[#This Row],[LbrHrs]])</f>
        <v>142.56434999999999</v>
      </c>
      <c r="Q916" s="10">
        <f t="shared" si="79"/>
        <v>142.56434999999999</v>
      </c>
      <c r="R916" s="10">
        <f t="shared" si="80"/>
        <v>0</v>
      </c>
      <c r="S916" s="10">
        <f t="shared" si="81"/>
        <v>237.60724999999999</v>
      </c>
      <c r="T916" s="10">
        <f t="shared" si="82"/>
        <v>142.56434999999999</v>
      </c>
      <c r="U916" s="8" t="str">
        <f t="shared" si="83"/>
        <v>Mon</v>
      </c>
      <c r="V916" s="8" t="str">
        <f t="shared" si="83"/>
        <v>Wed</v>
      </c>
    </row>
    <row r="917" spans="1:22" x14ac:dyDescent="0.25">
      <c r="A917" t="s">
        <v>461</v>
      </c>
      <c r="B917" t="s">
        <v>35</v>
      </c>
      <c r="C917" t="s">
        <v>44</v>
      </c>
      <c r="D917" t="s">
        <v>11</v>
      </c>
      <c r="E917" t="s">
        <v>3</v>
      </c>
      <c r="F917" s="5">
        <v>44270</v>
      </c>
      <c r="G917" s="5">
        <v>44305</v>
      </c>
      <c r="H917" s="2">
        <v>1</v>
      </c>
      <c r="I917" s="6"/>
      <c r="J917" s="6"/>
      <c r="K917" s="7">
        <v>0.25</v>
      </c>
      <c r="L917" s="7">
        <v>23.401</v>
      </c>
      <c r="M917" t="s">
        <v>17</v>
      </c>
      <c r="N917" s="16">
        <f>POWER(SQRT(WorkOrders27[[#This Row],[WorkDate]]-WorkOrders27[[#This Row],[ReqDate]]),2)</f>
        <v>35</v>
      </c>
      <c r="O917" s="8">
        <f t="array" ref="O917">INDEX(TechRate,MATCH(H917,TechNum,0))</f>
        <v>80</v>
      </c>
      <c r="P917" s="10">
        <f>WorkOrders27[[#This Row],[Techs]]*(WorkOrders27[[#This Row],[PartsCost]]*WorkOrders27[[#This Row],[LbrHrs]])</f>
        <v>5.85025</v>
      </c>
      <c r="Q917" s="10">
        <f t="shared" si="79"/>
        <v>5.85025</v>
      </c>
      <c r="R917" s="10">
        <f t="shared" si="80"/>
        <v>23.401</v>
      </c>
      <c r="S917" s="10">
        <f t="shared" si="81"/>
        <v>29.251249999999999</v>
      </c>
      <c r="T917" s="10">
        <f t="shared" si="82"/>
        <v>29.251249999999999</v>
      </c>
      <c r="U917" s="8" t="str">
        <f t="shared" si="83"/>
        <v>Mon</v>
      </c>
      <c r="V917" s="8" t="str">
        <f t="shared" si="83"/>
        <v>Mon</v>
      </c>
    </row>
    <row r="918" spans="1:22" x14ac:dyDescent="0.25">
      <c r="A918" t="s">
        <v>462</v>
      </c>
      <c r="B918" t="s">
        <v>34</v>
      </c>
      <c r="C918" t="s">
        <v>7</v>
      </c>
      <c r="D918" t="s">
        <v>2</v>
      </c>
      <c r="F918" s="5">
        <v>44270</v>
      </c>
      <c r="G918" s="5">
        <v>44324</v>
      </c>
      <c r="H918" s="2">
        <v>2</v>
      </c>
      <c r="I918" s="6" t="s">
        <v>3</v>
      </c>
      <c r="J918" s="6" t="s">
        <v>3</v>
      </c>
      <c r="K918" s="7">
        <v>2.25</v>
      </c>
      <c r="L918" s="7">
        <v>934.45389999999998</v>
      </c>
      <c r="M918" t="s">
        <v>20</v>
      </c>
      <c r="N918" s="16">
        <f>POWER(SQRT(WorkOrders27[[#This Row],[WorkDate]]-WorkOrders27[[#This Row],[ReqDate]]),2)</f>
        <v>54</v>
      </c>
      <c r="O918" s="8">
        <f t="array" ref="O918">INDEX(TechRate,MATCH(H918,TechNum,0))</f>
        <v>140</v>
      </c>
      <c r="P918" s="10">
        <f>WorkOrders27[[#This Row],[Techs]]*(WorkOrders27[[#This Row],[PartsCost]]*WorkOrders27[[#This Row],[LbrHrs]])</f>
        <v>4205.0425500000001</v>
      </c>
      <c r="Q918" s="10">
        <f t="shared" si="79"/>
        <v>0</v>
      </c>
      <c r="R918" s="10">
        <f t="shared" si="80"/>
        <v>0</v>
      </c>
      <c r="S918" s="10">
        <f t="shared" si="81"/>
        <v>5139.4964500000006</v>
      </c>
      <c r="T918" s="10">
        <f t="shared" si="82"/>
        <v>0</v>
      </c>
      <c r="U918" s="8" t="str">
        <f t="shared" si="83"/>
        <v>Mon</v>
      </c>
      <c r="V918" s="8" t="str">
        <f t="shared" si="83"/>
        <v>Sat</v>
      </c>
    </row>
    <row r="919" spans="1:22" x14ac:dyDescent="0.25">
      <c r="A919" t="s">
        <v>463</v>
      </c>
      <c r="B919" t="s">
        <v>38</v>
      </c>
      <c r="C919" t="s">
        <v>8</v>
      </c>
      <c r="D919" t="s">
        <v>13</v>
      </c>
      <c r="F919" s="5">
        <v>44271</v>
      </c>
      <c r="G919" s="5">
        <v>44272</v>
      </c>
      <c r="H919" s="2">
        <v>1</v>
      </c>
      <c r="I919" s="6"/>
      <c r="J919" s="6"/>
      <c r="K919" s="7">
        <v>0.5</v>
      </c>
      <c r="L919" s="7">
        <v>18</v>
      </c>
      <c r="M919" t="s">
        <v>19</v>
      </c>
      <c r="N919" s="16">
        <f>POWER(SQRT(WorkOrders27[[#This Row],[WorkDate]]-WorkOrders27[[#This Row],[ReqDate]]),2)</f>
        <v>1</v>
      </c>
      <c r="O919" s="8">
        <f t="array" ref="O919">INDEX(TechRate,MATCH(H919,TechNum,0))</f>
        <v>80</v>
      </c>
      <c r="P919" s="10">
        <f>WorkOrders27[[#This Row],[Techs]]*(WorkOrders27[[#This Row],[PartsCost]]*WorkOrders27[[#This Row],[LbrHrs]])</f>
        <v>9</v>
      </c>
      <c r="Q919" s="10">
        <f t="shared" si="79"/>
        <v>9</v>
      </c>
      <c r="R919" s="10">
        <f t="shared" si="80"/>
        <v>18</v>
      </c>
      <c r="S919" s="10">
        <f t="shared" si="81"/>
        <v>27</v>
      </c>
      <c r="T919" s="10">
        <f t="shared" si="82"/>
        <v>27</v>
      </c>
      <c r="U919" s="8" t="str">
        <f t="shared" si="83"/>
        <v>Tue</v>
      </c>
      <c r="V919" s="8" t="str">
        <f t="shared" si="83"/>
        <v>Wed</v>
      </c>
    </row>
    <row r="920" spans="1:22" x14ac:dyDescent="0.25">
      <c r="A920" t="s">
        <v>464</v>
      </c>
      <c r="B920" t="s">
        <v>39</v>
      </c>
      <c r="C920" t="s">
        <v>44</v>
      </c>
      <c r="D920" t="s">
        <v>12</v>
      </c>
      <c r="E920" t="s">
        <v>3</v>
      </c>
      <c r="F920" s="5">
        <v>44271</v>
      </c>
      <c r="G920" s="5">
        <v>44280</v>
      </c>
      <c r="H920" s="2">
        <v>1</v>
      </c>
      <c r="I920" s="6"/>
      <c r="J920" s="6"/>
      <c r="K920" s="7">
        <v>0.25</v>
      </c>
      <c r="L920" s="7">
        <v>134.84690000000001</v>
      </c>
      <c r="M920" t="s">
        <v>18</v>
      </c>
      <c r="N920" s="16">
        <f>POWER(SQRT(WorkOrders27[[#This Row],[WorkDate]]-WorkOrders27[[#This Row],[ReqDate]]),2)</f>
        <v>9</v>
      </c>
      <c r="O920" s="8">
        <f t="array" ref="O920">INDEX(TechRate,MATCH(H920,TechNum,0))</f>
        <v>80</v>
      </c>
      <c r="P920" s="10">
        <f>WorkOrders27[[#This Row],[Techs]]*(WorkOrders27[[#This Row],[PartsCost]]*WorkOrders27[[#This Row],[LbrHrs]])</f>
        <v>33.711725000000001</v>
      </c>
      <c r="Q920" s="10">
        <f t="shared" si="79"/>
        <v>33.711725000000001</v>
      </c>
      <c r="R920" s="10">
        <f t="shared" si="80"/>
        <v>134.84690000000001</v>
      </c>
      <c r="S920" s="10">
        <f t="shared" si="81"/>
        <v>168.55862500000001</v>
      </c>
      <c r="T920" s="10">
        <f t="shared" si="82"/>
        <v>168.55862500000001</v>
      </c>
      <c r="U920" s="8" t="str">
        <f t="shared" si="83"/>
        <v>Tue</v>
      </c>
      <c r="V920" s="8" t="str">
        <f t="shared" si="83"/>
        <v>Thu</v>
      </c>
    </row>
    <row r="921" spans="1:22" x14ac:dyDescent="0.25">
      <c r="A921" t="s">
        <v>465</v>
      </c>
      <c r="B921" t="s">
        <v>35</v>
      </c>
      <c r="C921" t="s">
        <v>44</v>
      </c>
      <c r="D921" t="s">
        <v>12</v>
      </c>
      <c r="E921" t="s">
        <v>3</v>
      </c>
      <c r="F921" s="5">
        <v>44271</v>
      </c>
      <c r="G921" s="5">
        <v>44278</v>
      </c>
      <c r="H921" s="2">
        <v>1</v>
      </c>
      <c r="I921" s="6"/>
      <c r="J921" s="6"/>
      <c r="K921" s="7">
        <v>0.5</v>
      </c>
      <c r="L921" s="7">
        <v>61.259</v>
      </c>
      <c r="M921" t="s">
        <v>17</v>
      </c>
      <c r="N921" s="16">
        <f>POWER(SQRT(WorkOrders27[[#This Row],[WorkDate]]-WorkOrders27[[#This Row],[ReqDate]]),2)</f>
        <v>7.0000000000000009</v>
      </c>
      <c r="O921" s="8">
        <f t="array" ref="O921">INDEX(TechRate,MATCH(H921,TechNum,0))</f>
        <v>80</v>
      </c>
      <c r="P921" s="10">
        <f>WorkOrders27[[#This Row],[Techs]]*(WorkOrders27[[#This Row],[PartsCost]]*WorkOrders27[[#This Row],[LbrHrs]])</f>
        <v>30.6295</v>
      </c>
      <c r="Q921" s="10">
        <f t="shared" si="79"/>
        <v>30.6295</v>
      </c>
      <c r="R921" s="10">
        <f t="shared" si="80"/>
        <v>61.259</v>
      </c>
      <c r="S921" s="10">
        <f t="shared" si="81"/>
        <v>91.888499999999993</v>
      </c>
      <c r="T921" s="10">
        <f t="shared" si="82"/>
        <v>91.888499999999993</v>
      </c>
      <c r="U921" s="8" t="str">
        <f t="shared" si="83"/>
        <v>Tue</v>
      </c>
      <c r="V921" s="8" t="str">
        <f t="shared" si="83"/>
        <v>Tue</v>
      </c>
    </row>
    <row r="922" spans="1:22" x14ac:dyDescent="0.25">
      <c r="A922" t="s">
        <v>466</v>
      </c>
      <c r="B922" t="s">
        <v>34</v>
      </c>
      <c r="C922" t="s">
        <v>9</v>
      </c>
      <c r="D922" t="s">
        <v>13</v>
      </c>
      <c r="F922" s="5">
        <v>44271</v>
      </c>
      <c r="G922" s="5">
        <v>44288</v>
      </c>
      <c r="H922" s="2">
        <v>2</v>
      </c>
      <c r="I922" s="6"/>
      <c r="J922" s="6"/>
      <c r="K922" s="7">
        <v>4.5</v>
      </c>
      <c r="L922" s="7">
        <v>658.67510000000004</v>
      </c>
      <c r="M922" t="s">
        <v>17</v>
      </c>
      <c r="N922" s="16">
        <f>POWER(SQRT(WorkOrders27[[#This Row],[WorkDate]]-WorkOrders27[[#This Row],[ReqDate]]),2)</f>
        <v>17</v>
      </c>
      <c r="O922" s="8">
        <f t="array" ref="O922">INDEX(TechRate,MATCH(H922,TechNum,0))</f>
        <v>140</v>
      </c>
      <c r="P922" s="10">
        <f>WorkOrders27[[#This Row],[Techs]]*(WorkOrders27[[#This Row],[PartsCost]]*WorkOrders27[[#This Row],[LbrHrs]])</f>
        <v>5928.0759000000007</v>
      </c>
      <c r="Q922" s="10">
        <f t="shared" si="79"/>
        <v>5928.0759000000007</v>
      </c>
      <c r="R922" s="10">
        <f t="shared" si="80"/>
        <v>658.67510000000004</v>
      </c>
      <c r="S922" s="10">
        <f t="shared" si="81"/>
        <v>6586.7510000000011</v>
      </c>
      <c r="T922" s="10">
        <f t="shared" si="82"/>
        <v>6586.7510000000011</v>
      </c>
      <c r="U922" s="8" t="str">
        <f t="shared" si="83"/>
        <v>Tue</v>
      </c>
      <c r="V922" s="8" t="str">
        <f t="shared" si="83"/>
        <v>Fri</v>
      </c>
    </row>
    <row r="923" spans="1:22" x14ac:dyDescent="0.25">
      <c r="A923" t="s">
        <v>467</v>
      </c>
      <c r="B923" t="s">
        <v>34</v>
      </c>
      <c r="C923" t="s">
        <v>9</v>
      </c>
      <c r="D923" t="s">
        <v>2</v>
      </c>
      <c r="F923" s="5">
        <v>44271</v>
      </c>
      <c r="G923" s="5">
        <v>44289</v>
      </c>
      <c r="H923" s="2">
        <v>2</v>
      </c>
      <c r="I923" s="6"/>
      <c r="J923" s="6"/>
      <c r="K923" s="7">
        <v>8</v>
      </c>
      <c r="L923" s="7">
        <v>1468.5196000000001</v>
      </c>
      <c r="M923" t="s">
        <v>17</v>
      </c>
      <c r="N923" s="16">
        <f>POWER(SQRT(WorkOrders27[[#This Row],[WorkDate]]-WorkOrders27[[#This Row],[ReqDate]]),2)</f>
        <v>17.999999999999996</v>
      </c>
      <c r="O923" s="8">
        <f t="array" ref="O923">INDEX(TechRate,MATCH(H923,TechNum,0))</f>
        <v>140</v>
      </c>
      <c r="P923" s="10">
        <f>WorkOrders27[[#This Row],[Techs]]*(WorkOrders27[[#This Row],[PartsCost]]*WorkOrders27[[#This Row],[LbrHrs]])</f>
        <v>23496.313600000001</v>
      </c>
      <c r="Q923" s="10">
        <f t="shared" si="79"/>
        <v>23496.313600000001</v>
      </c>
      <c r="R923" s="10">
        <f t="shared" si="80"/>
        <v>1468.5196000000001</v>
      </c>
      <c r="S923" s="10">
        <f t="shared" si="81"/>
        <v>24964.833200000001</v>
      </c>
      <c r="T923" s="10">
        <f t="shared" si="82"/>
        <v>24964.833200000001</v>
      </c>
      <c r="U923" s="8" t="str">
        <f t="shared" si="83"/>
        <v>Tue</v>
      </c>
      <c r="V923" s="8" t="str">
        <f t="shared" si="83"/>
        <v>Sat</v>
      </c>
    </row>
    <row r="924" spans="1:22" x14ac:dyDescent="0.25">
      <c r="A924" t="s">
        <v>468</v>
      </c>
      <c r="B924" t="s">
        <v>37</v>
      </c>
      <c r="C924" t="s">
        <v>43</v>
      </c>
      <c r="D924" t="s">
        <v>13</v>
      </c>
      <c r="F924" s="5">
        <v>44271</v>
      </c>
      <c r="G924" s="5">
        <v>44286</v>
      </c>
      <c r="H924" s="2">
        <v>1</v>
      </c>
      <c r="I924" s="6"/>
      <c r="J924" s="6"/>
      <c r="K924" s="7">
        <v>0.75</v>
      </c>
      <c r="L924" s="7">
        <v>82.586500000000001</v>
      </c>
      <c r="M924" t="s">
        <v>17</v>
      </c>
      <c r="N924" s="16">
        <f>POWER(SQRT(WorkOrders27[[#This Row],[WorkDate]]-WorkOrders27[[#This Row],[ReqDate]]),2)</f>
        <v>15.000000000000002</v>
      </c>
      <c r="O924" s="8">
        <f t="array" ref="O924">INDEX(TechRate,MATCH(H924,TechNum,0))</f>
        <v>80</v>
      </c>
      <c r="P924" s="10">
        <f>WorkOrders27[[#This Row],[Techs]]*(WorkOrders27[[#This Row],[PartsCost]]*WorkOrders27[[#This Row],[LbrHrs]])</f>
        <v>61.939875000000001</v>
      </c>
      <c r="Q924" s="10">
        <f t="shared" si="79"/>
        <v>61.939875000000001</v>
      </c>
      <c r="R924" s="10">
        <f t="shared" si="80"/>
        <v>82.586500000000001</v>
      </c>
      <c r="S924" s="10">
        <f t="shared" si="81"/>
        <v>144.526375</v>
      </c>
      <c r="T924" s="10">
        <f t="shared" si="82"/>
        <v>144.526375</v>
      </c>
      <c r="U924" s="8" t="str">
        <f t="shared" si="83"/>
        <v>Tue</v>
      </c>
      <c r="V924" s="8" t="str">
        <f t="shared" si="83"/>
        <v>Wed</v>
      </c>
    </row>
    <row r="925" spans="1:22" x14ac:dyDescent="0.25">
      <c r="A925" t="s">
        <v>469</v>
      </c>
      <c r="B925" t="s">
        <v>41</v>
      </c>
      <c r="C925" t="s">
        <v>7</v>
      </c>
      <c r="D925" t="s">
        <v>1</v>
      </c>
      <c r="F925" s="5">
        <v>44271</v>
      </c>
      <c r="G925" s="5">
        <v>44302</v>
      </c>
      <c r="H925" s="2">
        <v>2</v>
      </c>
      <c r="I925" s="6"/>
      <c r="J925" s="6" t="s">
        <v>3</v>
      </c>
      <c r="K925" s="7">
        <v>2.75</v>
      </c>
      <c r="L925" s="7">
        <v>340.54520000000002</v>
      </c>
      <c r="M925" t="s">
        <v>18</v>
      </c>
      <c r="N925" s="16">
        <f>POWER(SQRT(WorkOrders27[[#This Row],[WorkDate]]-WorkOrders27[[#This Row],[ReqDate]]),2)</f>
        <v>30.999999999999996</v>
      </c>
      <c r="O925" s="8">
        <f t="array" ref="O925">INDEX(TechRate,MATCH(H925,TechNum,0))</f>
        <v>140</v>
      </c>
      <c r="P925" s="10">
        <f>WorkOrders27[[#This Row],[Techs]]*(WorkOrders27[[#This Row],[PartsCost]]*WorkOrders27[[#This Row],[LbrHrs]])</f>
        <v>1872.9986000000001</v>
      </c>
      <c r="Q925" s="10">
        <f t="shared" si="79"/>
        <v>1872.9986000000001</v>
      </c>
      <c r="R925" s="10">
        <f t="shared" si="80"/>
        <v>0</v>
      </c>
      <c r="S925" s="10">
        <f t="shared" si="81"/>
        <v>2213.5438000000004</v>
      </c>
      <c r="T925" s="10">
        <f t="shared" si="82"/>
        <v>1872.9986000000001</v>
      </c>
      <c r="U925" s="8" t="str">
        <f t="shared" si="83"/>
        <v>Tue</v>
      </c>
      <c r="V925" s="8" t="str">
        <f t="shared" si="83"/>
        <v>Fri</v>
      </c>
    </row>
    <row r="926" spans="1:22" x14ac:dyDescent="0.25">
      <c r="A926" t="s">
        <v>470</v>
      </c>
      <c r="B926" t="s">
        <v>39</v>
      </c>
      <c r="C926" t="s">
        <v>8</v>
      </c>
      <c r="D926" t="s">
        <v>12</v>
      </c>
      <c r="F926" s="5">
        <v>44271</v>
      </c>
      <c r="G926" s="5">
        <v>44322</v>
      </c>
      <c r="H926" s="2">
        <v>1</v>
      </c>
      <c r="I926" s="6"/>
      <c r="J926" s="6"/>
      <c r="K926" s="7">
        <v>0.25</v>
      </c>
      <c r="L926" s="7">
        <v>72.061000000000007</v>
      </c>
      <c r="M926" t="s">
        <v>18</v>
      </c>
      <c r="N926" s="16">
        <f>POWER(SQRT(WorkOrders27[[#This Row],[WorkDate]]-WorkOrders27[[#This Row],[ReqDate]]),2)</f>
        <v>51.000000000000007</v>
      </c>
      <c r="O926" s="8">
        <f t="array" ref="O926">INDEX(TechRate,MATCH(H926,TechNum,0))</f>
        <v>80</v>
      </c>
      <c r="P926" s="10">
        <f>WorkOrders27[[#This Row],[Techs]]*(WorkOrders27[[#This Row],[PartsCost]]*WorkOrders27[[#This Row],[LbrHrs]])</f>
        <v>18.015250000000002</v>
      </c>
      <c r="Q926" s="10">
        <f t="shared" si="79"/>
        <v>18.015250000000002</v>
      </c>
      <c r="R926" s="10">
        <f t="shared" si="80"/>
        <v>72.061000000000007</v>
      </c>
      <c r="S926" s="10">
        <f t="shared" si="81"/>
        <v>90.076250000000016</v>
      </c>
      <c r="T926" s="10">
        <f t="shared" si="82"/>
        <v>90.076250000000016</v>
      </c>
      <c r="U926" s="8" t="str">
        <f t="shared" si="83"/>
        <v>Tue</v>
      </c>
      <c r="V926" s="8" t="str">
        <f t="shared" si="83"/>
        <v>Thu</v>
      </c>
    </row>
    <row r="927" spans="1:22" x14ac:dyDescent="0.25">
      <c r="A927" t="s">
        <v>471</v>
      </c>
      <c r="B927" t="s">
        <v>41</v>
      </c>
      <c r="C927" t="s">
        <v>9</v>
      </c>
      <c r="D927" t="s">
        <v>12</v>
      </c>
      <c r="F927" s="5">
        <v>44272</v>
      </c>
      <c r="G927" s="5">
        <v>44296</v>
      </c>
      <c r="H927" s="2">
        <v>1</v>
      </c>
      <c r="I927" s="6"/>
      <c r="J927" s="6"/>
      <c r="K927" s="7">
        <v>0.5</v>
      </c>
      <c r="L927" s="7">
        <v>48.990699999999997</v>
      </c>
      <c r="M927" t="s">
        <v>17</v>
      </c>
      <c r="N927" s="16">
        <f>POWER(SQRT(WorkOrders27[[#This Row],[WorkDate]]-WorkOrders27[[#This Row],[ReqDate]]),2)</f>
        <v>23.999999999999996</v>
      </c>
      <c r="O927" s="8">
        <f t="array" ref="O927">INDEX(TechRate,MATCH(H927,TechNum,0))</f>
        <v>80</v>
      </c>
      <c r="P927" s="10">
        <f>WorkOrders27[[#This Row],[Techs]]*(WorkOrders27[[#This Row],[PartsCost]]*WorkOrders27[[#This Row],[LbrHrs]])</f>
        <v>24.495349999999998</v>
      </c>
      <c r="Q927" s="10">
        <f t="shared" si="79"/>
        <v>24.495349999999998</v>
      </c>
      <c r="R927" s="10">
        <f t="shared" si="80"/>
        <v>48.990699999999997</v>
      </c>
      <c r="S927" s="10">
        <f t="shared" si="81"/>
        <v>73.486049999999992</v>
      </c>
      <c r="T927" s="10">
        <f t="shared" si="82"/>
        <v>73.486049999999992</v>
      </c>
      <c r="U927" s="8" t="str">
        <f t="shared" si="83"/>
        <v>Wed</v>
      </c>
      <c r="V927" s="8" t="str">
        <f t="shared" si="83"/>
        <v>Sat</v>
      </c>
    </row>
    <row r="928" spans="1:22" x14ac:dyDescent="0.25">
      <c r="A928" t="s">
        <v>472</v>
      </c>
      <c r="B928" t="s">
        <v>36</v>
      </c>
      <c r="C928" t="s">
        <v>7</v>
      </c>
      <c r="D928" t="s">
        <v>11</v>
      </c>
      <c r="F928" s="5">
        <v>44272</v>
      </c>
      <c r="G928" s="5">
        <v>44296</v>
      </c>
      <c r="H928" s="2">
        <v>1</v>
      </c>
      <c r="I928" s="6"/>
      <c r="J928" s="6"/>
      <c r="K928" s="7">
        <v>0.25</v>
      </c>
      <c r="L928" s="7">
        <v>15.401</v>
      </c>
      <c r="M928" t="s">
        <v>17</v>
      </c>
      <c r="N928" s="16">
        <f>POWER(SQRT(WorkOrders27[[#This Row],[WorkDate]]-WorkOrders27[[#This Row],[ReqDate]]),2)</f>
        <v>23.999999999999996</v>
      </c>
      <c r="O928" s="8">
        <f t="array" ref="O928">INDEX(TechRate,MATCH(H928,TechNum,0))</f>
        <v>80</v>
      </c>
      <c r="P928" s="10">
        <f>WorkOrders27[[#This Row],[Techs]]*(WorkOrders27[[#This Row],[PartsCost]]*WorkOrders27[[#This Row],[LbrHrs]])</f>
        <v>3.85025</v>
      </c>
      <c r="Q928" s="10">
        <f t="shared" si="79"/>
        <v>3.85025</v>
      </c>
      <c r="R928" s="10">
        <f t="shared" si="80"/>
        <v>15.401</v>
      </c>
      <c r="S928" s="10">
        <f t="shared" si="81"/>
        <v>19.251249999999999</v>
      </c>
      <c r="T928" s="10">
        <f t="shared" si="82"/>
        <v>19.251249999999999</v>
      </c>
      <c r="U928" s="8" t="str">
        <f t="shared" si="83"/>
        <v>Wed</v>
      </c>
      <c r="V928" s="8" t="str">
        <f t="shared" si="83"/>
        <v>Sat</v>
      </c>
    </row>
    <row r="929" spans="1:22" x14ac:dyDescent="0.25">
      <c r="A929" t="s">
        <v>473</v>
      </c>
      <c r="B929" t="s">
        <v>40</v>
      </c>
      <c r="C929" t="s">
        <v>8</v>
      </c>
      <c r="D929" t="s">
        <v>13</v>
      </c>
      <c r="F929" s="5">
        <v>44274</v>
      </c>
      <c r="G929" s="5">
        <v>44322</v>
      </c>
      <c r="H929" s="2">
        <v>1</v>
      </c>
      <c r="I929" s="6"/>
      <c r="J929" s="6"/>
      <c r="K929" s="7">
        <v>0.75</v>
      </c>
      <c r="L929" s="7">
        <v>204.10079999999999</v>
      </c>
      <c r="M929" t="s">
        <v>18</v>
      </c>
      <c r="N929" s="16">
        <f>POWER(SQRT(WorkOrders27[[#This Row],[WorkDate]]-WorkOrders27[[#This Row],[ReqDate]]),2)</f>
        <v>47.999999999999993</v>
      </c>
      <c r="O929" s="8">
        <f t="array" ref="O929">INDEX(TechRate,MATCH(H929,TechNum,0))</f>
        <v>80</v>
      </c>
      <c r="P929" s="10">
        <f>WorkOrders27[[#This Row],[Techs]]*(WorkOrders27[[#This Row],[PartsCost]]*WorkOrders27[[#This Row],[LbrHrs]])</f>
        <v>153.07560000000001</v>
      </c>
      <c r="Q929" s="10">
        <f t="shared" si="79"/>
        <v>153.07560000000001</v>
      </c>
      <c r="R929" s="10">
        <f t="shared" si="80"/>
        <v>204.10079999999999</v>
      </c>
      <c r="S929" s="10">
        <f t="shared" si="81"/>
        <v>357.1764</v>
      </c>
      <c r="T929" s="10">
        <f t="shared" si="82"/>
        <v>357.1764</v>
      </c>
      <c r="U929" s="8" t="str">
        <f t="shared" si="83"/>
        <v>Fri</v>
      </c>
      <c r="V929" s="8" t="str">
        <f t="shared" si="83"/>
        <v>Thu</v>
      </c>
    </row>
    <row r="930" spans="1:22" x14ac:dyDescent="0.25">
      <c r="A930" t="s">
        <v>474</v>
      </c>
      <c r="B930" t="s">
        <v>36</v>
      </c>
      <c r="C930" t="s">
        <v>7</v>
      </c>
      <c r="D930" t="s">
        <v>12</v>
      </c>
      <c r="F930" s="5">
        <v>44275</v>
      </c>
      <c r="G930" s="5">
        <v>44296</v>
      </c>
      <c r="H930" s="2">
        <v>1</v>
      </c>
      <c r="I930" s="6"/>
      <c r="J930" s="6"/>
      <c r="K930" s="7">
        <v>0.25</v>
      </c>
      <c r="L930" s="7">
        <v>12.63</v>
      </c>
      <c r="M930" t="s">
        <v>17</v>
      </c>
      <c r="N930" s="16">
        <f>POWER(SQRT(WorkOrders27[[#This Row],[WorkDate]]-WorkOrders27[[#This Row],[ReqDate]]),2)</f>
        <v>21</v>
      </c>
      <c r="O930" s="8">
        <f t="array" ref="O930">INDEX(TechRate,MATCH(H930,TechNum,0))</f>
        <v>80</v>
      </c>
      <c r="P930" s="10">
        <f>WorkOrders27[[#This Row],[Techs]]*(WorkOrders27[[#This Row],[PartsCost]]*WorkOrders27[[#This Row],[LbrHrs]])</f>
        <v>3.1575000000000002</v>
      </c>
      <c r="Q930" s="10">
        <f t="shared" si="79"/>
        <v>3.1575000000000002</v>
      </c>
      <c r="R930" s="10">
        <f t="shared" si="80"/>
        <v>12.63</v>
      </c>
      <c r="S930" s="10">
        <f t="shared" si="81"/>
        <v>15.787500000000001</v>
      </c>
      <c r="T930" s="10">
        <f t="shared" si="82"/>
        <v>15.787500000000001</v>
      </c>
      <c r="U930" s="8" t="str">
        <f t="shared" si="83"/>
        <v>Sat</v>
      </c>
      <c r="V930" s="8" t="str">
        <f t="shared" si="83"/>
        <v>Sat</v>
      </c>
    </row>
    <row r="931" spans="1:22" x14ac:dyDescent="0.25">
      <c r="A931" t="s">
        <v>475</v>
      </c>
      <c r="B931" t="s">
        <v>41</v>
      </c>
      <c r="C931" t="s">
        <v>7</v>
      </c>
      <c r="D931" t="s">
        <v>12</v>
      </c>
      <c r="F931" s="5">
        <v>44275</v>
      </c>
      <c r="G931" s="5">
        <v>44299</v>
      </c>
      <c r="H931" s="2">
        <v>1</v>
      </c>
      <c r="I931" s="6"/>
      <c r="J931" s="6"/>
      <c r="K931" s="7">
        <v>0.25</v>
      </c>
      <c r="L931" s="7">
        <v>15.24</v>
      </c>
      <c r="M931" t="s">
        <v>19</v>
      </c>
      <c r="N931" s="16">
        <f>POWER(SQRT(WorkOrders27[[#This Row],[WorkDate]]-WorkOrders27[[#This Row],[ReqDate]]),2)</f>
        <v>23.999999999999996</v>
      </c>
      <c r="O931" s="8">
        <f t="array" ref="O931">INDEX(TechRate,MATCH(H931,TechNum,0))</f>
        <v>80</v>
      </c>
      <c r="P931" s="10">
        <f>WorkOrders27[[#This Row],[Techs]]*(WorkOrders27[[#This Row],[PartsCost]]*WorkOrders27[[#This Row],[LbrHrs]])</f>
        <v>3.81</v>
      </c>
      <c r="Q931" s="10">
        <f t="shared" si="79"/>
        <v>3.81</v>
      </c>
      <c r="R931" s="10">
        <f t="shared" si="80"/>
        <v>15.24</v>
      </c>
      <c r="S931" s="10">
        <f t="shared" si="81"/>
        <v>19.05</v>
      </c>
      <c r="T931" s="10">
        <f t="shared" si="82"/>
        <v>19.05</v>
      </c>
      <c r="U931" s="8" t="str">
        <f t="shared" si="83"/>
        <v>Sat</v>
      </c>
      <c r="V931" s="8" t="str">
        <f t="shared" si="83"/>
        <v>Tue</v>
      </c>
    </row>
    <row r="932" spans="1:22" x14ac:dyDescent="0.25">
      <c r="A932" t="s">
        <v>476</v>
      </c>
      <c r="B932" t="s">
        <v>38</v>
      </c>
      <c r="C932" t="s">
        <v>8</v>
      </c>
      <c r="D932" t="s">
        <v>12</v>
      </c>
      <c r="F932" s="5">
        <v>44277</v>
      </c>
      <c r="G932" s="5">
        <v>44286</v>
      </c>
      <c r="H932" s="2">
        <v>1</v>
      </c>
      <c r="I932" s="6" t="s">
        <v>3</v>
      </c>
      <c r="J932" s="6" t="s">
        <v>3</v>
      </c>
      <c r="K932" s="7">
        <v>0.5</v>
      </c>
      <c r="L932" s="7">
        <v>50</v>
      </c>
      <c r="M932" t="s">
        <v>20</v>
      </c>
      <c r="N932" s="16">
        <f>POWER(SQRT(WorkOrders27[[#This Row],[WorkDate]]-WorkOrders27[[#This Row],[ReqDate]]),2)</f>
        <v>9</v>
      </c>
      <c r="O932" s="8">
        <f t="array" ref="O932">INDEX(TechRate,MATCH(H932,TechNum,0))</f>
        <v>80</v>
      </c>
      <c r="P932" s="10">
        <f>WorkOrders27[[#This Row],[Techs]]*(WorkOrders27[[#This Row],[PartsCost]]*WorkOrders27[[#This Row],[LbrHrs]])</f>
        <v>25</v>
      </c>
      <c r="Q932" s="10">
        <f t="shared" si="79"/>
        <v>0</v>
      </c>
      <c r="R932" s="10">
        <f t="shared" si="80"/>
        <v>0</v>
      </c>
      <c r="S932" s="10">
        <f t="shared" si="81"/>
        <v>75</v>
      </c>
      <c r="T932" s="10">
        <f t="shared" si="82"/>
        <v>0</v>
      </c>
      <c r="U932" s="8" t="str">
        <f t="shared" si="83"/>
        <v>Mon</v>
      </c>
      <c r="V932" s="8" t="str">
        <f t="shared" si="83"/>
        <v>Wed</v>
      </c>
    </row>
    <row r="933" spans="1:22" x14ac:dyDescent="0.25">
      <c r="A933" t="s">
        <v>477</v>
      </c>
      <c r="B933" t="s">
        <v>37</v>
      </c>
      <c r="C933" t="s">
        <v>9</v>
      </c>
      <c r="D933" t="s">
        <v>2</v>
      </c>
      <c r="F933" s="5">
        <v>44277</v>
      </c>
      <c r="G933" s="5">
        <v>44306</v>
      </c>
      <c r="H933" s="2">
        <v>1</v>
      </c>
      <c r="I933" s="6"/>
      <c r="J933" s="6" t="s">
        <v>3</v>
      </c>
      <c r="K933" s="7">
        <v>1.5</v>
      </c>
      <c r="L933" s="7">
        <v>272.55329999999998</v>
      </c>
      <c r="M933" t="s">
        <v>18</v>
      </c>
      <c r="N933" s="16">
        <f>POWER(SQRT(WorkOrders27[[#This Row],[WorkDate]]-WorkOrders27[[#This Row],[ReqDate]]),2)</f>
        <v>28.999999999999996</v>
      </c>
      <c r="O933" s="8">
        <f t="array" ref="O933">INDEX(TechRate,MATCH(H933,TechNum,0))</f>
        <v>80</v>
      </c>
      <c r="P933" s="10">
        <f>WorkOrders27[[#This Row],[Techs]]*(WorkOrders27[[#This Row],[PartsCost]]*WorkOrders27[[#This Row],[LbrHrs]])</f>
        <v>408.82994999999994</v>
      </c>
      <c r="Q933" s="10">
        <f t="shared" si="79"/>
        <v>408.82994999999994</v>
      </c>
      <c r="R933" s="10">
        <f t="shared" si="80"/>
        <v>0</v>
      </c>
      <c r="S933" s="10">
        <f t="shared" si="81"/>
        <v>681.38324999999986</v>
      </c>
      <c r="T933" s="10">
        <f t="shared" si="82"/>
        <v>408.82994999999994</v>
      </c>
      <c r="U933" s="8" t="str">
        <f t="shared" si="83"/>
        <v>Mon</v>
      </c>
      <c r="V933" s="8" t="str">
        <f t="shared" si="83"/>
        <v>Tue</v>
      </c>
    </row>
    <row r="934" spans="1:22" x14ac:dyDescent="0.25">
      <c r="A934" t="s">
        <v>478</v>
      </c>
      <c r="B934" t="s">
        <v>35</v>
      </c>
      <c r="C934" t="s">
        <v>44</v>
      </c>
      <c r="D934" t="s">
        <v>13</v>
      </c>
      <c r="F934" s="5">
        <v>44277</v>
      </c>
      <c r="G934" s="5">
        <v>44306</v>
      </c>
      <c r="H934" s="2">
        <v>2</v>
      </c>
      <c r="I934" s="6"/>
      <c r="J934" s="6"/>
      <c r="K934" s="7">
        <v>6.25</v>
      </c>
      <c r="L934" s="7">
        <v>27</v>
      </c>
      <c r="M934" t="s">
        <v>18</v>
      </c>
      <c r="N934" s="16">
        <f>POWER(SQRT(WorkOrders27[[#This Row],[WorkDate]]-WorkOrders27[[#This Row],[ReqDate]]),2)</f>
        <v>28.999999999999996</v>
      </c>
      <c r="O934" s="8">
        <f t="array" ref="O934">INDEX(TechRate,MATCH(H934,TechNum,0))</f>
        <v>140</v>
      </c>
      <c r="P934" s="10">
        <f>WorkOrders27[[#This Row],[Techs]]*(WorkOrders27[[#This Row],[PartsCost]]*WorkOrders27[[#This Row],[LbrHrs]])</f>
        <v>337.5</v>
      </c>
      <c r="Q934" s="10">
        <f t="shared" si="79"/>
        <v>337.5</v>
      </c>
      <c r="R934" s="10">
        <f t="shared" si="80"/>
        <v>27</v>
      </c>
      <c r="S934" s="10">
        <f t="shared" si="81"/>
        <v>364.5</v>
      </c>
      <c r="T934" s="10">
        <f t="shared" si="82"/>
        <v>364.5</v>
      </c>
      <c r="U934" s="8" t="str">
        <f t="shared" si="83"/>
        <v>Mon</v>
      </c>
      <c r="V934" s="8" t="str">
        <f t="shared" si="83"/>
        <v>Tue</v>
      </c>
    </row>
    <row r="935" spans="1:22" x14ac:dyDescent="0.25">
      <c r="A935" t="s">
        <v>479</v>
      </c>
      <c r="B935" t="s">
        <v>39</v>
      </c>
      <c r="C935" t="s">
        <v>8</v>
      </c>
      <c r="D935" t="s">
        <v>12</v>
      </c>
      <c r="F935" s="5">
        <v>44277</v>
      </c>
      <c r="G935" s="5">
        <v>44308</v>
      </c>
      <c r="H935" s="2">
        <v>1</v>
      </c>
      <c r="I935" s="6" t="s">
        <v>3</v>
      </c>
      <c r="J935" s="6" t="s">
        <v>3</v>
      </c>
      <c r="K935" s="7">
        <v>0.25</v>
      </c>
      <c r="L935" s="7">
        <v>65.428799999999995</v>
      </c>
      <c r="M935" t="s">
        <v>20</v>
      </c>
      <c r="N935" s="16">
        <f>POWER(SQRT(WorkOrders27[[#This Row],[WorkDate]]-WorkOrders27[[#This Row],[ReqDate]]),2)</f>
        <v>30.999999999999996</v>
      </c>
      <c r="O935" s="8">
        <f t="array" ref="O935">INDEX(TechRate,MATCH(H935,TechNum,0))</f>
        <v>80</v>
      </c>
      <c r="P935" s="10">
        <f>WorkOrders27[[#This Row],[Techs]]*(WorkOrders27[[#This Row],[PartsCost]]*WorkOrders27[[#This Row],[LbrHrs]])</f>
        <v>16.357199999999999</v>
      </c>
      <c r="Q935" s="10">
        <f t="shared" si="79"/>
        <v>0</v>
      </c>
      <c r="R935" s="10">
        <f t="shared" si="80"/>
        <v>0</v>
      </c>
      <c r="S935" s="10">
        <f t="shared" si="81"/>
        <v>81.786000000000001</v>
      </c>
      <c r="T935" s="10">
        <f t="shared" si="82"/>
        <v>0</v>
      </c>
      <c r="U935" s="8" t="str">
        <f t="shared" si="83"/>
        <v>Mon</v>
      </c>
      <c r="V935" s="8" t="str">
        <f t="shared" si="83"/>
        <v>Thu</v>
      </c>
    </row>
    <row r="936" spans="1:22" x14ac:dyDescent="0.25">
      <c r="A936" t="s">
        <v>480</v>
      </c>
      <c r="B936" t="s">
        <v>36</v>
      </c>
      <c r="C936" t="s">
        <v>7</v>
      </c>
      <c r="D936" t="s">
        <v>12</v>
      </c>
      <c r="F936" s="5">
        <v>44277</v>
      </c>
      <c r="G936" s="5">
        <v>44322</v>
      </c>
      <c r="H936" s="2">
        <v>2</v>
      </c>
      <c r="I936" s="6"/>
      <c r="J936" s="6"/>
      <c r="K936" s="7">
        <v>0.5</v>
      </c>
      <c r="L936" s="7">
        <v>85.32</v>
      </c>
      <c r="M936" t="s">
        <v>17</v>
      </c>
      <c r="N936" s="16">
        <f>POWER(SQRT(WorkOrders27[[#This Row],[WorkDate]]-WorkOrders27[[#This Row],[ReqDate]]),2)</f>
        <v>45.000000000000007</v>
      </c>
      <c r="O936" s="8">
        <f t="array" ref="O936">INDEX(TechRate,MATCH(H936,TechNum,0))</f>
        <v>140</v>
      </c>
      <c r="P936" s="10">
        <f>WorkOrders27[[#This Row],[Techs]]*(WorkOrders27[[#This Row],[PartsCost]]*WorkOrders27[[#This Row],[LbrHrs]])</f>
        <v>85.32</v>
      </c>
      <c r="Q936" s="10">
        <f t="shared" si="79"/>
        <v>85.32</v>
      </c>
      <c r="R936" s="10">
        <f t="shared" si="80"/>
        <v>85.32</v>
      </c>
      <c r="S936" s="10">
        <f t="shared" si="81"/>
        <v>170.64</v>
      </c>
      <c r="T936" s="10">
        <f t="shared" si="82"/>
        <v>170.64</v>
      </c>
      <c r="U936" s="8" t="str">
        <f t="shared" si="83"/>
        <v>Mon</v>
      </c>
      <c r="V936" s="8" t="str">
        <f t="shared" si="83"/>
        <v>Thu</v>
      </c>
    </row>
    <row r="937" spans="1:22" x14ac:dyDescent="0.25">
      <c r="A937" t="s">
        <v>481</v>
      </c>
      <c r="B937" t="s">
        <v>37</v>
      </c>
      <c r="C937" t="s">
        <v>9</v>
      </c>
      <c r="D937" t="s">
        <v>1</v>
      </c>
      <c r="F937" s="5">
        <v>44277</v>
      </c>
      <c r="G937" s="5">
        <v>44326</v>
      </c>
      <c r="H937" s="2">
        <v>2</v>
      </c>
      <c r="I937" s="6"/>
      <c r="J937" s="6" t="s">
        <v>3</v>
      </c>
      <c r="K937" s="7">
        <v>1.5</v>
      </c>
      <c r="L937" s="7">
        <v>572.1671</v>
      </c>
      <c r="M937" t="s">
        <v>18</v>
      </c>
      <c r="N937" s="16">
        <f>POWER(SQRT(WorkOrders27[[#This Row],[WorkDate]]-WorkOrders27[[#This Row],[ReqDate]]),2)</f>
        <v>49</v>
      </c>
      <c r="O937" s="8">
        <f t="array" ref="O937">INDEX(TechRate,MATCH(H937,TechNum,0))</f>
        <v>140</v>
      </c>
      <c r="P937" s="10">
        <f>WorkOrders27[[#This Row],[Techs]]*(WorkOrders27[[#This Row],[PartsCost]]*WorkOrders27[[#This Row],[LbrHrs]])</f>
        <v>1716.5012999999999</v>
      </c>
      <c r="Q937" s="10">
        <f t="shared" si="79"/>
        <v>1716.5012999999999</v>
      </c>
      <c r="R937" s="10">
        <f t="shared" si="80"/>
        <v>0</v>
      </c>
      <c r="S937" s="10">
        <f t="shared" si="81"/>
        <v>2288.6684</v>
      </c>
      <c r="T937" s="10">
        <f t="shared" si="82"/>
        <v>1716.5012999999999</v>
      </c>
      <c r="U937" s="8" t="str">
        <f t="shared" si="83"/>
        <v>Mon</v>
      </c>
      <c r="V937" s="8" t="str">
        <f t="shared" si="83"/>
        <v>Mon</v>
      </c>
    </row>
    <row r="938" spans="1:22" x14ac:dyDescent="0.25">
      <c r="A938" t="s">
        <v>482</v>
      </c>
      <c r="B938" t="s">
        <v>37</v>
      </c>
      <c r="C938" t="s">
        <v>9</v>
      </c>
      <c r="D938" t="s">
        <v>2</v>
      </c>
      <c r="F938" s="5">
        <v>44277</v>
      </c>
      <c r="G938" s="5">
        <v>44326</v>
      </c>
      <c r="H938" s="2">
        <v>2</v>
      </c>
      <c r="I938" s="6"/>
      <c r="J938" s="6" t="s">
        <v>3</v>
      </c>
      <c r="K938" s="7">
        <v>4.5</v>
      </c>
      <c r="L938" s="7">
        <v>937.97670000000005</v>
      </c>
      <c r="M938" t="s">
        <v>18</v>
      </c>
      <c r="N938" s="16">
        <f>POWER(SQRT(WorkOrders27[[#This Row],[WorkDate]]-WorkOrders27[[#This Row],[ReqDate]]),2)</f>
        <v>49</v>
      </c>
      <c r="O938" s="8">
        <f t="array" ref="O938">INDEX(TechRate,MATCH(H938,TechNum,0))</f>
        <v>140</v>
      </c>
      <c r="P938" s="10">
        <f>WorkOrders27[[#This Row],[Techs]]*(WorkOrders27[[#This Row],[PartsCost]]*WorkOrders27[[#This Row],[LbrHrs]])</f>
        <v>8441.7903000000006</v>
      </c>
      <c r="Q938" s="10">
        <f t="shared" si="79"/>
        <v>8441.7903000000006</v>
      </c>
      <c r="R938" s="10">
        <f t="shared" si="80"/>
        <v>0</v>
      </c>
      <c r="S938" s="10">
        <f t="shared" si="81"/>
        <v>9379.7669999999998</v>
      </c>
      <c r="T938" s="10">
        <f t="shared" si="82"/>
        <v>8441.7903000000006</v>
      </c>
      <c r="U938" s="8" t="str">
        <f t="shared" si="83"/>
        <v>Mon</v>
      </c>
      <c r="V938" s="8" t="str">
        <f t="shared" si="83"/>
        <v>Mon</v>
      </c>
    </row>
    <row r="939" spans="1:22" x14ac:dyDescent="0.25">
      <c r="A939" t="s">
        <v>483</v>
      </c>
      <c r="B939" t="s">
        <v>34</v>
      </c>
      <c r="C939" t="s">
        <v>9</v>
      </c>
      <c r="D939" t="s">
        <v>13</v>
      </c>
      <c r="F939" s="5">
        <v>44278</v>
      </c>
      <c r="G939" s="5">
        <v>44278</v>
      </c>
      <c r="H939" s="2">
        <v>1</v>
      </c>
      <c r="I939" s="6" t="s">
        <v>3</v>
      </c>
      <c r="J939" s="6" t="s">
        <v>3</v>
      </c>
      <c r="K939" s="7">
        <v>0.5</v>
      </c>
      <c r="L939" s="7">
        <v>165</v>
      </c>
      <c r="M939" t="s">
        <v>20</v>
      </c>
      <c r="N939" s="16">
        <f>POWER(SQRT(WorkOrders27[[#This Row],[WorkDate]]-WorkOrders27[[#This Row],[ReqDate]]),2)</f>
        <v>0</v>
      </c>
      <c r="O939" s="8">
        <f t="array" ref="O939">INDEX(TechRate,MATCH(H939,TechNum,0))</f>
        <v>80</v>
      </c>
      <c r="P939" s="10">
        <f>WorkOrders27[[#This Row],[Techs]]*(WorkOrders27[[#This Row],[PartsCost]]*WorkOrders27[[#This Row],[LbrHrs]])</f>
        <v>82.5</v>
      </c>
      <c r="Q939" s="10">
        <f t="shared" si="79"/>
        <v>0</v>
      </c>
      <c r="R939" s="10">
        <f t="shared" si="80"/>
        <v>0</v>
      </c>
      <c r="S939" s="10">
        <f t="shared" si="81"/>
        <v>247.5</v>
      </c>
      <c r="T939" s="10">
        <f t="shared" si="82"/>
        <v>0</v>
      </c>
      <c r="U939" s="8" t="str">
        <f t="shared" si="83"/>
        <v>Tue</v>
      </c>
      <c r="V939" s="8" t="str">
        <f t="shared" si="83"/>
        <v>Tue</v>
      </c>
    </row>
    <row r="940" spans="1:22" x14ac:dyDescent="0.25">
      <c r="A940" t="s">
        <v>484</v>
      </c>
      <c r="B940" t="s">
        <v>36</v>
      </c>
      <c r="C940" t="s">
        <v>7</v>
      </c>
      <c r="D940" t="s">
        <v>12</v>
      </c>
      <c r="F940" s="5">
        <v>44278</v>
      </c>
      <c r="G940" s="5">
        <v>44289</v>
      </c>
      <c r="H940" s="2">
        <v>2</v>
      </c>
      <c r="I940" s="6" t="s">
        <v>3</v>
      </c>
      <c r="J940" s="6" t="s">
        <v>3</v>
      </c>
      <c r="K940" s="7">
        <v>0.25</v>
      </c>
      <c r="L940" s="7">
        <v>55.295499999999997</v>
      </c>
      <c r="M940" t="s">
        <v>20</v>
      </c>
      <c r="N940" s="16">
        <f>POWER(SQRT(WorkOrders27[[#This Row],[WorkDate]]-WorkOrders27[[#This Row],[ReqDate]]),2)</f>
        <v>11</v>
      </c>
      <c r="O940" s="8">
        <f t="array" ref="O940">INDEX(TechRate,MATCH(H940,TechNum,0))</f>
        <v>140</v>
      </c>
      <c r="P940" s="10">
        <f>WorkOrders27[[#This Row],[Techs]]*(WorkOrders27[[#This Row],[PartsCost]]*WorkOrders27[[#This Row],[LbrHrs]])</f>
        <v>27.647749999999998</v>
      </c>
      <c r="Q940" s="10">
        <f t="shared" si="79"/>
        <v>0</v>
      </c>
      <c r="R940" s="10">
        <f t="shared" si="80"/>
        <v>0</v>
      </c>
      <c r="S940" s="10">
        <f t="shared" si="81"/>
        <v>82.943249999999992</v>
      </c>
      <c r="T940" s="10">
        <f t="shared" si="82"/>
        <v>0</v>
      </c>
      <c r="U940" s="8" t="str">
        <f t="shared" si="83"/>
        <v>Tue</v>
      </c>
      <c r="V940" s="8" t="str">
        <f t="shared" si="83"/>
        <v>Sat</v>
      </c>
    </row>
    <row r="941" spans="1:22" x14ac:dyDescent="0.25">
      <c r="A941" t="s">
        <v>485</v>
      </c>
      <c r="B941" t="s">
        <v>39</v>
      </c>
      <c r="C941" t="s">
        <v>44</v>
      </c>
      <c r="D941" t="s">
        <v>13</v>
      </c>
      <c r="F941" s="5">
        <v>44278</v>
      </c>
      <c r="G941" s="5">
        <v>44296</v>
      </c>
      <c r="H941" s="2">
        <v>1</v>
      </c>
      <c r="I941" s="6"/>
      <c r="J941" s="6" t="s">
        <v>3</v>
      </c>
      <c r="K941" s="7">
        <v>2.75</v>
      </c>
      <c r="L941" s="7">
        <v>534.56600000000003</v>
      </c>
      <c r="M941" t="s">
        <v>18</v>
      </c>
      <c r="N941" s="16">
        <f>POWER(SQRT(WorkOrders27[[#This Row],[WorkDate]]-WorkOrders27[[#This Row],[ReqDate]]),2)</f>
        <v>17.999999999999996</v>
      </c>
      <c r="O941" s="8">
        <f t="array" ref="O941">INDEX(TechRate,MATCH(H941,TechNum,0))</f>
        <v>80</v>
      </c>
      <c r="P941" s="10">
        <f>WorkOrders27[[#This Row],[Techs]]*(WorkOrders27[[#This Row],[PartsCost]]*WorkOrders27[[#This Row],[LbrHrs]])</f>
        <v>1470.0565000000001</v>
      </c>
      <c r="Q941" s="10">
        <f t="shared" si="79"/>
        <v>1470.0565000000001</v>
      </c>
      <c r="R941" s="10">
        <f t="shared" si="80"/>
        <v>0</v>
      </c>
      <c r="S941" s="10">
        <f t="shared" si="81"/>
        <v>2004.6225000000002</v>
      </c>
      <c r="T941" s="10">
        <f t="shared" si="82"/>
        <v>1470.0565000000001</v>
      </c>
      <c r="U941" s="8" t="str">
        <f t="shared" si="83"/>
        <v>Tue</v>
      </c>
      <c r="V941" s="8" t="str">
        <f t="shared" si="83"/>
        <v>Sat</v>
      </c>
    </row>
    <row r="942" spans="1:22" x14ac:dyDescent="0.25">
      <c r="A942" t="s">
        <v>486</v>
      </c>
      <c r="B942" t="s">
        <v>34</v>
      </c>
      <c r="C942" t="s">
        <v>9</v>
      </c>
      <c r="D942" t="s">
        <v>12</v>
      </c>
      <c r="F942" s="5">
        <v>44278</v>
      </c>
      <c r="G942" s="5">
        <v>44294</v>
      </c>
      <c r="H942" s="2">
        <v>1</v>
      </c>
      <c r="I942" s="6"/>
      <c r="J942" s="6" t="s">
        <v>3</v>
      </c>
      <c r="K942" s="7">
        <v>1</v>
      </c>
      <c r="L942" s="7">
        <v>448.26</v>
      </c>
      <c r="M942" t="s">
        <v>18</v>
      </c>
      <c r="N942" s="16">
        <f>POWER(SQRT(WorkOrders27[[#This Row],[WorkDate]]-WorkOrders27[[#This Row],[ReqDate]]),2)</f>
        <v>16</v>
      </c>
      <c r="O942" s="8">
        <f t="array" ref="O942">INDEX(TechRate,MATCH(H942,TechNum,0))</f>
        <v>80</v>
      </c>
      <c r="P942" s="10">
        <f>WorkOrders27[[#This Row],[Techs]]*(WorkOrders27[[#This Row],[PartsCost]]*WorkOrders27[[#This Row],[LbrHrs]])</f>
        <v>448.26</v>
      </c>
      <c r="Q942" s="10">
        <f t="shared" si="79"/>
        <v>448.26</v>
      </c>
      <c r="R942" s="10">
        <f t="shared" si="80"/>
        <v>0</v>
      </c>
      <c r="S942" s="10">
        <f t="shared" si="81"/>
        <v>896.52</v>
      </c>
      <c r="T942" s="10">
        <f t="shared" si="82"/>
        <v>448.26</v>
      </c>
      <c r="U942" s="8" t="str">
        <f t="shared" si="83"/>
        <v>Tue</v>
      </c>
      <c r="V942" s="8" t="str">
        <f t="shared" si="83"/>
        <v>Thu</v>
      </c>
    </row>
    <row r="943" spans="1:22" x14ac:dyDescent="0.25">
      <c r="A943" t="s">
        <v>487</v>
      </c>
      <c r="B943" t="s">
        <v>42</v>
      </c>
      <c r="C943" t="s">
        <v>9</v>
      </c>
      <c r="D943" t="s">
        <v>12</v>
      </c>
      <c r="F943" s="5">
        <v>44278</v>
      </c>
      <c r="G943" s="5">
        <v>44300</v>
      </c>
      <c r="H943" s="2">
        <v>2</v>
      </c>
      <c r="I943" s="6"/>
      <c r="J943" s="6"/>
      <c r="K943" s="7">
        <v>1</v>
      </c>
      <c r="L943" s="7">
        <v>123.208</v>
      </c>
      <c r="M943" t="s">
        <v>18</v>
      </c>
      <c r="N943" s="16">
        <f>POWER(SQRT(WorkOrders27[[#This Row],[WorkDate]]-WorkOrders27[[#This Row],[ReqDate]]),2)</f>
        <v>22</v>
      </c>
      <c r="O943" s="8">
        <f t="array" ref="O943">INDEX(TechRate,MATCH(H943,TechNum,0))</f>
        <v>140</v>
      </c>
      <c r="P943" s="10">
        <f>WorkOrders27[[#This Row],[Techs]]*(WorkOrders27[[#This Row],[PartsCost]]*WorkOrders27[[#This Row],[LbrHrs]])</f>
        <v>246.416</v>
      </c>
      <c r="Q943" s="10">
        <f t="shared" si="79"/>
        <v>246.416</v>
      </c>
      <c r="R943" s="10">
        <f t="shared" si="80"/>
        <v>123.208</v>
      </c>
      <c r="S943" s="10">
        <f t="shared" si="81"/>
        <v>369.62400000000002</v>
      </c>
      <c r="T943" s="10">
        <f t="shared" si="82"/>
        <v>369.62400000000002</v>
      </c>
      <c r="U943" s="8" t="str">
        <f t="shared" si="83"/>
        <v>Tue</v>
      </c>
      <c r="V943" s="8" t="str">
        <f t="shared" si="83"/>
        <v>Wed</v>
      </c>
    </row>
    <row r="944" spans="1:22" x14ac:dyDescent="0.25">
      <c r="A944" t="s">
        <v>488</v>
      </c>
      <c r="B944" t="s">
        <v>34</v>
      </c>
      <c r="C944" t="s">
        <v>8</v>
      </c>
      <c r="D944" t="s">
        <v>11</v>
      </c>
      <c r="F944" s="5">
        <v>44278</v>
      </c>
      <c r="G944" s="5">
        <v>44298</v>
      </c>
      <c r="H944" s="2">
        <v>1</v>
      </c>
      <c r="I944" s="6"/>
      <c r="J944" s="6"/>
      <c r="K944" s="7">
        <v>0.25</v>
      </c>
      <c r="L944" s="7">
        <v>77.290000000000006</v>
      </c>
      <c r="M944" t="s">
        <v>18</v>
      </c>
      <c r="N944" s="16">
        <f>POWER(SQRT(WorkOrders27[[#This Row],[WorkDate]]-WorkOrders27[[#This Row],[ReqDate]]),2)</f>
        <v>20.000000000000004</v>
      </c>
      <c r="O944" s="8">
        <f t="array" ref="O944">INDEX(TechRate,MATCH(H944,TechNum,0))</f>
        <v>80</v>
      </c>
      <c r="P944" s="10">
        <f>WorkOrders27[[#This Row],[Techs]]*(WorkOrders27[[#This Row],[PartsCost]]*WorkOrders27[[#This Row],[LbrHrs]])</f>
        <v>19.322500000000002</v>
      </c>
      <c r="Q944" s="10">
        <f t="shared" si="79"/>
        <v>19.322500000000002</v>
      </c>
      <c r="R944" s="10">
        <f t="shared" si="80"/>
        <v>77.290000000000006</v>
      </c>
      <c r="S944" s="10">
        <f t="shared" si="81"/>
        <v>96.612500000000011</v>
      </c>
      <c r="T944" s="10">
        <f t="shared" si="82"/>
        <v>96.612500000000011</v>
      </c>
      <c r="U944" s="8" t="str">
        <f t="shared" si="83"/>
        <v>Tue</v>
      </c>
      <c r="V944" s="8" t="str">
        <f t="shared" si="83"/>
        <v>Mon</v>
      </c>
    </row>
    <row r="945" spans="1:22" x14ac:dyDescent="0.25">
      <c r="A945" t="s">
        <v>489</v>
      </c>
      <c r="B945" t="s">
        <v>36</v>
      </c>
      <c r="C945" t="s">
        <v>7</v>
      </c>
      <c r="D945" t="s">
        <v>1</v>
      </c>
      <c r="F945" s="5">
        <v>44278</v>
      </c>
      <c r="G945" s="5">
        <v>44298</v>
      </c>
      <c r="H945" s="2">
        <v>2</v>
      </c>
      <c r="I945" s="6" t="s">
        <v>3</v>
      </c>
      <c r="J945" s="6" t="s">
        <v>3</v>
      </c>
      <c r="K945" s="7">
        <v>1</v>
      </c>
      <c r="L945" s="7">
        <v>360</v>
      </c>
      <c r="M945" t="s">
        <v>20</v>
      </c>
      <c r="N945" s="16">
        <f>POWER(SQRT(WorkOrders27[[#This Row],[WorkDate]]-WorkOrders27[[#This Row],[ReqDate]]),2)</f>
        <v>20.000000000000004</v>
      </c>
      <c r="O945" s="8">
        <f t="array" ref="O945">INDEX(TechRate,MATCH(H945,TechNum,0))</f>
        <v>140</v>
      </c>
      <c r="P945" s="10">
        <f>WorkOrders27[[#This Row],[Techs]]*(WorkOrders27[[#This Row],[PartsCost]]*WorkOrders27[[#This Row],[LbrHrs]])</f>
        <v>720</v>
      </c>
      <c r="Q945" s="10">
        <f t="shared" si="79"/>
        <v>0</v>
      </c>
      <c r="R945" s="10">
        <f t="shared" si="80"/>
        <v>0</v>
      </c>
      <c r="S945" s="10">
        <f t="shared" si="81"/>
        <v>1080</v>
      </c>
      <c r="T945" s="10">
        <f t="shared" si="82"/>
        <v>0</v>
      </c>
      <c r="U945" s="8" t="str">
        <f t="shared" si="83"/>
        <v>Tue</v>
      </c>
      <c r="V945" s="8" t="str">
        <f t="shared" si="83"/>
        <v>Mon</v>
      </c>
    </row>
    <row r="946" spans="1:22" x14ac:dyDescent="0.25">
      <c r="A946" t="s">
        <v>490</v>
      </c>
      <c r="B946" t="s">
        <v>35</v>
      </c>
      <c r="C946" t="s">
        <v>9</v>
      </c>
      <c r="D946" t="s">
        <v>2</v>
      </c>
      <c r="F946" s="5">
        <v>44278</v>
      </c>
      <c r="G946" s="5">
        <v>44329</v>
      </c>
      <c r="H946" s="2">
        <v>2</v>
      </c>
      <c r="I946" s="6"/>
      <c r="J946" s="6"/>
      <c r="K946" s="7">
        <v>3.5</v>
      </c>
      <c r="L946" s="7">
        <v>653.00080000000003</v>
      </c>
      <c r="M946" t="s">
        <v>18</v>
      </c>
      <c r="N946" s="16">
        <f>POWER(SQRT(WorkOrders27[[#This Row],[WorkDate]]-WorkOrders27[[#This Row],[ReqDate]]),2)</f>
        <v>51.000000000000007</v>
      </c>
      <c r="O946" s="8">
        <f t="array" ref="O946">INDEX(TechRate,MATCH(H946,TechNum,0))</f>
        <v>140</v>
      </c>
      <c r="P946" s="10">
        <f>WorkOrders27[[#This Row],[Techs]]*(WorkOrders27[[#This Row],[PartsCost]]*WorkOrders27[[#This Row],[LbrHrs]])</f>
        <v>4571.0056000000004</v>
      </c>
      <c r="Q946" s="10">
        <f t="shared" si="79"/>
        <v>4571.0056000000004</v>
      </c>
      <c r="R946" s="10">
        <f t="shared" si="80"/>
        <v>653.00080000000003</v>
      </c>
      <c r="S946" s="10">
        <f t="shared" si="81"/>
        <v>5224.0064000000002</v>
      </c>
      <c r="T946" s="10">
        <f t="shared" si="82"/>
        <v>5224.0064000000002</v>
      </c>
      <c r="U946" s="8" t="str">
        <f t="shared" si="83"/>
        <v>Tue</v>
      </c>
      <c r="V946" s="8" t="str">
        <f t="shared" si="83"/>
        <v>Thu</v>
      </c>
    </row>
    <row r="947" spans="1:22" x14ac:dyDescent="0.25">
      <c r="A947" t="s">
        <v>491</v>
      </c>
      <c r="B947" t="s">
        <v>37</v>
      </c>
      <c r="C947" t="s">
        <v>43</v>
      </c>
      <c r="D947" t="s">
        <v>1</v>
      </c>
      <c r="F947" s="5">
        <v>44279</v>
      </c>
      <c r="G947" s="5">
        <v>44292</v>
      </c>
      <c r="H947" s="2">
        <v>1</v>
      </c>
      <c r="I947" s="6"/>
      <c r="J947" s="6"/>
      <c r="K947" s="7">
        <v>1.5</v>
      </c>
      <c r="L947" s="7">
        <v>118.3</v>
      </c>
      <c r="M947" t="s">
        <v>17</v>
      </c>
      <c r="N947" s="16">
        <f>POWER(SQRT(WorkOrders27[[#This Row],[WorkDate]]-WorkOrders27[[#This Row],[ReqDate]]),2)</f>
        <v>12.999999999999998</v>
      </c>
      <c r="O947" s="8">
        <f t="array" ref="O947">INDEX(TechRate,MATCH(H947,TechNum,0))</f>
        <v>80</v>
      </c>
      <c r="P947" s="10">
        <f>WorkOrders27[[#This Row],[Techs]]*(WorkOrders27[[#This Row],[PartsCost]]*WorkOrders27[[#This Row],[LbrHrs]])</f>
        <v>177.45</v>
      </c>
      <c r="Q947" s="10">
        <f t="shared" si="79"/>
        <v>177.45</v>
      </c>
      <c r="R947" s="10">
        <f t="shared" si="80"/>
        <v>118.3</v>
      </c>
      <c r="S947" s="10">
        <f t="shared" si="81"/>
        <v>295.75</v>
      </c>
      <c r="T947" s="10">
        <f t="shared" si="82"/>
        <v>295.75</v>
      </c>
      <c r="U947" s="8" t="str">
        <f t="shared" si="83"/>
        <v>Wed</v>
      </c>
      <c r="V947" s="8" t="str">
        <f t="shared" si="83"/>
        <v>Tue</v>
      </c>
    </row>
    <row r="948" spans="1:22" x14ac:dyDescent="0.25">
      <c r="A948" t="s">
        <v>492</v>
      </c>
      <c r="B948" t="s">
        <v>42</v>
      </c>
      <c r="C948" t="s">
        <v>7</v>
      </c>
      <c r="D948" t="s">
        <v>2</v>
      </c>
      <c r="F948" s="5">
        <v>44279</v>
      </c>
      <c r="G948" s="5">
        <v>44358</v>
      </c>
      <c r="H948" s="2">
        <v>2</v>
      </c>
      <c r="I948" s="6"/>
      <c r="J948" s="6" t="s">
        <v>3</v>
      </c>
      <c r="K948" s="7">
        <v>2.5</v>
      </c>
      <c r="L948" s="7">
        <v>1480.3623</v>
      </c>
      <c r="M948" t="s">
        <v>18</v>
      </c>
      <c r="N948" s="16">
        <f>POWER(SQRT(WorkOrders27[[#This Row],[WorkDate]]-WorkOrders27[[#This Row],[ReqDate]]),2)</f>
        <v>79</v>
      </c>
      <c r="O948" s="8">
        <f t="array" ref="O948">INDEX(TechRate,MATCH(H948,TechNum,0))</f>
        <v>140</v>
      </c>
      <c r="P948" s="10">
        <f>WorkOrders27[[#This Row],[Techs]]*(WorkOrders27[[#This Row],[PartsCost]]*WorkOrders27[[#This Row],[LbrHrs]])</f>
        <v>7401.8114999999998</v>
      </c>
      <c r="Q948" s="10">
        <f t="shared" si="79"/>
        <v>7401.8114999999998</v>
      </c>
      <c r="R948" s="10">
        <f t="shared" si="80"/>
        <v>0</v>
      </c>
      <c r="S948" s="10">
        <f t="shared" si="81"/>
        <v>8882.1738000000005</v>
      </c>
      <c r="T948" s="10">
        <f t="shared" si="82"/>
        <v>7401.8114999999998</v>
      </c>
      <c r="U948" s="8" t="str">
        <f t="shared" si="83"/>
        <v>Wed</v>
      </c>
      <c r="V948" s="8" t="str">
        <f t="shared" si="83"/>
        <v>Fri</v>
      </c>
    </row>
    <row r="949" spans="1:22" x14ac:dyDescent="0.25">
      <c r="A949" t="s">
        <v>493</v>
      </c>
      <c r="B949" t="s">
        <v>40</v>
      </c>
      <c r="C949" t="s">
        <v>7</v>
      </c>
      <c r="D949" t="s">
        <v>2</v>
      </c>
      <c r="F949" s="5">
        <v>44280</v>
      </c>
      <c r="G949" s="5">
        <v>44327</v>
      </c>
      <c r="H949" s="2">
        <v>2</v>
      </c>
      <c r="I949" s="6"/>
      <c r="J949" s="6"/>
      <c r="K949" s="7">
        <v>2.5</v>
      </c>
      <c r="L949" s="7">
        <v>837.1567</v>
      </c>
      <c r="M949" t="s">
        <v>18</v>
      </c>
      <c r="N949" s="16">
        <f>POWER(SQRT(WorkOrders27[[#This Row],[WorkDate]]-WorkOrders27[[#This Row],[ReqDate]]),2)</f>
        <v>47</v>
      </c>
      <c r="O949" s="8">
        <f t="array" ref="O949">INDEX(TechRate,MATCH(H949,TechNum,0))</f>
        <v>140</v>
      </c>
      <c r="P949" s="10">
        <f>WorkOrders27[[#This Row],[Techs]]*(WorkOrders27[[#This Row],[PartsCost]]*WorkOrders27[[#This Row],[LbrHrs]])</f>
        <v>4185.7834999999995</v>
      </c>
      <c r="Q949" s="10">
        <f t="shared" si="79"/>
        <v>4185.7834999999995</v>
      </c>
      <c r="R949" s="10">
        <f t="shared" si="80"/>
        <v>837.1567</v>
      </c>
      <c r="S949" s="10">
        <f t="shared" si="81"/>
        <v>5022.9401999999991</v>
      </c>
      <c r="T949" s="10">
        <f t="shared" si="82"/>
        <v>5022.9401999999991</v>
      </c>
      <c r="U949" s="8" t="str">
        <f t="shared" si="83"/>
        <v>Thu</v>
      </c>
      <c r="V949" s="8" t="str">
        <f t="shared" si="83"/>
        <v>Tue</v>
      </c>
    </row>
    <row r="950" spans="1:22" x14ac:dyDescent="0.25">
      <c r="A950" t="s">
        <v>494</v>
      </c>
      <c r="B950" t="s">
        <v>36</v>
      </c>
      <c r="C950" t="s">
        <v>7</v>
      </c>
      <c r="D950" t="s">
        <v>2</v>
      </c>
      <c r="F950" s="5">
        <v>44282</v>
      </c>
      <c r="G950" s="5">
        <v>44377</v>
      </c>
      <c r="H950" s="2">
        <v>2</v>
      </c>
      <c r="I950" s="6"/>
      <c r="J950" s="6"/>
      <c r="K950" s="7">
        <v>1.75</v>
      </c>
      <c r="L950" s="7">
        <v>242.6396</v>
      </c>
      <c r="M950" t="s">
        <v>18</v>
      </c>
      <c r="N950" s="16">
        <f>POWER(SQRT(WorkOrders27[[#This Row],[WorkDate]]-WorkOrders27[[#This Row],[ReqDate]]),2)</f>
        <v>94.999999999999986</v>
      </c>
      <c r="O950" s="8">
        <f t="array" ref="O950">INDEX(TechRate,MATCH(H950,TechNum,0))</f>
        <v>140</v>
      </c>
      <c r="P950" s="10">
        <f>WorkOrders27[[#This Row],[Techs]]*(WorkOrders27[[#This Row],[PartsCost]]*WorkOrders27[[#This Row],[LbrHrs]])</f>
        <v>849.23860000000002</v>
      </c>
      <c r="Q950" s="10">
        <f t="shared" si="79"/>
        <v>849.23860000000002</v>
      </c>
      <c r="R950" s="10">
        <f t="shared" si="80"/>
        <v>242.6396</v>
      </c>
      <c r="S950" s="10">
        <f t="shared" si="81"/>
        <v>1091.8782000000001</v>
      </c>
      <c r="T950" s="10">
        <f t="shared" si="82"/>
        <v>1091.8782000000001</v>
      </c>
      <c r="U950" s="8" t="str">
        <f t="shared" si="83"/>
        <v>Sat</v>
      </c>
      <c r="V950" s="8" t="str">
        <f t="shared" si="83"/>
        <v>Wed</v>
      </c>
    </row>
    <row r="951" spans="1:22" x14ac:dyDescent="0.25">
      <c r="A951" t="s">
        <v>495</v>
      </c>
      <c r="B951" t="s">
        <v>39</v>
      </c>
      <c r="C951" t="s">
        <v>44</v>
      </c>
      <c r="D951" t="s">
        <v>2</v>
      </c>
      <c r="F951" s="5">
        <v>44284</v>
      </c>
      <c r="G951" s="5">
        <v>44293</v>
      </c>
      <c r="H951" s="2">
        <v>1</v>
      </c>
      <c r="I951" s="6"/>
      <c r="J951" s="6" t="s">
        <v>3</v>
      </c>
      <c r="K951" s="7">
        <v>2</v>
      </c>
      <c r="L951" s="7">
        <v>262.02800000000002</v>
      </c>
      <c r="M951" t="s">
        <v>18</v>
      </c>
      <c r="N951" s="16">
        <f>POWER(SQRT(WorkOrders27[[#This Row],[WorkDate]]-WorkOrders27[[#This Row],[ReqDate]]),2)</f>
        <v>9</v>
      </c>
      <c r="O951" s="8">
        <f t="array" ref="O951">INDEX(TechRate,MATCH(H951,TechNum,0))</f>
        <v>80</v>
      </c>
      <c r="P951" s="10">
        <f>WorkOrders27[[#This Row],[Techs]]*(WorkOrders27[[#This Row],[PartsCost]]*WorkOrders27[[#This Row],[LbrHrs]])</f>
        <v>524.05600000000004</v>
      </c>
      <c r="Q951" s="10">
        <f t="shared" ref="Q951:Q1001" si="84">IF(I951="Yes",0,P951)</f>
        <v>524.05600000000004</v>
      </c>
      <c r="R951" s="10">
        <f t="shared" ref="R951:R1001" si="85">IF(J951="Yes",0,L951)</f>
        <v>0</v>
      </c>
      <c r="S951" s="10">
        <f t="shared" ref="S951:S1001" si="86">SUM(L951,P951)</f>
        <v>786.08400000000006</v>
      </c>
      <c r="T951" s="10">
        <f t="shared" ref="T951:T1001" si="87">SUM(Q951,R951)</f>
        <v>524.05600000000004</v>
      </c>
      <c r="U951" s="8" t="str">
        <f t="shared" si="83"/>
        <v>Mon</v>
      </c>
      <c r="V951" s="8" t="str">
        <f t="shared" si="83"/>
        <v>Wed</v>
      </c>
    </row>
    <row r="952" spans="1:22" x14ac:dyDescent="0.25">
      <c r="A952" t="s">
        <v>496</v>
      </c>
      <c r="B952" t="s">
        <v>39</v>
      </c>
      <c r="C952" t="s">
        <v>8</v>
      </c>
      <c r="D952" t="s">
        <v>1</v>
      </c>
      <c r="F952" s="5">
        <v>44284</v>
      </c>
      <c r="G952" s="5">
        <v>44375</v>
      </c>
      <c r="H952" s="2">
        <v>1</v>
      </c>
      <c r="I952" s="6"/>
      <c r="J952" s="6"/>
      <c r="K952" s="7">
        <v>1.75</v>
      </c>
      <c r="L952" s="7">
        <v>473.60329999999999</v>
      </c>
      <c r="M952" t="s">
        <v>18</v>
      </c>
      <c r="N952" s="16">
        <f>POWER(SQRT(WorkOrders27[[#This Row],[WorkDate]]-WorkOrders27[[#This Row],[ReqDate]]),2)</f>
        <v>91</v>
      </c>
      <c r="O952" s="8">
        <f t="array" ref="O952">INDEX(TechRate,MATCH(H952,TechNum,0))</f>
        <v>80</v>
      </c>
      <c r="P952" s="10">
        <f>WorkOrders27[[#This Row],[Techs]]*(WorkOrders27[[#This Row],[PartsCost]]*WorkOrders27[[#This Row],[LbrHrs]])</f>
        <v>828.80577500000004</v>
      </c>
      <c r="Q952" s="10">
        <f t="shared" si="84"/>
        <v>828.80577500000004</v>
      </c>
      <c r="R952" s="10">
        <f t="shared" si="85"/>
        <v>473.60329999999999</v>
      </c>
      <c r="S952" s="10">
        <f t="shared" si="86"/>
        <v>1302.409075</v>
      </c>
      <c r="T952" s="10">
        <f t="shared" si="87"/>
        <v>1302.409075</v>
      </c>
      <c r="U952" s="8" t="str">
        <f t="shared" si="83"/>
        <v>Mon</v>
      </c>
      <c r="V952" s="8" t="str">
        <f t="shared" si="83"/>
        <v>Mon</v>
      </c>
    </row>
    <row r="953" spans="1:22" x14ac:dyDescent="0.25">
      <c r="A953" t="s">
        <v>497</v>
      </c>
      <c r="B953" t="s">
        <v>34</v>
      </c>
      <c r="C953" t="s">
        <v>8</v>
      </c>
      <c r="D953" t="s">
        <v>2</v>
      </c>
      <c r="F953" s="5">
        <v>44285</v>
      </c>
      <c r="G953" s="5">
        <v>44328</v>
      </c>
      <c r="H953" s="2">
        <v>1</v>
      </c>
      <c r="I953" s="6"/>
      <c r="J953" s="6"/>
      <c r="K953" s="7">
        <v>2.75</v>
      </c>
      <c r="L953" s="7">
        <v>708.02269999999999</v>
      </c>
      <c r="M953" t="s">
        <v>18</v>
      </c>
      <c r="N953" s="16">
        <f>POWER(SQRT(WorkOrders27[[#This Row],[WorkDate]]-WorkOrders27[[#This Row],[ReqDate]]),2)</f>
        <v>42.999999999999993</v>
      </c>
      <c r="O953" s="8">
        <f t="array" ref="O953">INDEX(TechRate,MATCH(H953,TechNum,0))</f>
        <v>80</v>
      </c>
      <c r="P953" s="10">
        <f>WorkOrders27[[#This Row],[Techs]]*(WorkOrders27[[#This Row],[PartsCost]]*WorkOrders27[[#This Row],[LbrHrs]])</f>
        <v>1947.0624250000001</v>
      </c>
      <c r="Q953" s="10">
        <f t="shared" si="84"/>
        <v>1947.0624250000001</v>
      </c>
      <c r="R953" s="10">
        <f t="shared" si="85"/>
        <v>708.02269999999999</v>
      </c>
      <c r="S953" s="10">
        <f t="shared" si="86"/>
        <v>2655.0851250000001</v>
      </c>
      <c r="T953" s="10">
        <f t="shared" si="87"/>
        <v>2655.0851250000001</v>
      </c>
      <c r="U953" s="8" t="str">
        <f t="shared" si="83"/>
        <v>Tue</v>
      </c>
      <c r="V953" s="8" t="str">
        <f t="shared" si="83"/>
        <v>Wed</v>
      </c>
    </row>
    <row r="954" spans="1:22" x14ac:dyDescent="0.25">
      <c r="A954" t="s">
        <v>498</v>
      </c>
      <c r="B954" t="s">
        <v>34</v>
      </c>
      <c r="C954" t="s">
        <v>9</v>
      </c>
      <c r="D954" t="s">
        <v>13</v>
      </c>
      <c r="F954" s="5">
        <v>44286</v>
      </c>
      <c r="G954" s="5">
        <v>44292</v>
      </c>
      <c r="H954" s="2">
        <v>1</v>
      </c>
      <c r="I954" s="6"/>
      <c r="J954" s="6"/>
      <c r="K954" s="7">
        <v>0.5</v>
      </c>
      <c r="L954" s="7">
        <v>13.321400000000001</v>
      </c>
      <c r="M954" t="s">
        <v>18</v>
      </c>
      <c r="N954" s="16">
        <f>POWER(SQRT(WorkOrders27[[#This Row],[WorkDate]]-WorkOrders27[[#This Row],[ReqDate]]),2)</f>
        <v>5.9999999999999991</v>
      </c>
      <c r="O954" s="8">
        <f t="array" ref="O954">INDEX(TechRate,MATCH(H954,TechNum,0))</f>
        <v>80</v>
      </c>
      <c r="P954" s="10">
        <f>WorkOrders27[[#This Row],[Techs]]*(WorkOrders27[[#This Row],[PartsCost]]*WorkOrders27[[#This Row],[LbrHrs]])</f>
        <v>6.6607000000000003</v>
      </c>
      <c r="Q954" s="10">
        <f t="shared" si="84"/>
        <v>6.6607000000000003</v>
      </c>
      <c r="R954" s="10">
        <f t="shared" si="85"/>
        <v>13.321400000000001</v>
      </c>
      <c r="S954" s="10">
        <f t="shared" si="86"/>
        <v>19.982100000000003</v>
      </c>
      <c r="T954" s="10">
        <f t="shared" si="87"/>
        <v>19.982100000000003</v>
      </c>
      <c r="U954" s="8" t="str">
        <f t="shared" si="83"/>
        <v>Wed</v>
      </c>
      <c r="V954" s="8" t="str">
        <f t="shared" si="83"/>
        <v>Tue</v>
      </c>
    </row>
    <row r="955" spans="1:22" x14ac:dyDescent="0.25">
      <c r="A955" t="s">
        <v>499</v>
      </c>
      <c r="B955" t="s">
        <v>42</v>
      </c>
      <c r="C955" t="s">
        <v>9</v>
      </c>
      <c r="D955" t="s">
        <v>13</v>
      </c>
      <c r="E955" t="s">
        <v>3</v>
      </c>
      <c r="F955" s="5">
        <v>44286</v>
      </c>
      <c r="G955" s="5">
        <v>44307</v>
      </c>
      <c r="H955" s="2">
        <v>1</v>
      </c>
      <c r="I955" s="6"/>
      <c r="J955" s="6"/>
      <c r="K955" s="7">
        <v>0.75</v>
      </c>
      <c r="L955" s="7">
        <v>51.29</v>
      </c>
      <c r="M955" t="s">
        <v>18</v>
      </c>
      <c r="N955" s="16">
        <f>POWER(SQRT(WorkOrders27[[#This Row],[WorkDate]]-WorkOrders27[[#This Row],[ReqDate]]),2)</f>
        <v>21</v>
      </c>
      <c r="O955" s="8">
        <f t="array" ref="O955">INDEX(TechRate,MATCH(H955,TechNum,0))</f>
        <v>80</v>
      </c>
      <c r="P955" s="10">
        <f>WorkOrders27[[#This Row],[Techs]]*(WorkOrders27[[#This Row],[PartsCost]]*WorkOrders27[[#This Row],[LbrHrs]])</f>
        <v>38.467500000000001</v>
      </c>
      <c r="Q955" s="10">
        <f t="shared" si="84"/>
        <v>38.467500000000001</v>
      </c>
      <c r="R955" s="10">
        <f t="shared" si="85"/>
        <v>51.29</v>
      </c>
      <c r="S955" s="10">
        <f t="shared" si="86"/>
        <v>89.757499999999993</v>
      </c>
      <c r="T955" s="10">
        <f t="shared" si="87"/>
        <v>89.757499999999993</v>
      </c>
      <c r="U955" s="8" t="str">
        <f t="shared" si="83"/>
        <v>Wed</v>
      </c>
      <c r="V955" s="8" t="str">
        <f t="shared" si="83"/>
        <v>Wed</v>
      </c>
    </row>
    <row r="956" spans="1:22" x14ac:dyDescent="0.25">
      <c r="A956" t="s">
        <v>500</v>
      </c>
      <c r="B956" t="s">
        <v>36</v>
      </c>
      <c r="C956" t="s">
        <v>7</v>
      </c>
      <c r="D956" t="s">
        <v>11</v>
      </c>
      <c r="F956" s="5">
        <v>44287</v>
      </c>
      <c r="G956" s="5">
        <v>44302</v>
      </c>
      <c r="H956" s="2">
        <v>1</v>
      </c>
      <c r="I956" s="6"/>
      <c r="J956" s="6"/>
      <c r="K956" s="7">
        <v>0.25</v>
      </c>
      <c r="L956" s="7">
        <v>89.5</v>
      </c>
      <c r="M956" t="s">
        <v>17</v>
      </c>
      <c r="N956" s="16">
        <f>POWER(SQRT(WorkOrders27[[#This Row],[WorkDate]]-WorkOrders27[[#This Row],[ReqDate]]),2)</f>
        <v>15.000000000000002</v>
      </c>
      <c r="O956" s="8">
        <f t="array" ref="O956">INDEX(TechRate,MATCH(H956,TechNum,0))</f>
        <v>80</v>
      </c>
      <c r="P956" s="10">
        <f>WorkOrders27[[#This Row],[Techs]]*(WorkOrders27[[#This Row],[PartsCost]]*WorkOrders27[[#This Row],[LbrHrs]])</f>
        <v>22.375</v>
      </c>
      <c r="Q956" s="10">
        <f t="shared" si="84"/>
        <v>22.375</v>
      </c>
      <c r="R956" s="10">
        <f t="shared" si="85"/>
        <v>89.5</v>
      </c>
      <c r="S956" s="10">
        <f t="shared" si="86"/>
        <v>111.875</v>
      </c>
      <c r="T956" s="10">
        <f t="shared" si="87"/>
        <v>111.875</v>
      </c>
      <c r="U956" s="8" t="str">
        <f t="shared" si="83"/>
        <v>Thu</v>
      </c>
      <c r="V956" s="8" t="str">
        <f t="shared" si="83"/>
        <v>Fri</v>
      </c>
    </row>
    <row r="957" spans="1:22" x14ac:dyDescent="0.25">
      <c r="A957" t="s">
        <v>501</v>
      </c>
      <c r="B957" t="s">
        <v>35</v>
      </c>
      <c r="C957" t="s">
        <v>9</v>
      </c>
      <c r="D957" t="s">
        <v>12</v>
      </c>
      <c r="F957" s="5">
        <v>44287</v>
      </c>
      <c r="G957" s="5">
        <v>44298</v>
      </c>
      <c r="H957" s="2">
        <v>1</v>
      </c>
      <c r="I957" s="6"/>
      <c r="J957" s="6"/>
      <c r="K957" s="7">
        <v>0.25</v>
      </c>
      <c r="L957" s="7">
        <v>74.532399999999996</v>
      </c>
      <c r="M957" t="s">
        <v>19</v>
      </c>
      <c r="N957" s="16">
        <f>POWER(SQRT(WorkOrders27[[#This Row],[WorkDate]]-WorkOrders27[[#This Row],[ReqDate]]),2)</f>
        <v>11</v>
      </c>
      <c r="O957" s="8">
        <f t="array" ref="O957">INDEX(TechRate,MATCH(H957,TechNum,0))</f>
        <v>80</v>
      </c>
      <c r="P957" s="10">
        <f>WorkOrders27[[#This Row],[Techs]]*(WorkOrders27[[#This Row],[PartsCost]]*WorkOrders27[[#This Row],[LbrHrs]])</f>
        <v>18.633099999999999</v>
      </c>
      <c r="Q957" s="10">
        <f t="shared" si="84"/>
        <v>18.633099999999999</v>
      </c>
      <c r="R957" s="10">
        <f t="shared" si="85"/>
        <v>74.532399999999996</v>
      </c>
      <c r="S957" s="10">
        <f t="shared" si="86"/>
        <v>93.165499999999994</v>
      </c>
      <c r="T957" s="10">
        <f t="shared" si="87"/>
        <v>93.165499999999994</v>
      </c>
      <c r="U957" s="8" t="str">
        <f t="shared" si="83"/>
        <v>Thu</v>
      </c>
      <c r="V957" s="8" t="str">
        <f t="shared" si="83"/>
        <v>Mon</v>
      </c>
    </row>
    <row r="958" spans="1:22" x14ac:dyDescent="0.25">
      <c r="A958" t="s">
        <v>502</v>
      </c>
      <c r="B958" t="s">
        <v>36</v>
      </c>
      <c r="C958" t="s">
        <v>7</v>
      </c>
      <c r="D958" t="s">
        <v>2</v>
      </c>
      <c r="F958" s="5">
        <v>44287</v>
      </c>
      <c r="G958" s="5">
        <v>44298</v>
      </c>
      <c r="H958" s="2">
        <v>2</v>
      </c>
      <c r="I958" s="6"/>
      <c r="J958" s="6"/>
      <c r="K958" s="7">
        <v>1.5</v>
      </c>
      <c r="L958" s="7">
        <v>64</v>
      </c>
      <c r="M958" t="s">
        <v>17</v>
      </c>
      <c r="N958" s="16">
        <f>POWER(SQRT(WorkOrders27[[#This Row],[WorkDate]]-WorkOrders27[[#This Row],[ReqDate]]),2)</f>
        <v>11</v>
      </c>
      <c r="O958" s="8">
        <f t="array" ref="O958">INDEX(TechRate,MATCH(H958,TechNum,0))</f>
        <v>140</v>
      </c>
      <c r="P958" s="10">
        <f>WorkOrders27[[#This Row],[Techs]]*(WorkOrders27[[#This Row],[PartsCost]]*WorkOrders27[[#This Row],[LbrHrs]])</f>
        <v>192</v>
      </c>
      <c r="Q958" s="10">
        <f t="shared" si="84"/>
        <v>192</v>
      </c>
      <c r="R958" s="10">
        <f t="shared" si="85"/>
        <v>64</v>
      </c>
      <c r="S958" s="10">
        <f t="shared" si="86"/>
        <v>256</v>
      </c>
      <c r="T958" s="10">
        <f t="shared" si="87"/>
        <v>256</v>
      </c>
      <c r="U958" s="8" t="str">
        <f t="shared" si="83"/>
        <v>Thu</v>
      </c>
      <c r="V958" s="8" t="str">
        <f t="shared" si="83"/>
        <v>Mon</v>
      </c>
    </row>
    <row r="959" spans="1:22" x14ac:dyDescent="0.25">
      <c r="A959" t="s">
        <v>503</v>
      </c>
      <c r="B959" t="s">
        <v>35</v>
      </c>
      <c r="C959" t="s">
        <v>8</v>
      </c>
      <c r="D959" t="s">
        <v>12</v>
      </c>
      <c r="E959" t="s">
        <v>3</v>
      </c>
      <c r="F959" s="5">
        <v>44287</v>
      </c>
      <c r="G959" s="5">
        <v>44300</v>
      </c>
      <c r="H959" s="2">
        <v>1</v>
      </c>
      <c r="I959" s="6"/>
      <c r="J959" s="6"/>
      <c r="K959" s="7">
        <v>0.25</v>
      </c>
      <c r="L959" s="7">
        <v>23.401</v>
      </c>
      <c r="M959" t="s">
        <v>17</v>
      </c>
      <c r="N959" s="16">
        <f>POWER(SQRT(WorkOrders27[[#This Row],[WorkDate]]-WorkOrders27[[#This Row],[ReqDate]]),2)</f>
        <v>12.999999999999998</v>
      </c>
      <c r="O959" s="8">
        <f t="array" ref="O959">INDEX(TechRate,MATCH(H959,TechNum,0))</f>
        <v>80</v>
      </c>
      <c r="P959" s="10">
        <f>WorkOrders27[[#This Row],[Techs]]*(WorkOrders27[[#This Row],[PartsCost]]*WorkOrders27[[#This Row],[LbrHrs]])</f>
        <v>5.85025</v>
      </c>
      <c r="Q959" s="10">
        <f t="shared" si="84"/>
        <v>5.85025</v>
      </c>
      <c r="R959" s="10">
        <f t="shared" si="85"/>
        <v>23.401</v>
      </c>
      <c r="S959" s="10">
        <f t="shared" si="86"/>
        <v>29.251249999999999</v>
      </c>
      <c r="T959" s="10">
        <f t="shared" si="87"/>
        <v>29.251249999999999</v>
      </c>
      <c r="U959" s="8" t="str">
        <f t="shared" si="83"/>
        <v>Thu</v>
      </c>
      <c r="V959" s="8" t="str">
        <f t="shared" si="83"/>
        <v>Wed</v>
      </c>
    </row>
    <row r="960" spans="1:22" x14ac:dyDescent="0.25">
      <c r="A960" t="s">
        <v>504</v>
      </c>
      <c r="B960" t="s">
        <v>40</v>
      </c>
      <c r="C960" t="s">
        <v>7</v>
      </c>
      <c r="D960" t="s">
        <v>12</v>
      </c>
      <c r="F960" s="5">
        <v>44287</v>
      </c>
      <c r="G960" s="5">
        <v>44312</v>
      </c>
      <c r="H960" s="2">
        <v>2</v>
      </c>
      <c r="I960" s="6"/>
      <c r="J960" s="6"/>
      <c r="K960" s="7">
        <v>0.25</v>
      </c>
      <c r="L960" s="7">
        <v>17.13</v>
      </c>
      <c r="M960" t="s">
        <v>17</v>
      </c>
      <c r="N960" s="16">
        <f>POWER(SQRT(WorkOrders27[[#This Row],[WorkDate]]-WorkOrders27[[#This Row],[ReqDate]]),2)</f>
        <v>25</v>
      </c>
      <c r="O960" s="8">
        <f t="array" ref="O960">INDEX(TechRate,MATCH(H960,TechNum,0))</f>
        <v>140</v>
      </c>
      <c r="P960" s="10">
        <f>WorkOrders27[[#This Row],[Techs]]*(WorkOrders27[[#This Row],[PartsCost]]*WorkOrders27[[#This Row],[LbrHrs]])</f>
        <v>8.5649999999999995</v>
      </c>
      <c r="Q960" s="10">
        <f t="shared" si="84"/>
        <v>8.5649999999999995</v>
      </c>
      <c r="R960" s="10">
        <f t="shared" si="85"/>
        <v>17.13</v>
      </c>
      <c r="S960" s="10">
        <f t="shared" si="86"/>
        <v>25.695</v>
      </c>
      <c r="T960" s="10">
        <f t="shared" si="87"/>
        <v>25.695</v>
      </c>
      <c r="U960" s="8" t="str">
        <f t="shared" si="83"/>
        <v>Thu</v>
      </c>
      <c r="V960" s="8" t="str">
        <f t="shared" si="83"/>
        <v>Mon</v>
      </c>
    </row>
    <row r="961" spans="1:22" x14ac:dyDescent="0.25">
      <c r="A961" t="s">
        <v>505</v>
      </c>
      <c r="B961" t="s">
        <v>38</v>
      </c>
      <c r="C961" t="s">
        <v>43</v>
      </c>
      <c r="D961" t="s">
        <v>12</v>
      </c>
      <c r="F961" s="5">
        <v>44287</v>
      </c>
      <c r="G961" s="5">
        <v>44315</v>
      </c>
      <c r="H961" s="2">
        <v>1</v>
      </c>
      <c r="I961" s="6"/>
      <c r="J961" s="6"/>
      <c r="K961" s="7">
        <v>0.5</v>
      </c>
      <c r="L961" s="7">
        <v>149.5</v>
      </c>
      <c r="M961" t="s">
        <v>19</v>
      </c>
      <c r="N961" s="16">
        <f>POWER(SQRT(WorkOrders27[[#This Row],[WorkDate]]-WorkOrders27[[#This Row],[ReqDate]]),2)</f>
        <v>28.000000000000004</v>
      </c>
      <c r="O961" s="8">
        <f t="array" ref="O961">INDEX(TechRate,MATCH(H961,TechNum,0))</f>
        <v>80</v>
      </c>
      <c r="P961" s="10">
        <f>WorkOrders27[[#This Row],[Techs]]*(WorkOrders27[[#This Row],[PartsCost]]*WorkOrders27[[#This Row],[LbrHrs]])</f>
        <v>74.75</v>
      </c>
      <c r="Q961" s="10">
        <f t="shared" si="84"/>
        <v>74.75</v>
      </c>
      <c r="R961" s="10">
        <f t="shared" si="85"/>
        <v>149.5</v>
      </c>
      <c r="S961" s="10">
        <f t="shared" si="86"/>
        <v>224.25</v>
      </c>
      <c r="T961" s="10">
        <f t="shared" si="87"/>
        <v>224.25</v>
      </c>
      <c r="U961" s="8" t="str">
        <f t="shared" si="83"/>
        <v>Thu</v>
      </c>
      <c r="V961" s="8" t="str">
        <f t="shared" si="83"/>
        <v>Thu</v>
      </c>
    </row>
    <row r="962" spans="1:22" x14ac:dyDescent="0.25">
      <c r="A962" t="s">
        <v>506</v>
      </c>
      <c r="B962" t="s">
        <v>35</v>
      </c>
      <c r="C962" t="s">
        <v>9</v>
      </c>
      <c r="D962" t="s">
        <v>12</v>
      </c>
      <c r="F962" s="5">
        <v>44288</v>
      </c>
      <c r="G962" s="5">
        <v>44312</v>
      </c>
      <c r="H962" s="2">
        <v>1</v>
      </c>
      <c r="I962" s="6"/>
      <c r="J962" s="6"/>
      <c r="K962" s="7">
        <v>0.5</v>
      </c>
      <c r="L962" s="7">
        <v>163.197</v>
      </c>
      <c r="M962" t="s">
        <v>19</v>
      </c>
      <c r="N962" s="16">
        <f>POWER(SQRT(WorkOrders27[[#This Row],[WorkDate]]-WorkOrders27[[#This Row],[ReqDate]]),2)</f>
        <v>23.999999999999996</v>
      </c>
      <c r="O962" s="8">
        <f t="array" ref="O962">INDEX(TechRate,MATCH(H962,TechNum,0))</f>
        <v>80</v>
      </c>
      <c r="P962" s="10">
        <f>WorkOrders27[[#This Row],[Techs]]*(WorkOrders27[[#This Row],[PartsCost]]*WorkOrders27[[#This Row],[LbrHrs]])</f>
        <v>81.598500000000001</v>
      </c>
      <c r="Q962" s="10">
        <f t="shared" si="84"/>
        <v>81.598500000000001</v>
      </c>
      <c r="R962" s="10">
        <f t="shared" si="85"/>
        <v>163.197</v>
      </c>
      <c r="S962" s="10">
        <f t="shared" si="86"/>
        <v>244.7955</v>
      </c>
      <c r="T962" s="10">
        <f t="shared" si="87"/>
        <v>244.7955</v>
      </c>
      <c r="U962" s="8" t="str">
        <f t="shared" si="83"/>
        <v>Fri</v>
      </c>
      <c r="V962" s="8" t="str">
        <f t="shared" si="83"/>
        <v>Mon</v>
      </c>
    </row>
    <row r="963" spans="1:22" x14ac:dyDescent="0.25">
      <c r="A963" t="s">
        <v>507</v>
      </c>
      <c r="B963" t="s">
        <v>36</v>
      </c>
      <c r="C963" t="s">
        <v>7</v>
      </c>
      <c r="D963" t="s">
        <v>12</v>
      </c>
      <c r="F963" s="5">
        <v>44289</v>
      </c>
      <c r="G963" s="5">
        <v>44301</v>
      </c>
      <c r="H963" s="2">
        <v>2</v>
      </c>
      <c r="I963" s="6"/>
      <c r="J963" s="6"/>
      <c r="K963" s="7">
        <v>0.25</v>
      </c>
      <c r="L963" s="7">
        <v>14.76</v>
      </c>
      <c r="M963" t="s">
        <v>17</v>
      </c>
      <c r="N963" s="16">
        <f>POWER(SQRT(WorkOrders27[[#This Row],[WorkDate]]-WorkOrders27[[#This Row],[ReqDate]]),2)</f>
        <v>11.999999999999998</v>
      </c>
      <c r="O963" s="8">
        <f t="array" ref="O963">INDEX(TechRate,MATCH(H963,TechNum,0))</f>
        <v>140</v>
      </c>
      <c r="P963" s="10">
        <f>WorkOrders27[[#This Row],[Techs]]*(WorkOrders27[[#This Row],[PartsCost]]*WorkOrders27[[#This Row],[LbrHrs]])</f>
        <v>7.38</v>
      </c>
      <c r="Q963" s="10">
        <f t="shared" si="84"/>
        <v>7.38</v>
      </c>
      <c r="R963" s="10">
        <f t="shared" si="85"/>
        <v>14.76</v>
      </c>
      <c r="S963" s="10">
        <f t="shared" si="86"/>
        <v>22.14</v>
      </c>
      <c r="T963" s="10">
        <f t="shared" si="87"/>
        <v>22.14</v>
      </c>
      <c r="U963" s="8" t="str">
        <f t="shared" si="83"/>
        <v>Sat</v>
      </c>
      <c r="V963" s="8" t="str">
        <f t="shared" si="83"/>
        <v>Thu</v>
      </c>
    </row>
    <row r="964" spans="1:22" x14ac:dyDescent="0.25">
      <c r="A964" t="s">
        <v>508</v>
      </c>
      <c r="B964" t="s">
        <v>39</v>
      </c>
      <c r="C964" t="s">
        <v>44</v>
      </c>
      <c r="D964" t="s">
        <v>12</v>
      </c>
      <c r="F964" s="5">
        <v>44289</v>
      </c>
      <c r="G964" s="5">
        <v>44313</v>
      </c>
      <c r="H964" s="2">
        <v>1</v>
      </c>
      <c r="I964" s="6"/>
      <c r="J964" s="6"/>
      <c r="K964" s="7">
        <v>0.75</v>
      </c>
      <c r="L964" s="7">
        <v>21.33</v>
      </c>
      <c r="M964" t="s">
        <v>17</v>
      </c>
      <c r="N964" s="16">
        <f>POWER(SQRT(WorkOrders27[[#This Row],[WorkDate]]-WorkOrders27[[#This Row],[ReqDate]]),2)</f>
        <v>23.999999999999996</v>
      </c>
      <c r="O964" s="8">
        <f t="array" ref="O964">INDEX(TechRate,MATCH(H964,TechNum,0))</f>
        <v>80</v>
      </c>
      <c r="P964" s="10">
        <f>WorkOrders27[[#This Row],[Techs]]*(WorkOrders27[[#This Row],[PartsCost]]*WorkOrders27[[#This Row],[LbrHrs]])</f>
        <v>15.997499999999999</v>
      </c>
      <c r="Q964" s="10">
        <f t="shared" si="84"/>
        <v>15.997499999999999</v>
      </c>
      <c r="R964" s="10">
        <f t="shared" si="85"/>
        <v>21.33</v>
      </c>
      <c r="S964" s="10">
        <f t="shared" si="86"/>
        <v>37.327500000000001</v>
      </c>
      <c r="T964" s="10">
        <f t="shared" si="87"/>
        <v>37.327500000000001</v>
      </c>
      <c r="U964" s="8" t="str">
        <f t="shared" si="83"/>
        <v>Sat</v>
      </c>
      <c r="V964" s="8" t="str">
        <f t="shared" si="83"/>
        <v>Tue</v>
      </c>
    </row>
    <row r="965" spans="1:22" x14ac:dyDescent="0.25">
      <c r="A965" t="s">
        <v>509</v>
      </c>
      <c r="B965" t="s">
        <v>35</v>
      </c>
      <c r="C965" t="s">
        <v>9</v>
      </c>
      <c r="D965" t="s">
        <v>12</v>
      </c>
      <c r="F965" s="5">
        <v>44289</v>
      </c>
      <c r="G965" s="5">
        <v>44327</v>
      </c>
      <c r="H965" s="2">
        <v>2</v>
      </c>
      <c r="I965" s="6"/>
      <c r="J965" s="6" t="s">
        <v>3</v>
      </c>
      <c r="K965" s="7">
        <v>1</v>
      </c>
      <c r="L965" s="7">
        <v>304.50729999999999</v>
      </c>
      <c r="M965" t="s">
        <v>18</v>
      </c>
      <c r="N965" s="16">
        <f>POWER(SQRT(WorkOrders27[[#This Row],[WorkDate]]-WorkOrders27[[#This Row],[ReqDate]]),2)</f>
        <v>37.999999999999993</v>
      </c>
      <c r="O965" s="8">
        <f t="array" ref="O965">INDEX(TechRate,MATCH(H965,TechNum,0))</f>
        <v>140</v>
      </c>
      <c r="P965" s="10">
        <f>WorkOrders27[[#This Row],[Techs]]*(WorkOrders27[[#This Row],[PartsCost]]*WorkOrders27[[#This Row],[LbrHrs]])</f>
        <v>609.01459999999997</v>
      </c>
      <c r="Q965" s="10">
        <f t="shared" si="84"/>
        <v>609.01459999999997</v>
      </c>
      <c r="R965" s="10">
        <f t="shared" si="85"/>
        <v>0</v>
      </c>
      <c r="S965" s="10">
        <f t="shared" si="86"/>
        <v>913.52189999999996</v>
      </c>
      <c r="T965" s="10">
        <f t="shared" si="87"/>
        <v>609.01459999999997</v>
      </c>
      <c r="U965" s="8" t="str">
        <f t="shared" si="83"/>
        <v>Sat</v>
      </c>
      <c r="V965" s="8" t="str">
        <f t="shared" si="83"/>
        <v>Tue</v>
      </c>
    </row>
    <row r="966" spans="1:22" x14ac:dyDescent="0.25">
      <c r="A966" t="s">
        <v>510</v>
      </c>
      <c r="B966" t="s">
        <v>41</v>
      </c>
      <c r="C966" t="s">
        <v>8</v>
      </c>
      <c r="D966" t="s">
        <v>12</v>
      </c>
      <c r="E966" t="s">
        <v>3</v>
      </c>
      <c r="F966" s="5">
        <v>44289</v>
      </c>
      <c r="G966" s="5">
        <v>44327</v>
      </c>
      <c r="H966" s="2">
        <v>1</v>
      </c>
      <c r="I966" s="6"/>
      <c r="J966" s="6"/>
      <c r="K966" s="7">
        <v>0.5</v>
      </c>
      <c r="L966" s="7">
        <v>36.3384</v>
      </c>
      <c r="M966" t="s">
        <v>17</v>
      </c>
      <c r="N966" s="16">
        <f>POWER(SQRT(WorkOrders27[[#This Row],[WorkDate]]-WorkOrders27[[#This Row],[ReqDate]]),2)</f>
        <v>37.999999999999993</v>
      </c>
      <c r="O966" s="8">
        <f t="array" ref="O966">INDEX(TechRate,MATCH(H966,TechNum,0))</f>
        <v>80</v>
      </c>
      <c r="P966" s="10">
        <f>WorkOrders27[[#This Row],[Techs]]*(WorkOrders27[[#This Row],[PartsCost]]*WorkOrders27[[#This Row],[LbrHrs]])</f>
        <v>18.1692</v>
      </c>
      <c r="Q966" s="10">
        <f t="shared" si="84"/>
        <v>18.1692</v>
      </c>
      <c r="R966" s="10">
        <f t="shared" si="85"/>
        <v>36.3384</v>
      </c>
      <c r="S966" s="10">
        <f t="shared" si="86"/>
        <v>54.507599999999996</v>
      </c>
      <c r="T966" s="10">
        <f t="shared" si="87"/>
        <v>54.507599999999996</v>
      </c>
      <c r="U966" s="8" t="str">
        <f t="shared" si="83"/>
        <v>Sat</v>
      </c>
      <c r="V966" s="8" t="str">
        <f t="shared" si="83"/>
        <v>Tue</v>
      </c>
    </row>
    <row r="967" spans="1:22" x14ac:dyDescent="0.25">
      <c r="A967" t="s">
        <v>511</v>
      </c>
      <c r="B967" t="s">
        <v>40</v>
      </c>
      <c r="C967" t="s">
        <v>7</v>
      </c>
      <c r="D967" t="s">
        <v>12</v>
      </c>
      <c r="F967" s="5">
        <v>44291</v>
      </c>
      <c r="G967" s="5">
        <v>44300</v>
      </c>
      <c r="H967" s="2">
        <v>2</v>
      </c>
      <c r="I967" s="6"/>
      <c r="J967" s="6"/>
      <c r="K967" s="7">
        <v>0.5</v>
      </c>
      <c r="L967" s="7">
        <v>21.33</v>
      </c>
      <c r="M967" t="s">
        <v>17</v>
      </c>
      <c r="N967" s="16">
        <f>POWER(SQRT(WorkOrders27[[#This Row],[WorkDate]]-WorkOrders27[[#This Row],[ReqDate]]),2)</f>
        <v>9</v>
      </c>
      <c r="O967" s="8">
        <f t="array" ref="O967">INDEX(TechRate,MATCH(H967,TechNum,0))</f>
        <v>140</v>
      </c>
      <c r="P967" s="10">
        <f>WorkOrders27[[#This Row],[Techs]]*(WorkOrders27[[#This Row],[PartsCost]]*WorkOrders27[[#This Row],[LbrHrs]])</f>
        <v>21.33</v>
      </c>
      <c r="Q967" s="10">
        <f t="shared" si="84"/>
        <v>21.33</v>
      </c>
      <c r="R967" s="10">
        <f t="shared" si="85"/>
        <v>21.33</v>
      </c>
      <c r="S967" s="10">
        <f t="shared" si="86"/>
        <v>42.66</v>
      </c>
      <c r="T967" s="10">
        <f t="shared" si="87"/>
        <v>42.66</v>
      </c>
      <c r="U967" s="8" t="str">
        <f t="shared" ref="U967:V1001" si="88">TEXT(F967,"ddd")</f>
        <v>Mon</v>
      </c>
      <c r="V967" s="8" t="str">
        <f t="shared" si="88"/>
        <v>Wed</v>
      </c>
    </row>
    <row r="968" spans="1:22" x14ac:dyDescent="0.25">
      <c r="A968" t="s">
        <v>512</v>
      </c>
      <c r="B968" t="s">
        <v>36</v>
      </c>
      <c r="C968" t="s">
        <v>7</v>
      </c>
      <c r="D968" t="s">
        <v>13</v>
      </c>
      <c r="F968" s="5">
        <v>44291</v>
      </c>
      <c r="G968" s="5">
        <v>44309</v>
      </c>
      <c r="H968" s="2">
        <v>2</v>
      </c>
      <c r="I968" s="6"/>
      <c r="J968" s="6"/>
      <c r="K968" s="7">
        <v>0.5</v>
      </c>
      <c r="L968" s="7">
        <v>392.02480000000003</v>
      </c>
      <c r="M968" t="s">
        <v>18</v>
      </c>
      <c r="N968" s="16">
        <f>POWER(SQRT(WorkOrders27[[#This Row],[WorkDate]]-WorkOrders27[[#This Row],[ReqDate]]),2)</f>
        <v>17.999999999999996</v>
      </c>
      <c r="O968" s="8">
        <f t="array" ref="O968">INDEX(TechRate,MATCH(H968,TechNum,0))</f>
        <v>140</v>
      </c>
      <c r="P968" s="10">
        <f>WorkOrders27[[#This Row],[Techs]]*(WorkOrders27[[#This Row],[PartsCost]]*WorkOrders27[[#This Row],[LbrHrs]])</f>
        <v>392.02480000000003</v>
      </c>
      <c r="Q968" s="10">
        <f t="shared" si="84"/>
        <v>392.02480000000003</v>
      </c>
      <c r="R968" s="10">
        <f t="shared" si="85"/>
        <v>392.02480000000003</v>
      </c>
      <c r="S968" s="10">
        <f t="shared" si="86"/>
        <v>784.04960000000005</v>
      </c>
      <c r="T968" s="10">
        <f t="shared" si="87"/>
        <v>784.04960000000005</v>
      </c>
      <c r="U968" s="8" t="str">
        <f t="shared" si="88"/>
        <v>Mon</v>
      </c>
      <c r="V968" s="8" t="str">
        <f t="shared" si="88"/>
        <v>Fri</v>
      </c>
    </row>
    <row r="969" spans="1:22" x14ac:dyDescent="0.25">
      <c r="A969" t="s">
        <v>513</v>
      </c>
      <c r="B969" t="s">
        <v>36</v>
      </c>
      <c r="C969" t="s">
        <v>7</v>
      </c>
      <c r="D969" t="s">
        <v>12</v>
      </c>
      <c r="F969" s="5">
        <v>44291</v>
      </c>
      <c r="G969" s="5">
        <v>44315</v>
      </c>
      <c r="H969" s="2">
        <v>1</v>
      </c>
      <c r="I969" s="6"/>
      <c r="J969" s="6"/>
      <c r="K969" s="7">
        <v>0.25</v>
      </c>
      <c r="L969" s="7">
        <v>151.78790000000001</v>
      </c>
      <c r="M969" t="s">
        <v>17</v>
      </c>
      <c r="N969" s="16">
        <f>POWER(SQRT(WorkOrders27[[#This Row],[WorkDate]]-WorkOrders27[[#This Row],[ReqDate]]),2)</f>
        <v>23.999999999999996</v>
      </c>
      <c r="O969" s="8">
        <f t="array" ref="O969">INDEX(TechRate,MATCH(H969,TechNum,0))</f>
        <v>80</v>
      </c>
      <c r="P969" s="10">
        <f>WorkOrders27[[#This Row],[Techs]]*(WorkOrders27[[#This Row],[PartsCost]]*WorkOrders27[[#This Row],[LbrHrs]])</f>
        <v>37.946975000000002</v>
      </c>
      <c r="Q969" s="10">
        <f t="shared" si="84"/>
        <v>37.946975000000002</v>
      </c>
      <c r="R969" s="10">
        <f t="shared" si="85"/>
        <v>151.78790000000001</v>
      </c>
      <c r="S969" s="10">
        <f t="shared" si="86"/>
        <v>189.73487500000002</v>
      </c>
      <c r="T969" s="10">
        <f t="shared" si="87"/>
        <v>189.73487500000002</v>
      </c>
      <c r="U969" s="8" t="str">
        <f t="shared" si="88"/>
        <v>Mon</v>
      </c>
      <c r="V969" s="8" t="str">
        <f t="shared" si="88"/>
        <v>Thu</v>
      </c>
    </row>
    <row r="970" spans="1:22" x14ac:dyDescent="0.25">
      <c r="A970" t="s">
        <v>514</v>
      </c>
      <c r="B970" t="s">
        <v>35</v>
      </c>
      <c r="C970" t="s">
        <v>44</v>
      </c>
      <c r="D970" t="s">
        <v>12</v>
      </c>
      <c r="F970" s="5">
        <v>44291</v>
      </c>
      <c r="G970" s="5">
        <v>44328</v>
      </c>
      <c r="H970" s="2">
        <v>1</v>
      </c>
      <c r="I970" s="6"/>
      <c r="J970" s="6"/>
      <c r="K970" s="7">
        <v>0.25</v>
      </c>
      <c r="L970" s="7">
        <v>30.1082</v>
      </c>
      <c r="M970" t="s">
        <v>17</v>
      </c>
      <c r="N970" s="16">
        <f>POWER(SQRT(WorkOrders27[[#This Row],[WorkDate]]-WorkOrders27[[#This Row],[ReqDate]]),2)</f>
        <v>36.999999999999993</v>
      </c>
      <c r="O970" s="8">
        <f t="array" ref="O970">INDEX(TechRate,MATCH(H970,TechNum,0))</f>
        <v>80</v>
      </c>
      <c r="P970" s="10">
        <f>WorkOrders27[[#This Row],[Techs]]*(WorkOrders27[[#This Row],[PartsCost]]*WorkOrders27[[#This Row],[LbrHrs]])</f>
        <v>7.52705</v>
      </c>
      <c r="Q970" s="10">
        <f t="shared" si="84"/>
        <v>7.52705</v>
      </c>
      <c r="R970" s="10">
        <f t="shared" si="85"/>
        <v>30.1082</v>
      </c>
      <c r="S970" s="10">
        <f t="shared" si="86"/>
        <v>37.635249999999999</v>
      </c>
      <c r="T970" s="10">
        <f t="shared" si="87"/>
        <v>37.635249999999999</v>
      </c>
      <c r="U970" s="8" t="str">
        <f t="shared" si="88"/>
        <v>Mon</v>
      </c>
      <c r="V970" s="8" t="str">
        <f t="shared" si="88"/>
        <v>Wed</v>
      </c>
    </row>
    <row r="971" spans="1:22" x14ac:dyDescent="0.25">
      <c r="A971" t="s">
        <v>515</v>
      </c>
      <c r="B971" t="s">
        <v>40</v>
      </c>
      <c r="C971" t="s">
        <v>7</v>
      </c>
      <c r="D971" t="s">
        <v>13</v>
      </c>
      <c r="F971" s="5">
        <v>44291</v>
      </c>
      <c r="G971" s="5">
        <v>44333</v>
      </c>
      <c r="H971" s="2">
        <v>2</v>
      </c>
      <c r="I971" s="6"/>
      <c r="J971" s="6"/>
      <c r="K971" s="7">
        <v>0.75</v>
      </c>
      <c r="L971" s="7">
        <v>13.36</v>
      </c>
      <c r="M971" t="s">
        <v>18</v>
      </c>
      <c r="N971" s="16">
        <f>POWER(SQRT(WorkOrders27[[#This Row],[WorkDate]]-WorkOrders27[[#This Row],[ReqDate]]),2)</f>
        <v>42</v>
      </c>
      <c r="O971" s="8">
        <f t="array" ref="O971">INDEX(TechRate,MATCH(H971,TechNum,0))</f>
        <v>140</v>
      </c>
      <c r="P971" s="10">
        <f>WorkOrders27[[#This Row],[Techs]]*(WorkOrders27[[#This Row],[PartsCost]]*WorkOrders27[[#This Row],[LbrHrs]])</f>
        <v>20.04</v>
      </c>
      <c r="Q971" s="10">
        <f t="shared" si="84"/>
        <v>20.04</v>
      </c>
      <c r="R971" s="10">
        <f t="shared" si="85"/>
        <v>13.36</v>
      </c>
      <c r="S971" s="10">
        <f t="shared" si="86"/>
        <v>33.4</v>
      </c>
      <c r="T971" s="10">
        <f t="shared" si="87"/>
        <v>33.4</v>
      </c>
      <c r="U971" s="8" t="str">
        <f t="shared" si="88"/>
        <v>Mon</v>
      </c>
      <c r="V971" s="8" t="str">
        <f t="shared" si="88"/>
        <v>Mon</v>
      </c>
    </row>
    <row r="972" spans="1:22" x14ac:dyDescent="0.25">
      <c r="A972" t="s">
        <v>516</v>
      </c>
      <c r="B972" t="s">
        <v>34</v>
      </c>
      <c r="C972" t="s">
        <v>44</v>
      </c>
      <c r="D972" t="s">
        <v>2</v>
      </c>
      <c r="F972" s="5">
        <v>44291</v>
      </c>
      <c r="G972" s="5">
        <v>44362</v>
      </c>
      <c r="H972" s="2">
        <v>1</v>
      </c>
      <c r="I972" s="6"/>
      <c r="J972" s="6"/>
      <c r="K972" s="7">
        <v>4.25</v>
      </c>
      <c r="L972" s="7">
        <v>21.33</v>
      </c>
      <c r="M972" t="s">
        <v>17</v>
      </c>
      <c r="N972" s="16">
        <f>POWER(SQRT(WorkOrders27[[#This Row],[WorkDate]]-WorkOrders27[[#This Row],[ReqDate]]),2)</f>
        <v>71</v>
      </c>
      <c r="O972" s="8">
        <f t="array" ref="O972">INDEX(TechRate,MATCH(H972,TechNum,0))</f>
        <v>80</v>
      </c>
      <c r="P972" s="10">
        <f>WorkOrders27[[#This Row],[Techs]]*(WorkOrders27[[#This Row],[PartsCost]]*WorkOrders27[[#This Row],[LbrHrs]])</f>
        <v>90.652499999999989</v>
      </c>
      <c r="Q972" s="10">
        <f t="shared" si="84"/>
        <v>90.652499999999989</v>
      </c>
      <c r="R972" s="10">
        <f t="shared" si="85"/>
        <v>21.33</v>
      </c>
      <c r="S972" s="10">
        <f t="shared" si="86"/>
        <v>111.98249999999999</v>
      </c>
      <c r="T972" s="10">
        <f t="shared" si="87"/>
        <v>111.98249999999999</v>
      </c>
      <c r="U972" s="8" t="str">
        <f t="shared" si="88"/>
        <v>Mon</v>
      </c>
      <c r="V972" s="8" t="str">
        <f t="shared" si="88"/>
        <v>Tue</v>
      </c>
    </row>
    <row r="973" spans="1:22" x14ac:dyDescent="0.25">
      <c r="A973" t="s">
        <v>517</v>
      </c>
      <c r="B973" t="s">
        <v>40</v>
      </c>
      <c r="C973" t="s">
        <v>7</v>
      </c>
      <c r="D973" t="s">
        <v>12</v>
      </c>
      <c r="E973" t="s">
        <v>3</v>
      </c>
      <c r="F973" s="5">
        <v>44292</v>
      </c>
      <c r="G973" s="5">
        <v>44323</v>
      </c>
      <c r="H973" s="2">
        <v>1</v>
      </c>
      <c r="I973" s="6"/>
      <c r="J973" s="6"/>
      <c r="K973" s="7">
        <v>0.75</v>
      </c>
      <c r="L973" s="7">
        <v>21.33</v>
      </c>
      <c r="M973" t="s">
        <v>18</v>
      </c>
      <c r="N973" s="16">
        <f>POWER(SQRT(WorkOrders27[[#This Row],[WorkDate]]-WorkOrders27[[#This Row],[ReqDate]]),2)</f>
        <v>30.999999999999996</v>
      </c>
      <c r="O973" s="8">
        <f t="array" ref="O973">INDEX(TechRate,MATCH(H973,TechNum,0))</f>
        <v>80</v>
      </c>
      <c r="P973" s="10">
        <f>WorkOrders27[[#This Row],[Techs]]*(WorkOrders27[[#This Row],[PartsCost]]*WorkOrders27[[#This Row],[LbrHrs]])</f>
        <v>15.997499999999999</v>
      </c>
      <c r="Q973" s="10">
        <f t="shared" si="84"/>
        <v>15.997499999999999</v>
      </c>
      <c r="R973" s="10">
        <f t="shared" si="85"/>
        <v>21.33</v>
      </c>
      <c r="S973" s="10">
        <f t="shared" si="86"/>
        <v>37.327500000000001</v>
      </c>
      <c r="T973" s="10">
        <f t="shared" si="87"/>
        <v>37.327500000000001</v>
      </c>
      <c r="U973" s="8" t="str">
        <f t="shared" si="88"/>
        <v>Tue</v>
      </c>
      <c r="V973" s="8" t="str">
        <f t="shared" si="88"/>
        <v>Fri</v>
      </c>
    </row>
    <row r="974" spans="1:22" x14ac:dyDescent="0.25">
      <c r="A974" t="s">
        <v>518</v>
      </c>
      <c r="B974" t="s">
        <v>40</v>
      </c>
      <c r="C974" t="s">
        <v>7</v>
      </c>
      <c r="D974" t="s">
        <v>11</v>
      </c>
      <c r="E974" t="s">
        <v>3</v>
      </c>
      <c r="F974" s="5">
        <v>44292</v>
      </c>
      <c r="G974" s="5">
        <v>44326</v>
      </c>
      <c r="H974" s="2">
        <v>1</v>
      </c>
      <c r="I974" s="6"/>
      <c r="J974" s="6"/>
      <c r="K974" s="7">
        <v>0.25</v>
      </c>
      <c r="L974" s="7">
        <v>21.6</v>
      </c>
      <c r="M974" t="s">
        <v>17</v>
      </c>
      <c r="N974" s="16">
        <f>POWER(SQRT(WorkOrders27[[#This Row],[WorkDate]]-WorkOrders27[[#This Row],[ReqDate]]),2)</f>
        <v>34</v>
      </c>
      <c r="O974" s="8">
        <f t="array" ref="O974">INDEX(TechRate,MATCH(H974,TechNum,0))</f>
        <v>80</v>
      </c>
      <c r="P974" s="10">
        <f>WorkOrders27[[#This Row],[Techs]]*(WorkOrders27[[#This Row],[PartsCost]]*WorkOrders27[[#This Row],[LbrHrs]])</f>
        <v>5.4</v>
      </c>
      <c r="Q974" s="10">
        <f t="shared" si="84"/>
        <v>5.4</v>
      </c>
      <c r="R974" s="10">
        <f t="shared" si="85"/>
        <v>21.6</v>
      </c>
      <c r="S974" s="10">
        <f t="shared" si="86"/>
        <v>27</v>
      </c>
      <c r="T974" s="10">
        <f t="shared" si="87"/>
        <v>27</v>
      </c>
      <c r="U974" s="8" t="str">
        <f t="shared" si="88"/>
        <v>Tue</v>
      </c>
      <c r="V974" s="8" t="str">
        <f t="shared" si="88"/>
        <v>Mon</v>
      </c>
    </row>
    <row r="975" spans="1:22" x14ac:dyDescent="0.25">
      <c r="A975" t="s">
        <v>519</v>
      </c>
      <c r="B975" t="s">
        <v>39</v>
      </c>
      <c r="C975" t="s">
        <v>9</v>
      </c>
      <c r="D975" t="s">
        <v>11</v>
      </c>
      <c r="E975" t="s">
        <v>3</v>
      </c>
      <c r="F975" s="5">
        <v>44292</v>
      </c>
      <c r="G975" s="5">
        <v>44336</v>
      </c>
      <c r="H975" s="2">
        <v>1</v>
      </c>
      <c r="I975" s="6"/>
      <c r="J975" s="6"/>
      <c r="K975" s="7">
        <v>0.25</v>
      </c>
      <c r="L975" s="7">
        <v>108.9568</v>
      </c>
      <c r="M975" t="s">
        <v>18</v>
      </c>
      <c r="N975" s="16">
        <f>POWER(SQRT(WorkOrders27[[#This Row],[WorkDate]]-WorkOrders27[[#This Row],[ReqDate]]),2)</f>
        <v>44</v>
      </c>
      <c r="O975" s="8">
        <f t="array" ref="O975">INDEX(TechRate,MATCH(H975,TechNum,0))</f>
        <v>80</v>
      </c>
      <c r="P975" s="10">
        <f>WorkOrders27[[#This Row],[Techs]]*(WorkOrders27[[#This Row],[PartsCost]]*WorkOrders27[[#This Row],[LbrHrs]])</f>
        <v>27.2392</v>
      </c>
      <c r="Q975" s="10">
        <f t="shared" si="84"/>
        <v>27.2392</v>
      </c>
      <c r="R975" s="10">
        <f t="shared" si="85"/>
        <v>108.9568</v>
      </c>
      <c r="S975" s="10">
        <f t="shared" si="86"/>
        <v>136.196</v>
      </c>
      <c r="T975" s="10">
        <f t="shared" si="87"/>
        <v>136.196</v>
      </c>
      <c r="U975" s="8" t="str">
        <f t="shared" si="88"/>
        <v>Tue</v>
      </c>
      <c r="V975" s="8" t="str">
        <f t="shared" si="88"/>
        <v>Thu</v>
      </c>
    </row>
    <row r="976" spans="1:22" x14ac:dyDescent="0.25">
      <c r="A976" t="s">
        <v>520</v>
      </c>
      <c r="B976" t="s">
        <v>38</v>
      </c>
      <c r="C976" t="s">
        <v>8</v>
      </c>
      <c r="D976" t="s">
        <v>11</v>
      </c>
      <c r="F976" s="5">
        <v>44292</v>
      </c>
      <c r="G976" s="5">
        <v>44341</v>
      </c>
      <c r="H976" s="2">
        <v>1</v>
      </c>
      <c r="I976" s="6"/>
      <c r="J976" s="6"/>
      <c r="K976" s="7">
        <v>0.25</v>
      </c>
      <c r="L976" s="7">
        <v>42.66</v>
      </c>
      <c r="M976" t="s">
        <v>19</v>
      </c>
      <c r="N976" s="16">
        <f>POWER(SQRT(WorkOrders27[[#This Row],[WorkDate]]-WorkOrders27[[#This Row],[ReqDate]]),2)</f>
        <v>49</v>
      </c>
      <c r="O976" s="8">
        <f t="array" ref="O976">INDEX(TechRate,MATCH(H976,TechNum,0))</f>
        <v>80</v>
      </c>
      <c r="P976" s="10">
        <f>WorkOrders27[[#This Row],[Techs]]*(WorkOrders27[[#This Row],[PartsCost]]*WorkOrders27[[#This Row],[LbrHrs]])</f>
        <v>10.664999999999999</v>
      </c>
      <c r="Q976" s="10">
        <f t="shared" si="84"/>
        <v>10.664999999999999</v>
      </c>
      <c r="R976" s="10">
        <f t="shared" si="85"/>
        <v>42.66</v>
      </c>
      <c r="S976" s="10">
        <f t="shared" si="86"/>
        <v>53.324999999999996</v>
      </c>
      <c r="T976" s="10">
        <f t="shared" si="87"/>
        <v>53.324999999999996</v>
      </c>
      <c r="U976" s="8" t="str">
        <f t="shared" si="88"/>
        <v>Tue</v>
      </c>
      <c r="V976" s="8" t="str">
        <f t="shared" si="88"/>
        <v>Tue</v>
      </c>
    </row>
    <row r="977" spans="1:22" x14ac:dyDescent="0.25">
      <c r="A977" t="s">
        <v>521</v>
      </c>
      <c r="B977" t="s">
        <v>42</v>
      </c>
      <c r="C977" t="s">
        <v>8</v>
      </c>
      <c r="D977" t="s">
        <v>12</v>
      </c>
      <c r="F977" s="5">
        <v>44292</v>
      </c>
      <c r="G977" s="5">
        <v>44343</v>
      </c>
      <c r="H977" s="2">
        <v>1</v>
      </c>
      <c r="I977" s="6"/>
      <c r="J977" s="6"/>
      <c r="K977" s="7">
        <v>1.75</v>
      </c>
      <c r="L977" s="7">
        <v>342.6</v>
      </c>
      <c r="M977" t="s">
        <v>18</v>
      </c>
      <c r="N977" s="16">
        <f>POWER(SQRT(WorkOrders27[[#This Row],[WorkDate]]-WorkOrders27[[#This Row],[ReqDate]]),2)</f>
        <v>51.000000000000007</v>
      </c>
      <c r="O977" s="8">
        <f t="array" ref="O977">INDEX(TechRate,MATCH(H977,TechNum,0))</f>
        <v>80</v>
      </c>
      <c r="P977" s="10">
        <f>WorkOrders27[[#This Row],[Techs]]*(WorkOrders27[[#This Row],[PartsCost]]*WorkOrders27[[#This Row],[LbrHrs]])</f>
        <v>599.55000000000007</v>
      </c>
      <c r="Q977" s="10">
        <f t="shared" si="84"/>
        <v>599.55000000000007</v>
      </c>
      <c r="R977" s="10">
        <f t="shared" si="85"/>
        <v>342.6</v>
      </c>
      <c r="S977" s="10">
        <f t="shared" si="86"/>
        <v>942.15000000000009</v>
      </c>
      <c r="T977" s="10">
        <f t="shared" si="87"/>
        <v>942.15000000000009</v>
      </c>
      <c r="U977" s="8" t="str">
        <f t="shared" si="88"/>
        <v>Tue</v>
      </c>
      <c r="V977" s="8" t="str">
        <f t="shared" si="88"/>
        <v>Thu</v>
      </c>
    </row>
    <row r="978" spans="1:22" x14ac:dyDescent="0.25">
      <c r="A978" t="s">
        <v>522</v>
      </c>
      <c r="B978" t="s">
        <v>41</v>
      </c>
      <c r="C978" t="s">
        <v>8</v>
      </c>
      <c r="D978" t="s">
        <v>13</v>
      </c>
      <c r="F978" s="5">
        <v>44292</v>
      </c>
      <c r="G978" s="5">
        <v>44376</v>
      </c>
      <c r="H978" s="2">
        <v>2</v>
      </c>
      <c r="I978" s="6"/>
      <c r="J978" s="6"/>
      <c r="K978" s="7">
        <v>0.75</v>
      </c>
      <c r="L978" s="7">
        <v>40</v>
      </c>
      <c r="M978" t="s">
        <v>19</v>
      </c>
      <c r="N978" s="16">
        <f>POWER(SQRT(WorkOrders27[[#This Row],[WorkDate]]-WorkOrders27[[#This Row],[ReqDate]]),2)</f>
        <v>84</v>
      </c>
      <c r="O978" s="8">
        <f t="array" ref="O978">INDEX(TechRate,MATCH(H978,TechNum,0))</f>
        <v>140</v>
      </c>
      <c r="P978" s="10">
        <f>WorkOrders27[[#This Row],[Techs]]*(WorkOrders27[[#This Row],[PartsCost]]*WorkOrders27[[#This Row],[LbrHrs]])</f>
        <v>60</v>
      </c>
      <c r="Q978" s="10">
        <f t="shared" si="84"/>
        <v>60</v>
      </c>
      <c r="R978" s="10">
        <f t="shared" si="85"/>
        <v>40</v>
      </c>
      <c r="S978" s="10">
        <f t="shared" si="86"/>
        <v>100</v>
      </c>
      <c r="T978" s="10">
        <f t="shared" si="87"/>
        <v>100</v>
      </c>
      <c r="U978" s="8" t="str">
        <f t="shared" si="88"/>
        <v>Tue</v>
      </c>
      <c r="V978" s="8" t="str">
        <f t="shared" si="88"/>
        <v>Tue</v>
      </c>
    </row>
    <row r="979" spans="1:22" x14ac:dyDescent="0.25">
      <c r="A979" t="s">
        <v>523</v>
      </c>
      <c r="B979" t="s">
        <v>36</v>
      </c>
      <c r="C979" t="s">
        <v>7</v>
      </c>
      <c r="D979" t="s">
        <v>11</v>
      </c>
      <c r="E979" t="s">
        <v>3</v>
      </c>
      <c r="F979" s="5">
        <v>44293</v>
      </c>
      <c r="G979" s="5">
        <v>44300</v>
      </c>
      <c r="H979" s="2">
        <v>1</v>
      </c>
      <c r="I979" s="6"/>
      <c r="J979" s="6"/>
      <c r="K979" s="7">
        <v>0.25</v>
      </c>
      <c r="L979" s="7">
        <v>259.2</v>
      </c>
      <c r="M979" t="s">
        <v>18</v>
      </c>
      <c r="N979" s="16">
        <f>POWER(SQRT(WorkOrders27[[#This Row],[WorkDate]]-WorkOrders27[[#This Row],[ReqDate]]),2)</f>
        <v>7.0000000000000009</v>
      </c>
      <c r="O979" s="8">
        <f t="array" ref="O979">INDEX(TechRate,MATCH(H979,TechNum,0))</f>
        <v>80</v>
      </c>
      <c r="P979" s="10">
        <f>WorkOrders27[[#This Row],[Techs]]*(WorkOrders27[[#This Row],[PartsCost]]*WorkOrders27[[#This Row],[LbrHrs]])</f>
        <v>64.8</v>
      </c>
      <c r="Q979" s="10">
        <f t="shared" si="84"/>
        <v>64.8</v>
      </c>
      <c r="R979" s="10">
        <f t="shared" si="85"/>
        <v>259.2</v>
      </c>
      <c r="S979" s="10">
        <f t="shared" si="86"/>
        <v>324</v>
      </c>
      <c r="T979" s="10">
        <f t="shared" si="87"/>
        <v>324</v>
      </c>
      <c r="U979" s="8" t="str">
        <f t="shared" si="88"/>
        <v>Wed</v>
      </c>
      <c r="V979" s="8" t="str">
        <f t="shared" si="88"/>
        <v>Wed</v>
      </c>
    </row>
    <row r="980" spans="1:22" x14ac:dyDescent="0.25">
      <c r="A980" t="s">
        <v>524</v>
      </c>
      <c r="B980" t="s">
        <v>36</v>
      </c>
      <c r="C980" t="s">
        <v>7</v>
      </c>
      <c r="D980" t="s">
        <v>12</v>
      </c>
      <c r="F980" s="5">
        <v>44293</v>
      </c>
      <c r="G980" s="5">
        <v>44314</v>
      </c>
      <c r="H980" s="2">
        <v>2</v>
      </c>
      <c r="I980" s="6"/>
      <c r="J980" s="6"/>
      <c r="K980" s="7">
        <v>0.25</v>
      </c>
      <c r="L980" s="7">
        <v>26.582599999999999</v>
      </c>
      <c r="M980" t="s">
        <v>17</v>
      </c>
      <c r="N980" s="16">
        <f>POWER(SQRT(WorkOrders27[[#This Row],[WorkDate]]-WorkOrders27[[#This Row],[ReqDate]]),2)</f>
        <v>21</v>
      </c>
      <c r="O980" s="8">
        <f t="array" ref="O980">INDEX(TechRate,MATCH(H980,TechNum,0))</f>
        <v>140</v>
      </c>
      <c r="P980" s="10">
        <f>WorkOrders27[[#This Row],[Techs]]*(WorkOrders27[[#This Row],[PartsCost]]*WorkOrders27[[#This Row],[LbrHrs]])</f>
        <v>13.2913</v>
      </c>
      <c r="Q980" s="10">
        <f t="shared" si="84"/>
        <v>13.2913</v>
      </c>
      <c r="R980" s="10">
        <f t="shared" si="85"/>
        <v>26.582599999999999</v>
      </c>
      <c r="S980" s="10">
        <f t="shared" si="86"/>
        <v>39.873899999999999</v>
      </c>
      <c r="T980" s="10">
        <f t="shared" si="87"/>
        <v>39.873899999999999</v>
      </c>
      <c r="U980" s="8" t="str">
        <f t="shared" si="88"/>
        <v>Wed</v>
      </c>
      <c r="V980" s="8" t="str">
        <f t="shared" si="88"/>
        <v>Wed</v>
      </c>
    </row>
    <row r="981" spans="1:22" x14ac:dyDescent="0.25">
      <c r="A981" t="s">
        <v>525</v>
      </c>
      <c r="B981" t="s">
        <v>37</v>
      </c>
      <c r="C981" t="s">
        <v>44</v>
      </c>
      <c r="D981" t="s">
        <v>12</v>
      </c>
      <c r="F981" s="5">
        <v>44293</v>
      </c>
      <c r="G981" s="5">
        <v>44315</v>
      </c>
      <c r="H981" s="2">
        <v>1</v>
      </c>
      <c r="I981" s="6"/>
      <c r="J981" s="6"/>
      <c r="K981" s="7">
        <v>0.25</v>
      </c>
      <c r="L981" s="7">
        <v>52.019799999999996</v>
      </c>
      <c r="M981" t="s">
        <v>17</v>
      </c>
      <c r="N981" s="16">
        <f>POWER(SQRT(WorkOrders27[[#This Row],[WorkDate]]-WorkOrders27[[#This Row],[ReqDate]]),2)</f>
        <v>22</v>
      </c>
      <c r="O981" s="8">
        <f t="array" ref="O981">INDEX(TechRate,MATCH(H981,TechNum,0))</f>
        <v>80</v>
      </c>
      <c r="P981" s="10">
        <f>WorkOrders27[[#This Row],[Techs]]*(WorkOrders27[[#This Row],[PartsCost]]*WorkOrders27[[#This Row],[LbrHrs]])</f>
        <v>13.004949999999999</v>
      </c>
      <c r="Q981" s="10">
        <f t="shared" si="84"/>
        <v>13.004949999999999</v>
      </c>
      <c r="R981" s="10">
        <f t="shared" si="85"/>
        <v>52.019799999999996</v>
      </c>
      <c r="S981" s="10">
        <f t="shared" si="86"/>
        <v>65.024749999999997</v>
      </c>
      <c r="T981" s="10">
        <f t="shared" si="87"/>
        <v>65.024749999999997</v>
      </c>
      <c r="U981" s="8" t="str">
        <f t="shared" si="88"/>
        <v>Wed</v>
      </c>
      <c r="V981" s="8" t="str">
        <f t="shared" si="88"/>
        <v>Thu</v>
      </c>
    </row>
    <row r="982" spans="1:22" x14ac:dyDescent="0.25">
      <c r="A982" t="s">
        <v>526</v>
      </c>
      <c r="B982" t="s">
        <v>36</v>
      </c>
      <c r="C982" t="s">
        <v>7</v>
      </c>
      <c r="D982" t="s">
        <v>13</v>
      </c>
      <c r="F982" s="5">
        <v>44293</v>
      </c>
      <c r="G982" s="5">
        <v>44315</v>
      </c>
      <c r="H982" s="2">
        <v>2</v>
      </c>
      <c r="I982" s="6" t="s">
        <v>3</v>
      </c>
      <c r="J982" s="6" t="s">
        <v>3</v>
      </c>
      <c r="K982" s="7">
        <v>0.5</v>
      </c>
      <c r="L982" s="7">
        <v>181.15710000000001</v>
      </c>
      <c r="M982" t="s">
        <v>20</v>
      </c>
      <c r="N982" s="16">
        <f>POWER(SQRT(WorkOrders27[[#This Row],[WorkDate]]-WorkOrders27[[#This Row],[ReqDate]]),2)</f>
        <v>22</v>
      </c>
      <c r="O982" s="8">
        <f t="array" ref="O982">INDEX(TechRate,MATCH(H982,TechNum,0))</f>
        <v>140</v>
      </c>
      <c r="P982" s="10">
        <f>WorkOrders27[[#This Row],[Techs]]*(WorkOrders27[[#This Row],[PartsCost]]*WorkOrders27[[#This Row],[LbrHrs]])</f>
        <v>181.15710000000001</v>
      </c>
      <c r="Q982" s="10">
        <f t="shared" si="84"/>
        <v>0</v>
      </c>
      <c r="R982" s="10">
        <f t="shared" si="85"/>
        <v>0</v>
      </c>
      <c r="S982" s="10">
        <f t="shared" si="86"/>
        <v>362.31420000000003</v>
      </c>
      <c r="T982" s="10">
        <f t="shared" si="87"/>
        <v>0</v>
      </c>
      <c r="U982" s="8" t="str">
        <f t="shared" si="88"/>
        <v>Wed</v>
      </c>
      <c r="V982" s="8" t="str">
        <f t="shared" si="88"/>
        <v>Thu</v>
      </c>
    </row>
    <row r="983" spans="1:22" x14ac:dyDescent="0.25">
      <c r="A983" t="s">
        <v>527</v>
      </c>
      <c r="B983" t="s">
        <v>34</v>
      </c>
      <c r="C983" t="s">
        <v>8</v>
      </c>
      <c r="D983" t="s">
        <v>2</v>
      </c>
      <c r="F983" s="5">
        <v>44293</v>
      </c>
      <c r="G983" s="5">
        <v>44327</v>
      </c>
      <c r="H983" s="2">
        <v>2</v>
      </c>
      <c r="I983" s="6"/>
      <c r="J983" s="6"/>
      <c r="K983" s="7">
        <v>2</v>
      </c>
      <c r="L983" s="7">
        <v>2050.6</v>
      </c>
      <c r="M983" t="s">
        <v>17</v>
      </c>
      <c r="N983" s="16">
        <f>POWER(SQRT(WorkOrders27[[#This Row],[WorkDate]]-WorkOrders27[[#This Row],[ReqDate]]),2)</f>
        <v>34</v>
      </c>
      <c r="O983" s="8">
        <f t="array" ref="O983">INDEX(TechRate,MATCH(H983,TechNum,0))</f>
        <v>140</v>
      </c>
      <c r="P983" s="10">
        <f>WorkOrders27[[#This Row],[Techs]]*(WorkOrders27[[#This Row],[PartsCost]]*WorkOrders27[[#This Row],[LbrHrs]])</f>
        <v>8202.4</v>
      </c>
      <c r="Q983" s="10">
        <f t="shared" si="84"/>
        <v>8202.4</v>
      </c>
      <c r="R983" s="10">
        <f t="shared" si="85"/>
        <v>2050.6</v>
      </c>
      <c r="S983" s="10">
        <f t="shared" si="86"/>
        <v>10253</v>
      </c>
      <c r="T983" s="10">
        <f t="shared" si="87"/>
        <v>10253</v>
      </c>
      <c r="U983" s="8" t="str">
        <f t="shared" si="88"/>
        <v>Wed</v>
      </c>
      <c r="V983" s="8" t="str">
        <f t="shared" si="88"/>
        <v>Tue</v>
      </c>
    </row>
    <row r="984" spans="1:22" x14ac:dyDescent="0.25">
      <c r="A984" t="s">
        <v>528</v>
      </c>
      <c r="B984" t="s">
        <v>41</v>
      </c>
      <c r="C984" t="s">
        <v>7</v>
      </c>
      <c r="D984" t="s">
        <v>12</v>
      </c>
      <c r="F984" s="5">
        <v>44293</v>
      </c>
      <c r="G984" s="5"/>
      <c r="H984" s="2">
        <v>2</v>
      </c>
      <c r="I984" s="6"/>
      <c r="J984" s="6" t="s">
        <v>3</v>
      </c>
      <c r="K984" s="7"/>
      <c r="L984" s="7">
        <v>1587.2547999999999</v>
      </c>
      <c r="M984" t="s">
        <v>18</v>
      </c>
      <c r="N984" s="16">
        <f>0</f>
        <v>0</v>
      </c>
      <c r="O984" s="8">
        <f t="array" ref="O984">INDEX(TechRate,MATCH(H984,TechNum,0))</f>
        <v>140</v>
      </c>
      <c r="P984" s="10">
        <f>WorkOrders27[[#This Row],[Techs]]*(WorkOrders27[[#This Row],[PartsCost]]*WorkOrders27[[#This Row],[LbrHrs]])</f>
        <v>0</v>
      </c>
      <c r="Q984" s="10">
        <f t="shared" si="84"/>
        <v>0</v>
      </c>
      <c r="R984" s="10">
        <f t="shared" si="85"/>
        <v>0</v>
      </c>
      <c r="S984" s="10">
        <f t="shared" si="86"/>
        <v>1587.2547999999999</v>
      </c>
      <c r="T984" s="10">
        <f t="shared" si="87"/>
        <v>0</v>
      </c>
      <c r="U984" s="8" t="str">
        <f t="shared" si="88"/>
        <v>Wed</v>
      </c>
      <c r="V984" s="8" t="str">
        <f t="shared" si="88"/>
        <v>Sat</v>
      </c>
    </row>
    <row r="985" spans="1:22" x14ac:dyDescent="0.25">
      <c r="A985" t="s">
        <v>529</v>
      </c>
      <c r="B985" t="s">
        <v>36</v>
      </c>
      <c r="C985" t="s">
        <v>7</v>
      </c>
      <c r="D985" t="s">
        <v>13</v>
      </c>
      <c r="F985" s="5">
        <v>44294</v>
      </c>
      <c r="G985" s="5">
        <v>44308</v>
      </c>
      <c r="H985" s="2">
        <v>2</v>
      </c>
      <c r="I985" s="6"/>
      <c r="J985" s="6"/>
      <c r="K985" s="7">
        <v>0.75</v>
      </c>
      <c r="L985" s="7">
        <v>158</v>
      </c>
      <c r="M985" t="s">
        <v>17</v>
      </c>
      <c r="N985" s="16">
        <f>POWER(SQRT(WorkOrders27[[#This Row],[WorkDate]]-WorkOrders27[[#This Row],[ReqDate]]),2)</f>
        <v>14</v>
      </c>
      <c r="O985" s="8">
        <f t="array" ref="O985">INDEX(TechRate,MATCH(H985,TechNum,0))</f>
        <v>140</v>
      </c>
      <c r="P985" s="10">
        <f>WorkOrders27[[#This Row],[Techs]]*(WorkOrders27[[#This Row],[PartsCost]]*WorkOrders27[[#This Row],[LbrHrs]])</f>
        <v>237</v>
      </c>
      <c r="Q985" s="10">
        <f t="shared" si="84"/>
        <v>237</v>
      </c>
      <c r="R985" s="10">
        <f t="shared" si="85"/>
        <v>158</v>
      </c>
      <c r="S985" s="10">
        <f t="shared" si="86"/>
        <v>395</v>
      </c>
      <c r="T985" s="10">
        <f t="shared" si="87"/>
        <v>395</v>
      </c>
      <c r="U985" s="8" t="str">
        <f t="shared" si="88"/>
        <v>Thu</v>
      </c>
      <c r="V985" s="8" t="str">
        <f t="shared" si="88"/>
        <v>Thu</v>
      </c>
    </row>
    <row r="986" spans="1:22" x14ac:dyDescent="0.25">
      <c r="A986" t="s">
        <v>530</v>
      </c>
      <c r="B986" t="s">
        <v>34</v>
      </c>
      <c r="C986" t="s">
        <v>8</v>
      </c>
      <c r="D986" t="s">
        <v>11</v>
      </c>
      <c r="F986" s="5">
        <v>44294</v>
      </c>
      <c r="G986" s="5">
        <v>44314</v>
      </c>
      <c r="H986" s="2">
        <v>1</v>
      </c>
      <c r="I986" s="6" t="s">
        <v>3</v>
      </c>
      <c r="J986" s="6" t="s">
        <v>3</v>
      </c>
      <c r="K986" s="7">
        <v>0.25</v>
      </c>
      <c r="L986" s="7">
        <v>30</v>
      </c>
      <c r="M986" t="s">
        <v>20</v>
      </c>
      <c r="N986" s="16">
        <f>POWER(SQRT(WorkOrders27[[#This Row],[WorkDate]]-WorkOrders27[[#This Row],[ReqDate]]),2)</f>
        <v>20.000000000000004</v>
      </c>
      <c r="O986" s="8">
        <f t="array" ref="O986">INDEX(TechRate,MATCH(H986,TechNum,0))</f>
        <v>80</v>
      </c>
      <c r="P986" s="10">
        <f>WorkOrders27[[#This Row],[Techs]]*(WorkOrders27[[#This Row],[PartsCost]]*WorkOrders27[[#This Row],[LbrHrs]])</f>
        <v>7.5</v>
      </c>
      <c r="Q986" s="10">
        <f t="shared" si="84"/>
        <v>0</v>
      </c>
      <c r="R986" s="10">
        <f t="shared" si="85"/>
        <v>0</v>
      </c>
      <c r="S986" s="10">
        <f t="shared" si="86"/>
        <v>37.5</v>
      </c>
      <c r="T986" s="10">
        <f t="shared" si="87"/>
        <v>0</v>
      </c>
      <c r="U986" s="8" t="str">
        <f t="shared" si="88"/>
        <v>Thu</v>
      </c>
      <c r="V986" s="8" t="str">
        <f t="shared" si="88"/>
        <v>Wed</v>
      </c>
    </row>
    <row r="987" spans="1:22" x14ac:dyDescent="0.25">
      <c r="A987" t="s">
        <v>531</v>
      </c>
      <c r="B987" t="s">
        <v>41</v>
      </c>
      <c r="C987" t="s">
        <v>9</v>
      </c>
      <c r="D987" t="s">
        <v>2</v>
      </c>
      <c r="F987" s="5">
        <v>44294</v>
      </c>
      <c r="G987" s="5">
        <v>44315</v>
      </c>
      <c r="H987" s="2">
        <v>2</v>
      </c>
      <c r="I987" s="6"/>
      <c r="J987" s="6" t="s">
        <v>3</v>
      </c>
      <c r="K987" s="7">
        <v>1</v>
      </c>
      <c r="L987" s="7">
        <v>54.28</v>
      </c>
      <c r="M987" t="s">
        <v>18</v>
      </c>
      <c r="N987" s="16">
        <f>POWER(SQRT(WorkOrders27[[#This Row],[WorkDate]]-WorkOrders27[[#This Row],[ReqDate]]),2)</f>
        <v>21</v>
      </c>
      <c r="O987" s="8">
        <f t="array" ref="O987">INDEX(TechRate,MATCH(H987,TechNum,0))</f>
        <v>140</v>
      </c>
      <c r="P987" s="10">
        <f>WorkOrders27[[#This Row],[Techs]]*(WorkOrders27[[#This Row],[PartsCost]]*WorkOrders27[[#This Row],[LbrHrs]])</f>
        <v>108.56</v>
      </c>
      <c r="Q987" s="10">
        <f t="shared" si="84"/>
        <v>108.56</v>
      </c>
      <c r="R987" s="10">
        <f t="shared" si="85"/>
        <v>0</v>
      </c>
      <c r="S987" s="10">
        <f t="shared" si="86"/>
        <v>162.84</v>
      </c>
      <c r="T987" s="10">
        <f t="shared" si="87"/>
        <v>108.56</v>
      </c>
      <c r="U987" s="8" t="str">
        <f t="shared" si="88"/>
        <v>Thu</v>
      </c>
      <c r="V987" s="8" t="str">
        <f t="shared" si="88"/>
        <v>Thu</v>
      </c>
    </row>
    <row r="988" spans="1:22" x14ac:dyDescent="0.25">
      <c r="A988" t="s">
        <v>532</v>
      </c>
      <c r="B988" t="s">
        <v>36</v>
      </c>
      <c r="C988" t="s">
        <v>7</v>
      </c>
      <c r="D988" t="s">
        <v>11</v>
      </c>
      <c r="E988" t="s">
        <v>3</v>
      </c>
      <c r="F988" s="5">
        <v>44294</v>
      </c>
      <c r="G988" s="5">
        <v>44319</v>
      </c>
      <c r="H988" s="2">
        <v>1</v>
      </c>
      <c r="I988" s="6"/>
      <c r="J988" s="6"/>
      <c r="K988" s="7">
        <v>0.25</v>
      </c>
      <c r="L988" s="7">
        <v>85.32</v>
      </c>
      <c r="M988" t="s">
        <v>18</v>
      </c>
      <c r="N988" s="16">
        <f>POWER(SQRT(WorkOrders27[[#This Row],[WorkDate]]-WorkOrders27[[#This Row],[ReqDate]]),2)</f>
        <v>25</v>
      </c>
      <c r="O988" s="8">
        <f t="array" ref="O988">INDEX(TechRate,MATCH(H988,TechNum,0))</f>
        <v>80</v>
      </c>
      <c r="P988" s="10">
        <f>WorkOrders27[[#This Row],[Techs]]*(WorkOrders27[[#This Row],[PartsCost]]*WorkOrders27[[#This Row],[LbrHrs]])</f>
        <v>21.33</v>
      </c>
      <c r="Q988" s="10">
        <f t="shared" si="84"/>
        <v>21.33</v>
      </c>
      <c r="R988" s="10">
        <f t="shared" si="85"/>
        <v>85.32</v>
      </c>
      <c r="S988" s="10">
        <f t="shared" si="86"/>
        <v>106.64999999999999</v>
      </c>
      <c r="T988" s="10">
        <f t="shared" si="87"/>
        <v>106.64999999999999</v>
      </c>
      <c r="U988" s="8" t="str">
        <f t="shared" si="88"/>
        <v>Thu</v>
      </c>
      <c r="V988" s="8" t="str">
        <f t="shared" si="88"/>
        <v>Mon</v>
      </c>
    </row>
    <row r="989" spans="1:22" x14ac:dyDescent="0.25">
      <c r="A989" t="s">
        <v>533</v>
      </c>
      <c r="B989" t="s">
        <v>41</v>
      </c>
      <c r="C989" t="s">
        <v>7</v>
      </c>
      <c r="D989" t="s">
        <v>12</v>
      </c>
      <c r="F989" s="5">
        <v>44294</v>
      </c>
      <c r="G989" s="5">
        <v>44329</v>
      </c>
      <c r="H989" s="2">
        <v>2</v>
      </c>
      <c r="I989" s="6"/>
      <c r="J989" s="6"/>
      <c r="K989" s="7">
        <v>0.25</v>
      </c>
      <c r="L989" s="7">
        <v>30</v>
      </c>
      <c r="M989" t="s">
        <v>18</v>
      </c>
      <c r="N989" s="16">
        <f>POWER(SQRT(WorkOrders27[[#This Row],[WorkDate]]-WorkOrders27[[#This Row],[ReqDate]]),2)</f>
        <v>35</v>
      </c>
      <c r="O989" s="8">
        <f t="array" ref="O989">INDEX(TechRate,MATCH(H989,TechNum,0))</f>
        <v>140</v>
      </c>
      <c r="P989" s="10">
        <f>WorkOrders27[[#This Row],[Techs]]*(WorkOrders27[[#This Row],[PartsCost]]*WorkOrders27[[#This Row],[LbrHrs]])</f>
        <v>15</v>
      </c>
      <c r="Q989" s="10">
        <f t="shared" si="84"/>
        <v>15</v>
      </c>
      <c r="R989" s="10">
        <f t="shared" si="85"/>
        <v>30</v>
      </c>
      <c r="S989" s="10">
        <f t="shared" si="86"/>
        <v>45</v>
      </c>
      <c r="T989" s="10">
        <f t="shared" si="87"/>
        <v>45</v>
      </c>
      <c r="U989" s="8" t="str">
        <f t="shared" si="88"/>
        <v>Thu</v>
      </c>
      <c r="V989" s="8" t="str">
        <f t="shared" si="88"/>
        <v>Thu</v>
      </c>
    </row>
    <row r="990" spans="1:22" x14ac:dyDescent="0.25">
      <c r="A990" t="s">
        <v>534</v>
      </c>
      <c r="B990" t="s">
        <v>35</v>
      </c>
      <c r="C990" t="s">
        <v>44</v>
      </c>
      <c r="D990" t="s">
        <v>12</v>
      </c>
      <c r="E990" t="s">
        <v>3</v>
      </c>
      <c r="F990" s="5">
        <v>44294</v>
      </c>
      <c r="G990" s="5">
        <v>44337</v>
      </c>
      <c r="H990" s="2">
        <v>2</v>
      </c>
      <c r="I990" s="6"/>
      <c r="J990" s="6"/>
      <c r="K990" s="7">
        <v>0.25</v>
      </c>
      <c r="L990" s="7">
        <v>2.54</v>
      </c>
      <c r="M990" t="s">
        <v>17</v>
      </c>
      <c r="N990" s="16">
        <f>POWER(SQRT(WorkOrders27[[#This Row],[WorkDate]]-WorkOrders27[[#This Row],[ReqDate]]),2)</f>
        <v>42.999999999999993</v>
      </c>
      <c r="O990" s="8">
        <f t="array" ref="O990">INDEX(TechRate,MATCH(H990,TechNum,0))</f>
        <v>140</v>
      </c>
      <c r="P990" s="10">
        <f>WorkOrders27[[#This Row],[Techs]]*(WorkOrders27[[#This Row],[PartsCost]]*WorkOrders27[[#This Row],[LbrHrs]])</f>
        <v>1.27</v>
      </c>
      <c r="Q990" s="10">
        <f t="shared" si="84"/>
        <v>1.27</v>
      </c>
      <c r="R990" s="10">
        <f t="shared" si="85"/>
        <v>2.54</v>
      </c>
      <c r="S990" s="10">
        <f t="shared" si="86"/>
        <v>3.81</v>
      </c>
      <c r="T990" s="10">
        <f t="shared" si="87"/>
        <v>3.81</v>
      </c>
      <c r="U990" s="8" t="str">
        <f t="shared" si="88"/>
        <v>Thu</v>
      </c>
      <c r="V990" s="8" t="str">
        <f t="shared" si="88"/>
        <v>Fri</v>
      </c>
    </row>
    <row r="991" spans="1:22" x14ac:dyDescent="0.25">
      <c r="A991" t="s">
        <v>535</v>
      </c>
      <c r="B991" t="s">
        <v>36</v>
      </c>
      <c r="C991" t="s">
        <v>7</v>
      </c>
      <c r="D991" t="s">
        <v>11</v>
      </c>
      <c r="F991" s="5">
        <v>44294</v>
      </c>
      <c r="G991" s="5">
        <v>44355</v>
      </c>
      <c r="H991" s="2">
        <v>1</v>
      </c>
      <c r="I991" s="6"/>
      <c r="J991" s="6"/>
      <c r="K991" s="7">
        <v>0.25</v>
      </c>
      <c r="L991" s="7">
        <v>66.864900000000006</v>
      </c>
      <c r="M991" t="s">
        <v>17</v>
      </c>
      <c r="N991" s="16">
        <f>POWER(SQRT(WorkOrders27[[#This Row],[WorkDate]]-WorkOrders27[[#This Row],[ReqDate]]),2)</f>
        <v>60.999999999999993</v>
      </c>
      <c r="O991" s="8">
        <f t="array" ref="O991">INDEX(TechRate,MATCH(H991,TechNum,0))</f>
        <v>80</v>
      </c>
      <c r="P991" s="10">
        <f>WorkOrders27[[#This Row],[Techs]]*(WorkOrders27[[#This Row],[PartsCost]]*WorkOrders27[[#This Row],[LbrHrs]])</f>
        <v>16.716225000000001</v>
      </c>
      <c r="Q991" s="10">
        <f t="shared" si="84"/>
        <v>16.716225000000001</v>
      </c>
      <c r="R991" s="10">
        <f t="shared" si="85"/>
        <v>66.864900000000006</v>
      </c>
      <c r="S991" s="10">
        <f t="shared" si="86"/>
        <v>83.581125000000014</v>
      </c>
      <c r="T991" s="10">
        <f t="shared" si="87"/>
        <v>83.581125000000014</v>
      </c>
      <c r="U991" s="8" t="str">
        <f t="shared" si="88"/>
        <v>Thu</v>
      </c>
      <c r="V991" s="8" t="str">
        <f t="shared" si="88"/>
        <v>Tue</v>
      </c>
    </row>
    <row r="992" spans="1:22" x14ac:dyDescent="0.25">
      <c r="A992" t="s">
        <v>536</v>
      </c>
      <c r="B992" t="s">
        <v>36</v>
      </c>
      <c r="C992" t="s">
        <v>7</v>
      </c>
      <c r="D992" t="s">
        <v>13</v>
      </c>
      <c r="F992" s="5">
        <v>44296</v>
      </c>
      <c r="G992" s="5">
        <v>44307</v>
      </c>
      <c r="H992" s="2">
        <v>2</v>
      </c>
      <c r="I992" s="6"/>
      <c r="J992" s="6"/>
      <c r="K992" s="7">
        <v>0.75</v>
      </c>
      <c r="L992" s="7">
        <v>108.9273</v>
      </c>
      <c r="M992" t="s">
        <v>17</v>
      </c>
      <c r="N992" s="16">
        <f>POWER(SQRT(WorkOrders27[[#This Row],[WorkDate]]-WorkOrders27[[#This Row],[ReqDate]]),2)</f>
        <v>11</v>
      </c>
      <c r="O992" s="8">
        <f t="array" ref="O992">INDEX(TechRate,MATCH(H992,TechNum,0))</f>
        <v>140</v>
      </c>
      <c r="P992" s="10">
        <f>WorkOrders27[[#This Row],[Techs]]*(WorkOrders27[[#This Row],[PartsCost]]*WorkOrders27[[#This Row],[LbrHrs]])</f>
        <v>163.39095</v>
      </c>
      <c r="Q992" s="10">
        <f t="shared" si="84"/>
        <v>163.39095</v>
      </c>
      <c r="R992" s="10">
        <f t="shared" si="85"/>
        <v>108.9273</v>
      </c>
      <c r="S992" s="10">
        <f t="shared" si="86"/>
        <v>272.31825000000003</v>
      </c>
      <c r="T992" s="10">
        <f t="shared" si="87"/>
        <v>272.31825000000003</v>
      </c>
      <c r="U992" s="8" t="str">
        <f t="shared" si="88"/>
        <v>Sat</v>
      </c>
      <c r="V992" s="8" t="str">
        <f t="shared" si="88"/>
        <v>Wed</v>
      </c>
    </row>
    <row r="993" spans="1:22" x14ac:dyDescent="0.25">
      <c r="A993" t="s">
        <v>537</v>
      </c>
      <c r="B993" t="s">
        <v>39</v>
      </c>
      <c r="C993" t="s">
        <v>44</v>
      </c>
      <c r="D993" t="s">
        <v>2</v>
      </c>
      <c r="F993" s="5">
        <v>44296</v>
      </c>
      <c r="G993" s="5">
        <v>44326</v>
      </c>
      <c r="H993" s="2">
        <v>1</v>
      </c>
      <c r="I993" s="6" t="s">
        <v>3</v>
      </c>
      <c r="J993" s="6" t="s">
        <v>3</v>
      </c>
      <c r="K993" s="7">
        <v>4.75</v>
      </c>
      <c r="L993" s="7">
        <v>397.36099999999999</v>
      </c>
      <c r="M993" t="s">
        <v>20</v>
      </c>
      <c r="N993" s="16">
        <f>POWER(SQRT(WorkOrders27[[#This Row],[WorkDate]]-WorkOrders27[[#This Row],[ReqDate]]),2)</f>
        <v>30</v>
      </c>
      <c r="O993" s="8">
        <f t="array" ref="O993">INDEX(TechRate,MATCH(H993,TechNum,0))</f>
        <v>80</v>
      </c>
      <c r="P993" s="10">
        <f>WorkOrders27[[#This Row],[Techs]]*(WorkOrders27[[#This Row],[PartsCost]]*WorkOrders27[[#This Row],[LbrHrs]])</f>
        <v>1887.4647499999999</v>
      </c>
      <c r="Q993" s="10">
        <f t="shared" si="84"/>
        <v>0</v>
      </c>
      <c r="R993" s="10">
        <f t="shared" si="85"/>
        <v>0</v>
      </c>
      <c r="S993" s="10">
        <f t="shared" si="86"/>
        <v>2284.82575</v>
      </c>
      <c r="T993" s="10">
        <f t="shared" si="87"/>
        <v>0</v>
      </c>
      <c r="U993" s="8" t="str">
        <f t="shared" si="88"/>
        <v>Sat</v>
      </c>
      <c r="V993" s="8" t="str">
        <f t="shared" si="88"/>
        <v>Mon</v>
      </c>
    </row>
    <row r="994" spans="1:22" x14ac:dyDescent="0.25">
      <c r="A994" t="s">
        <v>538</v>
      </c>
      <c r="B994" t="s">
        <v>39</v>
      </c>
      <c r="C994" t="s">
        <v>44</v>
      </c>
      <c r="D994" t="s">
        <v>12</v>
      </c>
      <c r="F994" s="5">
        <v>44298</v>
      </c>
      <c r="G994" s="5">
        <v>44307</v>
      </c>
      <c r="H994" s="2">
        <v>1</v>
      </c>
      <c r="I994" s="6"/>
      <c r="J994" s="6"/>
      <c r="K994" s="7">
        <v>0.25</v>
      </c>
      <c r="L994" s="7">
        <v>156.40209999999999</v>
      </c>
      <c r="M994" t="s">
        <v>17</v>
      </c>
      <c r="N994" s="16">
        <f>POWER(SQRT(WorkOrders27[[#This Row],[WorkDate]]-WorkOrders27[[#This Row],[ReqDate]]),2)</f>
        <v>9</v>
      </c>
      <c r="O994" s="8">
        <f t="array" ref="O994">INDEX(TechRate,MATCH(H994,TechNum,0))</f>
        <v>80</v>
      </c>
      <c r="P994" s="10">
        <f>WorkOrders27[[#This Row],[Techs]]*(WorkOrders27[[#This Row],[PartsCost]]*WorkOrders27[[#This Row],[LbrHrs]])</f>
        <v>39.100524999999998</v>
      </c>
      <c r="Q994" s="10">
        <f t="shared" si="84"/>
        <v>39.100524999999998</v>
      </c>
      <c r="R994" s="10">
        <f t="shared" si="85"/>
        <v>156.40209999999999</v>
      </c>
      <c r="S994" s="10">
        <f t="shared" si="86"/>
        <v>195.50262499999999</v>
      </c>
      <c r="T994" s="10">
        <f t="shared" si="87"/>
        <v>195.50262499999999</v>
      </c>
      <c r="U994" s="8" t="str">
        <f t="shared" si="88"/>
        <v>Mon</v>
      </c>
      <c r="V994" s="8" t="str">
        <f t="shared" si="88"/>
        <v>Wed</v>
      </c>
    </row>
    <row r="995" spans="1:22" x14ac:dyDescent="0.25">
      <c r="A995" t="s">
        <v>539</v>
      </c>
      <c r="B995" t="s">
        <v>34</v>
      </c>
      <c r="C995" t="s">
        <v>44</v>
      </c>
      <c r="D995" t="s">
        <v>12</v>
      </c>
      <c r="F995" s="5">
        <v>44298</v>
      </c>
      <c r="G995" s="5">
        <v>44307</v>
      </c>
      <c r="H995" s="2">
        <v>2</v>
      </c>
      <c r="I995" s="6"/>
      <c r="J995" s="6" t="s">
        <v>3</v>
      </c>
      <c r="K995" s="7">
        <v>0.5</v>
      </c>
      <c r="L995" s="7">
        <v>176.22120000000001</v>
      </c>
      <c r="M995" t="s">
        <v>18</v>
      </c>
      <c r="N995" s="16">
        <f>POWER(SQRT(WorkOrders27[[#This Row],[WorkDate]]-WorkOrders27[[#This Row],[ReqDate]]),2)</f>
        <v>9</v>
      </c>
      <c r="O995" s="8">
        <f t="array" ref="O995">INDEX(TechRate,MATCH(H995,TechNum,0))</f>
        <v>140</v>
      </c>
      <c r="P995" s="10">
        <f>WorkOrders27[[#This Row],[Techs]]*(WorkOrders27[[#This Row],[PartsCost]]*WorkOrders27[[#This Row],[LbrHrs]])</f>
        <v>176.22120000000001</v>
      </c>
      <c r="Q995" s="10">
        <f t="shared" si="84"/>
        <v>176.22120000000001</v>
      </c>
      <c r="R995" s="10">
        <f t="shared" si="85"/>
        <v>0</v>
      </c>
      <c r="S995" s="10">
        <f t="shared" si="86"/>
        <v>352.44240000000002</v>
      </c>
      <c r="T995" s="10">
        <f t="shared" si="87"/>
        <v>176.22120000000001</v>
      </c>
      <c r="U995" s="8" t="str">
        <f t="shared" si="88"/>
        <v>Mon</v>
      </c>
      <c r="V995" s="8" t="str">
        <f t="shared" si="88"/>
        <v>Wed</v>
      </c>
    </row>
    <row r="996" spans="1:22" x14ac:dyDescent="0.25">
      <c r="A996" t="s">
        <v>540</v>
      </c>
      <c r="B996" t="s">
        <v>36</v>
      </c>
      <c r="C996" t="s">
        <v>7</v>
      </c>
      <c r="D996" t="s">
        <v>11</v>
      </c>
      <c r="F996" s="5">
        <v>44298</v>
      </c>
      <c r="G996" s="5">
        <v>44314</v>
      </c>
      <c r="H996" s="2">
        <v>1</v>
      </c>
      <c r="I996" s="6"/>
      <c r="J996" s="6"/>
      <c r="K996" s="7">
        <v>0.25</v>
      </c>
      <c r="L996" s="7">
        <v>4.99</v>
      </c>
      <c r="M996" t="s">
        <v>18</v>
      </c>
      <c r="N996" s="16">
        <f>POWER(SQRT(WorkOrders27[[#This Row],[WorkDate]]-WorkOrders27[[#This Row],[ReqDate]]),2)</f>
        <v>16</v>
      </c>
      <c r="O996" s="8">
        <f t="array" ref="O996">INDEX(TechRate,MATCH(H996,TechNum,0))</f>
        <v>80</v>
      </c>
      <c r="P996" s="10">
        <f>WorkOrders27[[#This Row],[Techs]]*(WorkOrders27[[#This Row],[PartsCost]]*WorkOrders27[[#This Row],[LbrHrs]])</f>
        <v>1.2475000000000001</v>
      </c>
      <c r="Q996" s="10">
        <f t="shared" si="84"/>
        <v>1.2475000000000001</v>
      </c>
      <c r="R996" s="10">
        <f t="shared" si="85"/>
        <v>4.99</v>
      </c>
      <c r="S996" s="10">
        <f t="shared" si="86"/>
        <v>6.2375000000000007</v>
      </c>
      <c r="T996" s="10">
        <f t="shared" si="87"/>
        <v>6.2375000000000007</v>
      </c>
      <c r="U996" s="8" t="str">
        <f t="shared" si="88"/>
        <v>Mon</v>
      </c>
      <c r="V996" s="8" t="str">
        <f t="shared" si="88"/>
        <v>Wed</v>
      </c>
    </row>
    <row r="997" spans="1:22" x14ac:dyDescent="0.25">
      <c r="A997" t="s">
        <v>541</v>
      </c>
      <c r="B997" t="s">
        <v>35</v>
      </c>
      <c r="C997" t="s">
        <v>9</v>
      </c>
      <c r="D997" t="s">
        <v>11</v>
      </c>
      <c r="F997" s="5">
        <v>44298</v>
      </c>
      <c r="G997" s="5">
        <v>44319</v>
      </c>
      <c r="H997" s="2">
        <v>1</v>
      </c>
      <c r="I997" s="6"/>
      <c r="J997" s="6"/>
      <c r="K997" s="7">
        <v>0.25</v>
      </c>
      <c r="L997" s="7">
        <v>83.462900000000005</v>
      </c>
      <c r="M997" t="s">
        <v>17</v>
      </c>
      <c r="N997" s="16">
        <f>POWER(SQRT(WorkOrders27[[#This Row],[WorkDate]]-WorkOrders27[[#This Row],[ReqDate]]),2)</f>
        <v>21</v>
      </c>
      <c r="O997" s="8">
        <f t="array" ref="O997">INDEX(TechRate,MATCH(H997,TechNum,0))</f>
        <v>80</v>
      </c>
      <c r="P997" s="10">
        <f>WorkOrders27[[#This Row],[Techs]]*(WorkOrders27[[#This Row],[PartsCost]]*WorkOrders27[[#This Row],[LbrHrs]])</f>
        <v>20.865725000000001</v>
      </c>
      <c r="Q997" s="10">
        <f t="shared" si="84"/>
        <v>20.865725000000001</v>
      </c>
      <c r="R997" s="10">
        <f t="shared" si="85"/>
        <v>83.462900000000005</v>
      </c>
      <c r="S997" s="10">
        <f t="shared" si="86"/>
        <v>104.328625</v>
      </c>
      <c r="T997" s="10">
        <f t="shared" si="87"/>
        <v>104.328625</v>
      </c>
      <c r="U997" s="8" t="str">
        <f t="shared" si="88"/>
        <v>Mon</v>
      </c>
      <c r="V997" s="8" t="str">
        <f t="shared" si="88"/>
        <v>Mon</v>
      </c>
    </row>
    <row r="998" spans="1:22" x14ac:dyDescent="0.25">
      <c r="A998" t="s">
        <v>542</v>
      </c>
      <c r="B998" t="s">
        <v>34</v>
      </c>
      <c r="C998" t="s">
        <v>9</v>
      </c>
      <c r="D998" t="s">
        <v>1</v>
      </c>
      <c r="F998" s="5">
        <v>44298</v>
      </c>
      <c r="G998" s="5">
        <v>44320</v>
      </c>
      <c r="H998" s="2">
        <v>2</v>
      </c>
      <c r="I998" s="6"/>
      <c r="J998" s="6"/>
      <c r="K998" s="7">
        <v>2.25</v>
      </c>
      <c r="L998" s="7">
        <v>52</v>
      </c>
      <c r="M998" t="s">
        <v>17</v>
      </c>
      <c r="N998" s="16">
        <f>POWER(SQRT(WorkOrders27[[#This Row],[WorkDate]]-WorkOrders27[[#This Row],[ReqDate]]),2)</f>
        <v>22</v>
      </c>
      <c r="O998" s="8">
        <f t="array" ref="O998">INDEX(TechRate,MATCH(H998,TechNum,0))</f>
        <v>140</v>
      </c>
      <c r="P998" s="10">
        <f>WorkOrders27[[#This Row],[Techs]]*(WorkOrders27[[#This Row],[PartsCost]]*WorkOrders27[[#This Row],[LbrHrs]])</f>
        <v>234</v>
      </c>
      <c r="Q998" s="10">
        <f t="shared" si="84"/>
        <v>234</v>
      </c>
      <c r="R998" s="10">
        <f t="shared" si="85"/>
        <v>52</v>
      </c>
      <c r="S998" s="10">
        <f t="shared" si="86"/>
        <v>286</v>
      </c>
      <c r="T998" s="10">
        <f t="shared" si="87"/>
        <v>286</v>
      </c>
      <c r="U998" s="8" t="str">
        <f t="shared" si="88"/>
        <v>Mon</v>
      </c>
      <c r="V998" s="8" t="str">
        <f t="shared" si="88"/>
        <v>Tue</v>
      </c>
    </row>
    <row r="999" spans="1:22" x14ac:dyDescent="0.25">
      <c r="A999" t="s">
        <v>543</v>
      </c>
      <c r="B999" t="s">
        <v>37</v>
      </c>
      <c r="C999" t="s">
        <v>43</v>
      </c>
      <c r="D999" t="s">
        <v>12</v>
      </c>
      <c r="F999" s="5">
        <v>44298</v>
      </c>
      <c r="G999" s="5">
        <v>44320</v>
      </c>
      <c r="H999" s="2">
        <v>1</v>
      </c>
      <c r="I999" s="6"/>
      <c r="J999" s="6"/>
      <c r="K999" s="7">
        <v>0.5</v>
      </c>
      <c r="L999" s="7">
        <v>743.18399999999997</v>
      </c>
      <c r="M999" t="s">
        <v>19</v>
      </c>
      <c r="N999" s="16">
        <f>POWER(SQRT(WorkOrders27[[#This Row],[WorkDate]]-WorkOrders27[[#This Row],[ReqDate]]),2)</f>
        <v>22</v>
      </c>
      <c r="O999" s="8">
        <f t="array" ref="O999">INDEX(TechRate,MATCH(H999,TechNum,0))</f>
        <v>80</v>
      </c>
      <c r="P999" s="10">
        <f>WorkOrders27[[#This Row],[Techs]]*(WorkOrders27[[#This Row],[PartsCost]]*WorkOrders27[[#This Row],[LbrHrs]])</f>
        <v>371.59199999999998</v>
      </c>
      <c r="Q999" s="10">
        <f t="shared" si="84"/>
        <v>371.59199999999998</v>
      </c>
      <c r="R999" s="10">
        <f t="shared" si="85"/>
        <v>743.18399999999997</v>
      </c>
      <c r="S999" s="10">
        <f t="shared" si="86"/>
        <v>1114.7759999999998</v>
      </c>
      <c r="T999" s="10">
        <f t="shared" si="87"/>
        <v>1114.7759999999998</v>
      </c>
      <c r="U999" s="8" t="str">
        <f t="shared" si="88"/>
        <v>Mon</v>
      </c>
      <c r="V999" s="8" t="str">
        <f t="shared" si="88"/>
        <v>Tue</v>
      </c>
    </row>
    <row r="1000" spans="1:22" x14ac:dyDescent="0.25">
      <c r="A1000" t="s">
        <v>544</v>
      </c>
      <c r="B1000" t="s">
        <v>34</v>
      </c>
      <c r="C1000" t="s">
        <v>44</v>
      </c>
      <c r="D1000" t="s">
        <v>13</v>
      </c>
      <c r="F1000" s="5">
        <v>44298</v>
      </c>
      <c r="G1000" s="5">
        <v>44363</v>
      </c>
      <c r="H1000" s="2">
        <v>1</v>
      </c>
      <c r="I1000" s="6"/>
      <c r="J1000" s="6"/>
      <c r="K1000" s="7">
        <v>0.5</v>
      </c>
      <c r="L1000" s="7">
        <v>144</v>
      </c>
      <c r="M1000" t="s">
        <v>18</v>
      </c>
      <c r="N1000" s="16">
        <f>POWER(SQRT(WorkOrders27[[#This Row],[WorkDate]]-WorkOrders27[[#This Row],[ReqDate]]),2)</f>
        <v>64.999999999999986</v>
      </c>
      <c r="O1000" s="8">
        <f t="array" ref="O1000">INDEX(TechRate,MATCH(H1000,TechNum,0))</f>
        <v>80</v>
      </c>
      <c r="P1000" s="10">
        <f>WorkOrders27[[#This Row],[Techs]]*(WorkOrders27[[#This Row],[PartsCost]]*WorkOrders27[[#This Row],[LbrHrs]])</f>
        <v>72</v>
      </c>
      <c r="Q1000" s="10">
        <f t="shared" si="84"/>
        <v>72</v>
      </c>
      <c r="R1000" s="10">
        <f t="shared" si="85"/>
        <v>144</v>
      </c>
      <c r="S1000" s="10">
        <f t="shared" si="86"/>
        <v>216</v>
      </c>
      <c r="T1000" s="10">
        <f t="shared" si="87"/>
        <v>216</v>
      </c>
      <c r="U1000" s="8" t="str">
        <f t="shared" si="88"/>
        <v>Mon</v>
      </c>
      <c r="V1000" s="8" t="str">
        <f t="shared" si="88"/>
        <v>Wed</v>
      </c>
    </row>
    <row r="1001" spans="1:22" x14ac:dyDescent="0.25">
      <c r="A1001" t="s">
        <v>545</v>
      </c>
      <c r="B1001" t="s">
        <v>36</v>
      </c>
      <c r="C1001" t="s">
        <v>7</v>
      </c>
      <c r="D1001" t="s">
        <v>11</v>
      </c>
      <c r="F1001" s="5">
        <v>44299</v>
      </c>
      <c r="G1001" s="5">
        <v>44314</v>
      </c>
      <c r="H1001" s="2">
        <v>1</v>
      </c>
      <c r="I1001" s="6" t="s">
        <v>3</v>
      </c>
      <c r="J1001" s="6" t="s">
        <v>3</v>
      </c>
      <c r="K1001" s="7">
        <v>0.25</v>
      </c>
      <c r="L1001" s="7">
        <v>38.124600000000001</v>
      </c>
      <c r="M1001" t="s">
        <v>20</v>
      </c>
      <c r="N1001" s="16">
        <f>POWER(SQRT(WorkOrders27[[#This Row],[WorkDate]]-WorkOrders27[[#This Row],[ReqDate]]),2)</f>
        <v>15.000000000000002</v>
      </c>
      <c r="O1001" s="8">
        <f t="array" ref="O1001">INDEX(TechRate,MATCH(H1001,TechNum,0))</f>
        <v>80</v>
      </c>
      <c r="P1001" s="10">
        <f>WorkOrders27[[#This Row],[Techs]]*(WorkOrders27[[#This Row],[PartsCost]]*WorkOrders27[[#This Row],[LbrHrs]])</f>
        <v>9.5311500000000002</v>
      </c>
      <c r="Q1001" s="10">
        <f t="shared" si="84"/>
        <v>0</v>
      </c>
      <c r="R1001" s="10">
        <f t="shared" si="85"/>
        <v>0</v>
      </c>
      <c r="S1001" s="10">
        <f t="shared" si="86"/>
        <v>47.655749999999998</v>
      </c>
      <c r="T1001" s="10">
        <f t="shared" si="87"/>
        <v>0</v>
      </c>
      <c r="U1001" s="8" t="str">
        <f t="shared" si="88"/>
        <v>Tue</v>
      </c>
      <c r="V1001" s="8" t="str">
        <f t="shared" si="88"/>
        <v>Wed</v>
      </c>
    </row>
    <row r="1003" spans="1:22" x14ac:dyDescent="0.25">
      <c r="A1003" s="11" t="s">
        <v>5</v>
      </c>
      <c r="B1003" s="11" t="s">
        <v>24</v>
      </c>
      <c r="C1003" s="11" t="s">
        <v>10</v>
      </c>
      <c r="D1003" s="11" t="s">
        <v>0</v>
      </c>
      <c r="E1003" s="11" t="s">
        <v>23</v>
      </c>
      <c r="F1003" s="11" t="s">
        <v>14</v>
      </c>
      <c r="G1003" s="11" t="s">
        <v>15</v>
      </c>
      <c r="H1003" s="11" t="s">
        <v>4</v>
      </c>
      <c r="I1003" s="11" t="s">
        <v>25</v>
      </c>
      <c r="J1003" s="11" t="s">
        <v>26</v>
      </c>
      <c r="K1003" s="12" t="s">
        <v>27</v>
      </c>
      <c r="L1003" s="12" t="s">
        <v>28</v>
      </c>
      <c r="M1003" s="11" t="s">
        <v>16</v>
      </c>
      <c r="N1003" s="13" t="s">
        <v>22</v>
      </c>
      <c r="O1003" s="11" t="s">
        <v>546</v>
      </c>
      <c r="P1003" s="12" t="s">
        <v>29</v>
      </c>
      <c r="Q1003" s="12" t="s">
        <v>30</v>
      </c>
      <c r="R1003" s="12" t="s">
        <v>31</v>
      </c>
      <c r="S1003" s="12" t="s">
        <v>32</v>
      </c>
      <c r="T1003" s="12" t="s">
        <v>33</v>
      </c>
      <c r="U1003" s="1" t="s">
        <v>45</v>
      </c>
      <c r="V1003" s="1" t="s">
        <v>46</v>
      </c>
    </row>
    <row r="1004" spans="1:22" x14ac:dyDescent="0.25">
      <c r="A1004" t="s">
        <v>47</v>
      </c>
      <c r="B1004" t="s">
        <v>36</v>
      </c>
      <c r="C1004" t="s">
        <v>8</v>
      </c>
      <c r="D1004" t="s">
        <v>12</v>
      </c>
      <c r="F1004" s="5">
        <v>44075</v>
      </c>
      <c r="G1004" s="5">
        <v>44089</v>
      </c>
      <c r="H1004" s="2">
        <v>2</v>
      </c>
      <c r="I1004" s="6"/>
      <c r="J1004" s="6"/>
      <c r="K1004" s="7">
        <v>0.5</v>
      </c>
      <c r="L1004" s="7">
        <v>360</v>
      </c>
      <c r="M1004" t="s">
        <v>17</v>
      </c>
      <c r="N1004" s="9"/>
      <c r="O1004" s="8">
        <f t="array" ref="O1004">INDEX(TechRate,MATCH(H1004,TechNum,0))</f>
        <v>140</v>
      </c>
      <c r="P1004" s="10">
        <f>WorkOrders278[[#This Row],[Techs]]*(WorkOrders278[[#This Row],[PartsCost]]*WorkOrders278[[#This Row],[LbrHrs]])</f>
        <v>360</v>
      </c>
      <c r="Q1004" s="10">
        <f t="shared" ref="Q1004:Q1067" si="89">IF(I1004="Yes",0,P1004)</f>
        <v>360</v>
      </c>
      <c r="R1004" s="10">
        <f t="shared" ref="R1004:R1067" si="90">IF(J1004="Yes",0,L1004)</f>
        <v>360</v>
      </c>
      <c r="S1004" s="10">
        <f t="shared" ref="S1004:S1067" si="91">SUM(L1004,P1004)</f>
        <v>720</v>
      </c>
      <c r="T1004" s="10">
        <f t="shared" ref="T1004:T1067" si="92">SUM(Q1004,R1004)</f>
        <v>720</v>
      </c>
      <c r="U1004" s="8" t="str">
        <f t="shared" ref="U1004:U1067" si="93">TEXT(F1004,"ddd")</f>
        <v>Tue</v>
      </c>
      <c r="V1004" s="8" t="str">
        <f t="shared" ref="V1004:V1067" si="94">TEXT(G1004,"ddd")</f>
        <v>Tue</v>
      </c>
    </row>
    <row r="1005" spans="1:22" x14ac:dyDescent="0.25">
      <c r="A1005" t="s">
        <v>48</v>
      </c>
      <c r="B1005" t="s">
        <v>37</v>
      </c>
      <c r="C1005" t="s">
        <v>43</v>
      </c>
      <c r="D1005" t="s">
        <v>13</v>
      </c>
      <c r="F1005" s="5">
        <v>44075</v>
      </c>
      <c r="G1005" s="5">
        <v>44078</v>
      </c>
      <c r="H1005" s="2">
        <v>1</v>
      </c>
      <c r="I1005" s="6"/>
      <c r="J1005" s="6"/>
      <c r="K1005" s="7">
        <v>0.5</v>
      </c>
      <c r="L1005" s="7">
        <v>90.041600000000003</v>
      </c>
      <c r="M1005" t="s">
        <v>17</v>
      </c>
      <c r="N1005" s="9"/>
      <c r="O1005" s="8">
        <f t="array" ref="O1005">INDEX(TechRate,MATCH(H1005,TechNum,0))</f>
        <v>80</v>
      </c>
      <c r="P1005" s="10">
        <f>WorkOrders278[[#This Row],[Techs]]*(WorkOrders278[[#This Row],[PartsCost]]*WorkOrders278[[#This Row],[LbrHrs]])</f>
        <v>45.020800000000001</v>
      </c>
      <c r="Q1005" s="10">
        <f t="shared" si="89"/>
        <v>45.020800000000001</v>
      </c>
      <c r="R1005" s="10">
        <f t="shared" si="90"/>
        <v>90.041600000000003</v>
      </c>
      <c r="S1005" s="10">
        <f t="shared" si="91"/>
        <v>135.0624</v>
      </c>
      <c r="T1005" s="10">
        <f t="shared" si="92"/>
        <v>135.0624</v>
      </c>
      <c r="U1005" s="8" t="str">
        <f t="shared" si="93"/>
        <v>Tue</v>
      </c>
      <c r="V1005" s="8" t="str">
        <f t="shared" si="94"/>
        <v>Fri</v>
      </c>
    </row>
    <row r="1006" spans="1:22" x14ac:dyDescent="0.25">
      <c r="A1006" t="s">
        <v>49</v>
      </c>
      <c r="B1006" t="s">
        <v>34</v>
      </c>
      <c r="C1006" t="s">
        <v>44</v>
      </c>
      <c r="D1006" t="s">
        <v>11</v>
      </c>
      <c r="F1006" s="5">
        <v>44075</v>
      </c>
      <c r="G1006" s="5">
        <v>44091</v>
      </c>
      <c r="H1006" s="2">
        <v>1</v>
      </c>
      <c r="I1006" s="6"/>
      <c r="J1006" s="6"/>
      <c r="K1006" s="7">
        <v>0.25</v>
      </c>
      <c r="L1006" s="7">
        <v>120</v>
      </c>
      <c r="M1006" t="s">
        <v>19</v>
      </c>
      <c r="N1006" s="9"/>
      <c r="O1006" s="8">
        <f t="array" ref="O1006">INDEX(TechRate,MATCH(H1006,TechNum,0))</f>
        <v>80</v>
      </c>
      <c r="P1006" s="10">
        <f>WorkOrders278[[#This Row],[Techs]]*(WorkOrders278[[#This Row],[PartsCost]]*WorkOrders278[[#This Row],[LbrHrs]])</f>
        <v>30</v>
      </c>
      <c r="Q1006" s="10">
        <f t="shared" si="89"/>
        <v>30</v>
      </c>
      <c r="R1006" s="10">
        <f t="shared" si="90"/>
        <v>120</v>
      </c>
      <c r="S1006" s="10">
        <f t="shared" si="91"/>
        <v>150</v>
      </c>
      <c r="T1006" s="10">
        <f t="shared" si="92"/>
        <v>150</v>
      </c>
      <c r="U1006" s="8" t="str">
        <f t="shared" si="93"/>
        <v>Tue</v>
      </c>
      <c r="V1006" s="8" t="str">
        <f t="shared" si="94"/>
        <v>Thu</v>
      </c>
    </row>
    <row r="1007" spans="1:22" hidden="1" x14ac:dyDescent="0.25">
      <c r="A1007" t="s">
        <v>50</v>
      </c>
      <c r="B1007" t="s">
        <v>37</v>
      </c>
      <c r="C1007" t="s">
        <v>43</v>
      </c>
      <c r="D1007" t="s">
        <v>11</v>
      </c>
      <c r="F1007" s="5">
        <v>44075</v>
      </c>
      <c r="G1007" s="5">
        <v>44091</v>
      </c>
      <c r="H1007" s="2">
        <v>1</v>
      </c>
      <c r="I1007" s="6"/>
      <c r="J1007" s="6"/>
      <c r="K1007" s="7">
        <v>0.25</v>
      </c>
      <c r="L1007" s="7">
        <v>16.25</v>
      </c>
      <c r="M1007" t="s">
        <v>17</v>
      </c>
      <c r="N1007" s="9"/>
      <c r="O1007" s="8">
        <f t="array" ref="O1007">INDEX(TechRate,MATCH(H1007,TechNum,0))</f>
        <v>80</v>
      </c>
      <c r="P1007" s="10">
        <f>WorkOrders278[[#This Row],[Techs]]*(WorkOrders278[[#This Row],[PartsCost]]*WorkOrders278[[#This Row],[LbrHrs]])</f>
        <v>4.0625</v>
      </c>
      <c r="Q1007" s="10">
        <f t="shared" si="89"/>
        <v>4.0625</v>
      </c>
      <c r="R1007" s="10">
        <f t="shared" si="90"/>
        <v>16.25</v>
      </c>
      <c r="S1007" s="10">
        <f t="shared" si="91"/>
        <v>20.3125</v>
      </c>
      <c r="T1007" s="10">
        <f t="shared" si="92"/>
        <v>20.3125</v>
      </c>
      <c r="U1007" s="8" t="str">
        <f t="shared" si="93"/>
        <v>Tue</v>
      </c>
      <c r="V1007" s="8" t="str">
        <f t="shared" si="94"/>
        <v>Thu</v>
      </c>
    </row>
    <row r="1008" spans="1:22" hidden="1" x14ac:dyDescent="0.25">
      <c r="A1008" t="s">
        <v>51</v>
      </c>
      <c r="B1008" t="s">
        <v>35</v>
      </c>
      <c r="C1008" t="s">
        <v>44</v>
      </c>
      <c r="D1008" t="s">
        <v>11</v>
      </c>
      <c r="E1008" t="s">
        <v>3</v>
      </c>
      <c r="F1008" s="5">
        <v>44075</v>
      </c>
      <c r="G1008" s="5">
        <v>44091</v>
      </c>
      <c r="H1008" s="2">
        <v>1</v>
      </c>
      <c r="I1008" s="6"/>
      <c r="J1008" s="6"/>
      <c r="K1008" s="7">
        <v>0.25</v>
      </c>
      <c r="L1008" s="7">
        <v>45.237400000000001</v>
      </c>
      <c r="M1008" t="s">
        <v>17</v>
      </c>
      <c r="N1008" s="9"/>
      <c r="O1008" s="8">
        <f t="array" ref="O1008">INDEX(TechRate,MATCH(H1008,TechNum,0))</f>
        <v>80</v>
      </c>
      <c r="P1008" s="10">
        <f>WorkOrders278[[#This Row],[Techs]]*(WorkOrders278[[#This Row],[PartsCost]]*WorkOrders278[[#This Row],[LbrHrs]])</f>
        <v>11.30935</v>
      </c>
      <c r="Q1008" s="10">
        <f t="shared" si="89"/>
        <v>11.30935</v>
      </c>
      <c r="R1008" s="10">
        <f t="shared" si="90"/>
        <v>45.237400000000001</v>
      </c>
      <c r="S1008" s="10">
        <f t="shared" si="91"/>
        <v>56.546750000000003</v>
      </c>
      <c r="T1008" s="10">
        <f t="shared" si="92"/>
        <v>56.546750000000003</v>
      </c>
      <c r="U1008" s="8" t="str">
        <f t="shared" si="93"/>
        <v>Tue</v>
      </c>
      <c r="V1008" s="8" t="str">
        <f t="shared" si="94"/>
        <v>Thu</v>
      </c>
    </row>
    <row r="1009" spans="1:22" hidden="1" x14ac:dyDescent="0.25">
      <c r="A1009" t="s">
        <v>52</v>
      </c>
      <c r="B1009" t="s">
        <v>37</v>
      </c>
      <c r="C1009" t="s">
        <v>43</v>
      </c>
      <c r="D1009" t="s">
        <v>12</v>
      </c>
      <c r="F1009" s="5">
        <v>44075</v>
      </c>
      <c r="G1009" s="5">
        <v>44089</v>
      </c>
      <c r="H1009" s="2">
        <v>1</v>
      </c>
      <c r="I1009" s="6"/>
      <c r="J1009" s="6"/>
      <c r="K1009" s="7">
        <v>0.25</v>
      </c>
      <c r="L1009" s="7">
        <v>97.626300000000001</v>
      </c>
      <c r="M1009" t="s">
        <v>17</v>
      </c>
      <c r="N1009" s="9"/>
      <c r="O1009" s="8">
        <f t="array" ref="O1009">INDEX(TechRate,MATCH(H1009,TechNum,0))</f>
        <v>80</v>
      </c>
      <c r="P1009" s="10">
        <f>WorkOrders278[[#This Row],[Techs]]*(WorkOrders278[[#This Row],[PartsCost]]*WorkOrders278[[#This Row],[LbrHrs]])</f>
        <v>24.406575</v>
      </c>
      <c r="Q1009" s="10">
        <f t="shared" si="89"/>
        <v>24.406575</v>
      </c>
      <c r="R1009" s="10">
        <f t="shared" si="90"/>
        <v>97.626300000000001</v>
      </c>
      <c r="S1009" s="10">
        <f t="shared" si="91"/>
        <v>122.032875</v>
      </c>
      <c r="T1009" s="10">
        <f t="shared" si="92"/>
        <v>122.032875</v>
      </c>
      <c r="U1009" s="8" t="str">
        <f t="shared" si="93"/>
        <v>Tue</v>
      </c>
      <c r="V1009" s="8" t="str">
        <f t="shared" si="94"/>
        <v>Tue</v>
      </c>
    </row>
    <row r="1010" spans="1:22" hidden="1" x14ac:dyDescent="0.25">
      <c r="A1010" t="s">
        <v>53</v>
      </c>
      <c r="B1010" t="s">
        <v>34</v>
      </c>
      <c r="C1010" t="s">
        <v>44</v>
      </c>
      <c r="D1010" t="s">
        <v>12</v>
      </c>
      <c r="F1010" s="5">
        <v>44076</v>
      </c>
      <c r="G1010" s="5">
        <v>44090</v>
      </c>
      <c r="H1010" s="2">
        <v>2</v>
      </c>
      <c r="I1010" s="6"/>
      <c r="J1010" s="6"/>
      <c r="K1010" s="7">
        <v>0.25</v>
      </c>
      <c r="L1010" s="7">
        <v>29.13</v>
      </c>
      <c r="M1010" t="s">
        <v>17</v>
      </c>
      <c r="N1010" s="9"/>
      <c r="O1010" s="8">
        <f t="array" ref="O1010">INDEX(TechRate,MATCH(H1010,TechNum,0))</f>
        <v>140</v>
      </c>
      <c r="P1010" s="10">
        <f>WorkOrders278[[#This Row],[Techs]]*(WorkOrders278[[#This Row],[PartsCost]]*WorkOrders278[[#This Row],[LbrHrs]])</f>
        <v>14.565</v>
      </c>
      <c r="Q1010" s="10">
        <f t="shared" si="89"/>
        <v>14.565</v>
      </c>
      <c r="R1010" s="10">
        <f t="shared" si="90"/>
        <v>29.13</v>
      </c>
      <c r="S1010" s="10">
        <f t="shared" si="91"/>
        <v>43.695</v>
      </c>
      <c r="T1010" s="10">
        <f t="shared" si="92"/>
        <v>43.695</v>
      </c>
      <c r="U1010" s="8" t="str">
        <f t="shared" si="93"/>
        <v>Wed</v>
      </c>
      <c r="V1010" s="8" t="str">
        <f t="shared" si="94"/>
        <v>Wed</v>
      </c>
    </row>
    <row r="1011" spans="1:22" hidden="1" x14ac:dyDescent="0.25">
      <c r="A1011" t="s">
        <v>54</v>
      </c>
      <c r="B1011" t="s">
        <v>37</v>
      </c>
      <c r="C1011" t="s">
        <v>43</v>
      </c>
      <c r="D1011" t="s">
        <v>13</v>
      </c>
      <c r="F1011" s="5">
        <v>44076</v>
      </c>
      <c r="G1011" s="5">
        <v>44106</v>
      </c>
      <c r="H1011" s="2">
        <v>1</v>
      </c>
      <c r="I1011" s="6"/>
      <c r="J1011" s="6"/>
      <c r="K1011" s="7">
        <v>0.75</v>
      </c>
      <c r="L1011" s="7">
        <v>35.1</v>
      </c>
      <c r="M1011" t="s">
        <v>17</v>
      </c>
      <c r="N1011" s="9"/>
      <c r="O1011" s="8">
        <f t="array" ref="O1011">INDEX(TechRate,MATCH(H1011,TechNum,0))</f>
        <v>80</v>
      </c>
      <c r="P1011" s="10">
        <f>WorkOrders278[[#This Row],[Techs]]*(WorkOrders278[[#This Row],[PartsCost]]*WorkOrders278[[#This Row],[LbrHrs]])</f>
        <v>26.325000000000003</v>
      </c>
      <c r="Q1011" s="10">
        <f t="shared" si="89"/>
        <v>26.325000000000003</v>
      </c>
      <c r="R1011" s="10">
        <f t="shared" si="90"/>
        <v>35.1</v>
      </c>
      <c r="S1011" s="10">
        <f t="shared" si="91"/>
        <v>61.425000000000004</v>
      </c>
      <c r="T1011" s="10">
        <f t="shared" si="92"/>
        <v>61.425000000000004</v>
      </c>
      <c r="U1011" s="8" t="str">
        <f t="shared" si="93"/>
        <v>Wed</v>
      </c>
      <c r="V1011" s="8" t="str">
        <f t="shared" si="94"/>
        <v>Fri</v>
      </c>
    </row>
    <row r="1012" spans="1:22" hidden="1" x14ac:dyDescent="0.25">
      <c r="A1012" t="s">
        <v>55</v>
      </c>
      <c r="B1012" t="s">
        <v>35</v>
      </c>
      <c r="C1012" t="s">
        <v>9</v>
      </c>
      <c r="D1012" t="s">
        <v>11</v>
      </c>
      <c r="F1012" s="5">
        <v>44076</v>
      </c>
      <c r="G1012" s="5">
        <v>44105</v>
      </c>
      <c r="H1012" s="2">
        <v>1</v>
      </c>
      <c r="I1012" s="6"/>
      <c r="J1012" s="6"/>
      <c r="K1012" s="7">
        <v>0.25</v>
      </c>
      <c r="L1012" s="7">
        <v>76.7</v>
      </c>
      <c r="M1012" t="s">
        <v>18</v>
      </c>
      <c r="N1012" s="9"/>
      <c r="O1012" s="8">
        <f t="array" ref="O1012">INDEX(TechRate,MATCH(H1012,TechNum,0))</f>
        <v>80</v>
      </c>
      <c r="P1012" s="10">
        <f>WorkOrders278[[#This Row],[Techs]]*(WorkOrders278[[#This Row],[PartsCost]]*WorkOrders278[[#This Row],[LbrHrs]])</f>
        <v>19.175000000000001</v>
      </c>
      <c r="Q1012" s="10">
        <f t="shared" si="89"/>
        <v>19.175000000000001</v>
      </c>
      <c r="R1012" s="10">
        <f t="shared" si="90"/>
        <v>76.7</v>
      </c>
      <c r="S1012" s="10">
        <f t="shared" si="91"/>
        <v>95.875</v>
      </c>
      <c r="T1012" s="10">
        <f t="shared" si="92"/>
        <v>95.875</v>
      </c>
      <c r="U1012" s="8" t="str">
        <f t="shared" si="93"/>
        <v>Wed</v>
      </c>
      <c r="V1012" s="8" t="str">
        <f t="shared" si="94"/>
        <v>Thu</v>
      </c>
    </row>
    <row r="1013" spans="1:22" hidden="1" x14ac:dyDescent="0.25">
      <c r="A1013" t="s">
        <v>56</v>
      </c>
      <c r="B1013" t="s">
        <v>34</v>
      </c>
      <c r="C1013" t="s">
        <v>8</v>
      </c>
      <c r="D1013" t="s">
        <v>2</v>
      </c>
      <c r="E1013" t="s">
        <v>3</v>
      </c>
      <c r="F1013" s="5">
        <v>44076</v>
      </c>
      <c r="G1013" s="5">
        <v>44110</v>
      </c>
      <c r="H1013" s="2">
        <v>1</v>
      </c>
      <c r="I1013" s="6"/>
      <c r="J1013" s="6"/>
      <c r="K1013" s="7">
        <v>1.5</v>
      </c>
      <c r="L1013" s="7">
        <v>374.07940000000002</v>
      </c>
      <c r="M1013" t="s">
        <v>18</v>
      </c>
      <c r="N1013" s="9"/>
      <c r="O1013" s="8">
        <f t="array" ref="O1013">INDEX(TechRate,MATCH(H1013,TechNum,0))</f>
        <v>80</v>
      </c>
      <c r="P1013" s="10">
        <f>WorkOrders278[[#This Row],[Techs]]*(WorkOrders278[[#This Row],[PartsCost]]*WorkOrders278[[#This Row],[LbrHrs]])</f>
        <v>561.1191</v>
      </c>
      <c r="Q1013" s="10">
        <f t="shared" si="89"/>
        <v>561.1191</v>
      </c>
      <c r="R1013" s="10">
        <f t="shared" si="90"/>
        <v>374.07940000000002</v>
      </c>
      <c r="S1013" s="10">
        <f t="shared" si="91"/>
        <v>935.19849999999997</v>
      </c>
      <c r="T1013" s="10">
        <f t="shared" si="92"/>
        <v>935.19849999999997</v>
      </c>
      <c r="U1013" s="8" t="str">
        <f t="shared" si="93"/>
        <v>Wed</v>
      </c>
      <c r="V1013" s="8" t="str">
        <f t="shared" si="94"/>
        <v>Tue</v>
      </c>
    </row>
    <row r="1014" spans="1:22" hidden="1" x14ac:dyDescent="0.25">
      <c r="A1014" t="s">
        <v>57</v>
      </c>
      <c r="B1014" t="s">
        <v>38</v>
      </c>
      <c r="C1014" t="s">
        <v>9</v>
      </c>
      <c r="D1014" t="s">
        <v>13</v>
      </c>
      <c r="F1014" s="5">
        <v>44076</v>
      </c>
      <c r="G1014" s="5">
        <v>44173</v>
      </c>
      <c r="H1014" s="2">
        <v>2</v>
      </c>
      <c r="I1014" s="6"/>
      <c r="J1014" s="6"/>
      <c r="K1014" s="7">
        <v>4.75</v>
      </c>
      <c r="L1014" s="7">
        <v>832.15830000000005</v>
      </c>
      <c r="M1014" t="s">
        <v>17</v>
      </c>
      <c r="N1014" s="9"/>
      <c r="O1014" s="8">
        <f t="array" ref="O1014">INDEX(TechRate,MATCH(H1014,TechNum,0))</f>
        <v>140</v>
      </c>
      <c r="P1014" s="10">
        <f>WorkOrders278[[#This Row],[Techs]]*(WorkOrders278[[#This Row],[PartsCost]]*WorkOrders278[[#This Row],[LbrHrs]])</f>
        <v>7905.503850000001</v>
      </c>
      <c r="Q1014" s="10">
        <f t="shared" si="89"/>
        <v>7905.503850000001</v>
      </c>
      <c r="R1014" s="10">
        <f t="shared" si="90"/>
        <v>832.15830000000005</v>
      </c>
      <c r="S1014" s="10">
        <f t="shared" si="91"/>
        <v>8737.6621500000001</v>
      </c>
      <c r="T1014" s="10">
        <f t="shared" si="92"/>
        <v>8737.6621500000001</v>
      </c>
      <c r="U1014" s="8" t="str">
        <f t="shared" si="93"/>
        <v>Wed</v>
      </c>
      <c r="V1014" s="8" t="str">
        <f t="shared" si="94"/>
        <v>Tue</v>
      </c>
    </row>
    <row r="1015" spans="1:22" hidden="1" x14ac:dyDescent="0.25">
      <c r="A1015" t="s">
        <v>58</v>
      </c>
      <c r="B1015" t="s">
        <v>37</v>
      </c>
      <c r="C1015" t="s">
        <v>43</v>
      </c>
      <c r="D1015" t="s">
        <v>11</v>
      </c>
      <c r="E1015" t="s">
        <v>3</v>
      </c>
      <c r="F1015" s="5">
        <v>44077</v>
      </c>
      <c r="G1015" s="5">
        <v>44097</v>
      </c>
      <c r="H1015" s="2">
        <v>1</v>
      </c>
      <c r="I1015" s="6"/>
      <c r="J1015" s="6"/>
      <c r="K1015" s="7">
        <v>0.25</v>
      </c>
      <c r="L1015" s="7">
        <v>70.212999999999994</v>
      </c>
      <c r="M1015" t="s">
        <v>17</v>
      </c>
      <c r="N1015" s="9"/>
      <c r="O1015" s="8">
        <f t="array" ref="O1015">INDEX(TechRate,MATCH(H1015,TechNum,0))</f>
        <v>80</v>
      </c>
      <c r="P1015" s="10">
        <f>WorkOrders278[[#This Row],[Techs]]*(WorkOrders278[[#This Row],[PartsCost]]*WorkOrders278[[#This Row],[LbrHrs]])</f>
        <v>17.553249999999998</v>
      </c>
      <c r="Q1015" s="10">
        <f t="shared" si="89"/>
        <v>17.553249999999998</v>
      </c>
      <c r="R1015" s="10">
        <f t="shared" si="90"/>
        <v>70.212999999999994</v>
      </c>
      <c r="S1015" s="10">
        <f t="shared" si="91"/>
        <v>87.766249999999985</v>
      </c>
      <c r="T1015" s="10">
        <f t="shared" si="92"/>
        <v>87.766249999999985</v>
      </c>
      <c r="U1015" s="8" t="str">
        <f t="shared" si="93"/>
        <v>Thu</v>
      </c>
      <c r="V1015" s="8" t="str">
        <f t="shared" si="94"/>
        <v>Wed</v>
      </c>
    </row>
    <row r="1016" spans="1:22" hidden="1" x14ac:dyDescent="0.25">
      <c r="A1016" t="s">
        <v>59</v>
      </c>
      <c r="B1016" t="s">
        <v>38</v>
      </c>
      <c r="C1016" t="s">
        <v>9</v>
      </c>
      <c r="D1016" t="s">
        <v>12</v>
      </c>
      <c r="F1016" s="5">
        <v>44078</v>
      </c>
      <c r="G1016" s="5">
        <v>44104</v>
      </c>
      <c r="H1016" s="2">
        <v>1</v>
      </c>
      <c r="I1016" s="6"/>
      <c r="J1016" s="6"/>
      <c r="K1016" s="7">
        <v>0.5</v>
      </c>
      <c r="L1016" s="7">
        <v>150</v>
      </c>
      <c r="M1016" t="s">
        <v>19</v>
      </c>
      <c r="N1016" s="9"/>
      <c r="O1016" s="8">
        <f t="array" ref="O1016">INDEX(TechRate,MATCH(H1016,TechNum,0))</f>
        <v>80</v>
      </c>
      <c r="P1016" s="10">
        <f>WorkOrders278[[#This Row],[Techs]]*(WorkOrders278[[#This Row],[PartsCost]]*WorkOrders278[[#This Row],[LbrHrs]])</f>
        <v>75</v>
      </c>
      <c r="Q1016" s="10">
        <f t="shared" si="89"/>
        <v>75</v>
      </c>
      <c r="R1016" s="10">
        <f t="shared" si="90"/>
        <v>150</v>
      </c>
      <c r="S1016" s="10">
        <f t="shared" si="91"/>
        <v>225</v>
      </c>
      <c r="T1016" s="10">
        <f t="shared" si="92"/>
        <v>225</v>
      </c>
      <c r="U1016" s="8" t="str">
        <f t="shared" si="93"/>
        <v>Fri</v>
      </c>
      <c r="V1016" s="8" t="str">
        <f t="shared" si="94"/>
        <v>Wed</v>
      </c>
    </row>
    <row r="1017" spans="1:22" hidden="1" x14ac:dyDescent="0.25">
      <c r="A1017" t="s">
        <v>60</v>
      </c>
      <c r="B1017" t="s">
        <v>34</v>
      </c>
      <c r="C1017" t="s">
        <v>6</v>
      </c>
      <c r="D1017" t="s">
        <v>12</v>
      </c>
      <c r="F1017" s="5">
        <v>44078</v>
      </c>
      <c r="G1017" s="5">
        <v>44128</v>
      </c>
      <c r="H1017" s="2">
        <v>2</v>
      </c>
      <c r="I1017" s="6"/>
      <c r="J1017" s="6"/>
      <c r="K1017" s="7">
        <v>1.5</v>
      </c>
      <c r="L1017" s="7">
        <v>275</v>
      </c>
      <c r="M1017" t="s">
        <v>18</v>
      </c>
      <c r="N1017" s="9"/>
      <c r="O1017" s="8">
        <f t="array" ref="O1017">INDEX(TechRate,MATCH(H1017,TechNum,0))</f>
        <v>140</v>
      </c>
      <c r="P1017" s="10">
        <f>WorkOrders278[[#This Row],[Techs]]*(WorkOrders278[[#This Row],[PartsCost]]*WorkOrders278[[#This Row],[LbrHrs]])</f>
        <v>825</v>
      </c>
      <c r="Q1017" s="10">
        <f t="shared" si="89"/>
        <v>825</v>
      </c>
      <c r="R1017" s="10">
        <f t="shared" si="90"/>
        <v>275</v>
      </c>
      <c r="S1017" s="10">
        <f t="shared" si="91"/>
        <v>1100</v>
      </c>
      <c r="T1017" s="10">
        <f t="shared" si="92"/>
        <v>1100</v>
      </c>
      <c r="U1017" s="8" t="str">
        <f t="shared" si="93"/>
        <v>Fri</v>
      </c>
      <c r="V1017" s="8" t="str">
        <f t="shared" si="94"/>
        <v>Sat</v>
      </c>
    </row>
    <row r="1018" spans="1:22" hidden="1" x14ac:dyDescent="0.25">
      <c r="A1018" t="s">
        <v>61</v>
      </c>
      <c r="B1018" t="s">
        <v>35</v>
      </c>
      <c r="C1018" t="s">
        <v>8</v>
      </c>
      <c r="D1018" t="s">
        <v>13</v>
      </c>
      <c r="E1018" t="s">
        <v>3</v>
      </c>
      <c r="F1018" s="5">
        <v>44078</v>
      </c>
      <c r="G1018" s="5">
        <v>44145</v>
      </c>
      <c r="H1018" s="2">
        <v>1</v>
      </c>
      <c r="I1018" s="6"/>
      <c r="J1018" s="6"/>
      <c r="K1018" s="7">
        <v>0.75</v>
      </c>
      <c r="L1018" s="7">
        <v>938</v>
      </c>
      <c r="M1018" t="s">
        <v>18</v>
      </c>
      <c r="N1018" s="9"/>
      <c r="O1018" s="8">
        <f t="array" ref="O1018">INDEX(TechRate,MATCH(H1018,TechNum,0))</f>
        <v>80</v>
      </c>
      <c r="P1018" s="10">
        <f>WorkOrders278[[#This Row],[Techs]]*(WorkOrders278[[#This Row],[PartsCost]]*WorkOrders278[[#This Row],[LbrHrs]])</f>
        <v>703.5</v>
      </c>
      <c r="Q1018" s="10">
        <f t="shared" si="89"/>
        <v>703.5</v>
      </c>
      <c r="R1018" s="10">
        <f t="shared" si="90"/>
        <v>938</v>
      </c>
      <c r="S1018" s="10">
        <f t="shared" si="91"/>
        <v>1641.5</v>
      </c>
      <c r="T1018" s="10">
        <f t="shared" si="92"/>
        <v>1641.5</v>
      </c>
      <c r="U1018" s="8" t="str">
        <f t="shared" si="93"/>
        <v>Fri</v>
      </c>
      <c r="V1018" s="8" t="str">
        <f t="shared" si="94"/>
        <v>Tue</v>
      </c>
    </row>
    <row r="1019" spans="1:22" hidden="1" x14ac:dyDescent="0.25">
      <c r="A1019" t="s">
        <v>62</v>
      </c>
      <c r="B1019" t="s">
        <v>37</v>
      </c>
      <c r="C1019" t="s">
        <v>43</v>
      </c>
      <c r="D1019" t="s">
        <v>12</v>
      </c>
      <c r="F1019" s="5">
        <v>44079</v>
      </c>
      <c r="G1019" s="5">
        <v>44095</v>
      </c>
      <c r="H1019" s="2">
        <v>1</v>
      </c>
      <c r="I1019" s="6"/>
      <c r="J1019" s="6"/>
      <c r="K1019" s="7">
        <v>0.25</v>
      </c>
      <c r="L1019" s="7">
        <v>61.249699999999997</v>
      </c>
      <c r="M1019" t="s">
        <v>17</v>
      </c>
      <c r="N1019" s="9"/>
      <c r="O1019" s="8">
        <f t="array" ref="O1019">INDEX(TechRate,MATCH(H1019,TechNum,0))</f>
        <v>80</v>
      </c>
      <c r="P1019" s="10">
        <f>WorkOrders278[[#This Row],[Techs]]*(WorkOrders278[[#This Row],[PartsCost]]*WorkOrders278[[#This Row],[LbrHrs]])</f>
        <v>15.312424999999999</v>
      </c>
      <c r="Q1019" s="10">
        <f t="shared" si="89"/>
        <v>15.312424999999999</v>
      </c>
      <c r="R1019" s="10">
        <f t="shared" si="90"/>
        <v>61.249699999999997</v>
      </c>
      <c r="S1019" s="10">
        <f t="shared" si="91"/>
        <v>76.562124999999995</v>
      </c>
      <c r="T1019" s="10">
        <f t="shared" si="92"/>
        <v>76.562124999999995</v>
      </c>
      <c r="U1019" s="8" t="str">
        <f t="shared" si="93"/>
        <v>Sat</v>
      </c>
      <c r="V1019" s="8" t="str">
        <f t="shared" si="94"/>
        <v>Mon</v>
      </c>
    </row>
    <row r="1020" spans="1:22" hidden="1" x14ac:dyDescent="0.25">
      <c r="A1020" t="s">
        <v>63</v>
      </c>
      <c r="B1020" t="s">
        <v>38</v>
      </c>
      <c r="C1020" t="s">
        <v>9</v>
      </c>
      <c r="D1020" t="s">
        <v>12</v>
      </c>
      <c r="F1020" s="5">
        <v>44079</v>
      </c>
      <c r="G1020" s="5">
        <v>44096</v>
      </c>
      <c r="H1020" s="2">
        <v>1</v>
      </c>
      <c r="I1020" s="6"/>
      <c r="J1020" s="6"/>
      <c r="K1020" s="7">
        <v>1.5</v>
      </c>
      <c r="L1020" s="7">
        <v>48</v>
      </c>
      <c r="M1020" t="s">
        <v>18</v>
      </c>
      <c r="N1020" s="9"/>
      <c r="O1020" s="8">
        <f t="array" ref="O1020">INDEX(TechRate,MATCH(H1020,TechNum,0))</f>
        <v>80</v>
      </c>
      <c r="P1020" s="10">
        <f>WorkOrders278[[#This Row],[Techs]]*(WorkOrders278[[#This Row],[PartsCost]]*WorkOrders278[[#This Row],[LbrHrs]])</f>
        <v>72</v>
      </c>
      <c r="Q1020" s="10">
        <f t="shared" si="89"/>
        <v>72</v>
      </c>
      <c r="R1020" s="10">
        <f t="shared" si="90"/>
        <v>48</v>
      </c>
      <c r="S1020" s="10">
        <f t="shared" si="91"/>
        <v>120</v>
      </c>
      <c r="T1020" s="10">
        <f t="shared" si="92"/>
        <v>120</v>
      </c>
      <c r="U1020" s="8" t="str">
        <f t="shared" si="93"/>
        <v>Sat</v>
      </c>
      <c r="V1020" s="8" t="str">
        <f t="shared" si="94"/>
        <v>Tue</v>
      </c>
    </row>
    <row r="1021" spans="1:22" hidden="1" x14ac:dyDescent="0.25">
      <c r="A1021" t="s">
        <v>64</v>
      </c>
      <c r="B1021" t="s">
        <v>35</v>
      </c>
      <c r="C1021" t="s">
        <v>9</v>
      </c>
      <c r="D1021" t="s">
        <v>12</v>
      </c>
      <c r="F1021" s="5">
        <v>44081</v>
      </c>
      <c r="G1021" s="5">
        <v>44084</v>
      </c>
      <c r="H1021" s="2">
        <v>2</v>
      </c>
      <c r="I1021" s="6"/>
      <c r="J1021" s="6"/>
      <c r="K1021" s="7">
        <v>0.25</v>
      </c>
      <c r="L1021" s="7">
        <v>204.28399999999999</v>
      </c>
      <c r="M1021" t="s">
        <v>17</v>
      </c>
      <c r="N1021" s="9"/>
      <c r="O1021" s="8">
        <f t="array" ref="O1021">INDEX(TechRate,MATCH(H1021,TechNum,0))</f>
        <v>140</v>
      </c>
      <c r="P1021" s="10">
        <f>WorkOrders278[[#This Row],[Techs]]*(WorkOrders278[[#This Row],[PartsCost]]*WorkOrders278[[#This Row],[LbrHrs]])</f>
        <v>102.142</v>
      </c>
      <c r="Q1021" s="10">
        <f t="shared" si="89"/>
        <v>102.142</v>
      </c>
      <c r="R1021" s="10">
        <f t="shared" si="90"/>
        <v>204.28399999999999</v>
      </c>
      <c r="S1021" s="10">
        <f t="shared" si="91"/>
        <v>306.42599999999999</v>
      </c>
      <c r="T1021" s="10">
        <f t="shared" si="92"/>
        <v>306.42599999999999</v>
      </c>
      <c r="U1021" s="8" t="str">
        <f t="shared" si="93"/>
        <v>Mon</v>
      </c>
      <c r="V1021" s="8" t="str">
        <f t="shared" si="94"/>
        <v>Thu</v>
      </c>
    </row>
    <row r="1022" spans="1:22" hidden="1" x14ac:dyDescent="0.25">
      <c r="A1022" t="s">
        <v>65</v>
      </c>
      <c r="B1022" t="s">
        <v>35</v>
      </c>
      <c r="C1022" t="s">
        <v>44</v>
      </c>
      <c r="D1022" t="s">
        <v>13</v>
      </c>
      <c r="F1022" s="5">
        <v>44082</v>
      </c>
      <c r="G1022" s="5">
        <v>44089</v>
      </c>
      <c r="H1022" s="2">
        <v>2</v>
      </c>
      <c r="I1022" s="6"/>
      <c r="J1022" s="6"/>
      <c r="K1022" s="7">
        <v>0.5</v>
      </c>
      <c r="L1022" s="7">
        <v>240</v>
      </c>
      <c r="M1022" t="s">
        <v>17</v>
      </c>
      <c r="N1022" s="9"/>
      <c r="O1022" s="8">
        <f t="array" ref="O1022">INDEX(TechRate,MATCH(H1022,TechNum,0))</f>
        <v>140</v>
      </c>
      <c r="P1022" s="10">
        <f>WorkOrders278[[#This Row],[Techs]]*(WorkOrders278[[#This Row],[PartsCost]]*WorkOrders278[[#This Row],[LbrHrs]])</f>
        <v>240</v>
      </c>
      <c r="Q1022" s="10">
        <f t="shared" si="89"/>
        <v>240</v>
      </c>
      <c r="R1022" s="10">
        <f t="shared" si="90"/>
        <v>240</v>
      </c>
      <c r="S1022" s="10">
        <f t="shared" si="91"/>
        <v>480</v>
      </c>
      <c r="T1022" s="10">
        <f t="shared" si="92"/>
        <v>480</v>
      </c>
      <c r="U1022" s="8" t="str">
        <f t="shared" si="93"/>
        <v>Tue</v>
      </c>
      <c r="V1022" s="8" t="str">
        <f t="shared" si="94"/>
        <v>Tue</v>
      </c>
    </row>
    <row r="1023" spans="1:22" hidden="1" x14ac:dyDescent="0.25">
      <c r="A1023" t="s">
        <v>66</v>
      </c>
      <c r="B1023" t="s">
        <v>39</v>
      </c>
      <c r="C1023" t="s">
        <v>8</v>
      </c>
      <c r="D1023" t="s">
        <v>13</v>
      </c>
      <c r="F1023" s="5">
        <v>44082</v>
      </c>
      <c r="G1023" s="5">
        <v>44091</v>
      </c>
      <c r="H1023" s="2">
        <v>2</v>
      </c>
      <c r="I1023" s="6"/>
      <c r="J1023" s="6"/>
      <c r="K1023" s="7">
        <v>0.5</v>
      </c>
      <c r="L1023" s="7">
        <v>120</v>
      </c>
      <c r="M1023" t="s">
        <v>17</v>
      </c>
      <c r="N1023" s="9"/>
      <c r="O1023" s="8">
        <f t="array" ref="O1023">INDEX(TechRate,MATCH(H1023,TechNum,0))</f>
        <v>140</v>
      </c>
      <c r="P1023" s="10">
        <f>WorkOrders278[[#This Row],[Techs]]*(WorkOrders278[[#This Row],[PartsCost]]*WorkOrders278[[#This Row],[LbrHrs]])</f>
        <v>120</v>
      </c>
      <c r="Q1023" s="10">
        <f t="shared" si="89"/>
        <v>120</v>
      </c>
      <c r="R1023" s="10">
        <f t="shared" si="90"/>
        <v>120</v>
      </c>
      <c r="S1023" s="10">
        <f t="shared" si="91"/>
        <v>240</v>
      </c>
      <c r="T1023" s="10">
        <f t="shared" si="92"/>
        <v>240</v>
      </c>
      <c r="U1023" s="8" t="str">
        <f t="shared" si="93"/>
        <v>Tue</v>
      </c>
      <c r="V1023" s="8" t="str">
        <f t="shared" si="94"/>
        <v>Thu</v>
      </c>
    </row>
    <row r="1024" spans="1:22" hidden="1" x14ac:dyDescent="0.25">
      <c r="A1024" t="s">
        <v>67</v>
      </c>
      <c r="B1024" t="s">
        <v>34</v>
      </c>
      <c r="C1024" t="s">
        <v>44</v>
      </c>
      <c r="D1024" t="s">
        <v>2</v>
      </c>
      <c r="F1024" s="5">
        <v>44082</v>
      </c>
      <c r="G1024" s="5">
        <v>44095</v>
      </c>
      <c r="H1024" s="2">
        <v>1</v>
      </c>
      <c r="I1024" s="6"/>
      <c r="J1024" s="6"/>
      <c r="K1024" s="7">
        <v>1.75</v>
      </c>
      <c r="L1024" s="7">
        <v>475</v>
      </c>
      <c r="M1024" t="s">
        <v>17</v>
      </c>
      <c r="N1024" s="9"/>
      <c r="O1024" s="8">
        <f t="array" ref="O1024">INDEX(TechRate,MATCH(H1024,TechNum,0))</f>
        <v>80</v>
      </c>
      <c r="P1024" s="10">
        <f>WorkOrders278[[#This Row],[Techs]]*(WorkOrders278[[#This Row],[PartsCost]]*WorkOrders278[[#This Row],[LbrHrs]])</f>
        <v>831.25</v>
      </c>
      <c r="Q1024" s="10">
        <f t="shared" si="89"/>
        <v>831.25</v>
      </c>
      <c r="R1024" s="10">
        <f t="shared" si="90"/>
        <v>475</v>
      </c>
      <c r="S1024" s="10">
        <f t="shared" si="91"/>
        <v>1306.25</v>
      </c>
      <c r="T1024" s="10">
        <f t="shared" si="92"/>
        <v>1306.25</v>
      </c>
      <c r="U1024" s="8" t="str">
        <f t="shared" si="93"/>
        <v>Tue</v>
      </c>
      <c r="V1024" s="8" t="str">
        <f t="shared" si="94"/>
        <v>Mon</v>
      </c>
    </row>
    <row r="1025" spans="1:22" hidden="1" x14ac:dyDescent="0.25">
      <c r="A1025" t="s">
        <v>68</v>
      </c>
      <c r="B1025" t="s">
        <v>39</v>
      </c>
      <c r="C1025" t="s">
        <v>8</v>
      </c>
      <c r="D1025" t="s">
        <v>13</v>
      </c>
      <c r="F1025" s="5">
        <v>44082</v>
      </c>
      <c r="G1025" s="5">
        <v>44096</v>
      </c>
      <c r="H1025" s="2">
        <v>1</v>
      </c>
      <c r="I1025" s="6"/>
      <c r="J1025" s="6"/>
      <c r="K1025" s="7">
        <v>1.75</v>
      </c>
      <c r="L1025" s="7">
        <v>341</v>
      </c>
      <c r="M1025" t="s">
        <v>18</v>
      </c>
      <c r="N1025" s="9"/>
      <c r="O1025" s="8">
        <f t="array" ref="O1025">INDEX(TechRate,MATCH(H1025,TechNum,0))</f>
        <v>80</v>
      </c>
      <c r="P1025" s="10">
        <f>WorkOrders278[[#This Row],[Techs]]*(WorkOrders278[[#This Row],[PartsCost]]*WorkOrders278[[#This Row],[LbrHrs]])</f>
        <v>596.75</v>
      </c>
      <c r="Q1025" s="10">
        <f t="shared" si="89"/>
        <v>596.75</v>
      </c>
      <c r="R1025" s="10">
        <f t="shared" si="90"/>
        <v>341</v>
      </c>
      <c r="S1025" s="10">
        <f t="shared" si="91"/>
        <v>937.75</v>
      </c>
      <c r="T1025" s="10">
        <f t="shared" si="92"/>
        <v>937.75</v>
      </c>
      <c r="U1025" s="8" t="str">
        <f t="shared" si="93"/>
        <v>Tue</v>
      </c>
      <c r="V1025" s="8" t="str">
        <f t="shared" si="94"/>
        <v>Tue</v>
      </c>
    </row>
    <row r="1026" spans="1:22" hidden="1" x14ac:dyDescent="0.25">
      <c r="A1026" t="s">
        <v>69</v>
      </c>
      <c r="B1026" t="s">
        <v>35</v>
      </c>
      <c r="C1026" t="s">
        <v>8</v>
      </c>
      <c r="D1026" t="s">
        <v>12</v>
      </c>
      <c r="F1026" s="5">
        <v>44082</v>
      </c>
      <c r="G1026" s="5">
        <v>44132</v>
      </c>
      <c r="H1026" s="2">
        <v>1</v>
      </c>
      <c r="I1026" s="6"/>
      <c r="J1026" s="6"/>
      <c r="K1026" s="7">
        <v>0.75</v>
      </c>
      <c r="L1026" s="7">
        <v>61.180599999999998</v>
      </c>
      <c r="M1026" t="s">
        <v>18</v>
      </c>
      <c r="N1026" s="9"/>
      <c r="O1026" s="8">
        <f t="array" ref="O1026">INDEX(TechRate,MATCH(H1026,TechNum,0))</f>
        <v>80</v>
      </c>
      <c r="P1026" s="10">
        <f>WorkOrders278[[#This Row],[Techs]]*(WorkOrders278[[#This Row],[PartsCost]]*WorkOrders278[[#This Row],[LbrHrs]])</f>
        <v>45.885449999999999</v>
      </c>
      <c r="Q1026" s="10">
        <f t="shared" si="89"/>
        <v>45.885449999999999</v>
      </c>
      <c r="R1026" s="10">
        <f t="shared" si="90"/>
        <v>61.180599999999998</v>
      </c>
      <c r="S1026" s="10">
        <f t="shared" si="91"/>
        <v>107.06604999999999</v>
      </c>
      <c r="T1026" s="10">
        <f t="shared" si="92"/>
        <v>107.06604999999999</v>
      </c>
      <c r="U1026" s="8" t="str">
        <f t="shared" si="93"/>
        <v>Tue</v>
      </c>
      <c r="V1026" s="8" t="str">
        <f t="shared" si="94"/>
        <v>Wed</v>
      </c>
    </row>
    <row r="1027" spans="1:22" hidden="1" x14ac:dyDescent="0.25">
      <c r="A1027" t="s">
        <v>70</v>
      </c>
      <c r="B1027" t="s">
        <v>37</v>
      </c>
      <c r="C1027" t="s">
        <v>43</v>
      </c>
      <c r="D1027" t="s">
        <v>13</v>
      </c>
      <c r="F1027" s="5">
        <v>44082</v>
      </c>
      <c r="G1027" s="5">
        <v>44152</v>
      </c>
      <c r="H1027" s="2">
        <v>1</v>
      </c>
      <c r="I1027" s="6"/>
      <c r="J1027" s="6"/>
      <c r="K1027" s="7">
        <v>0.5</v>
      </c>
      <c r="L1027" s="7">
        <v>155.3931</v>
      </c>
      <c r="M1027" t="s">
        <v>17</v>
      </c>
      <c r="N1027" s="9"/>
      <c r="O1027" s="8">
        <f t="array" ref="O1027">INDEX(TechRate,MATCH(H1027,TechNum,0))</f>
        <v>80</v>
      </c>
      <c r="P1027" s="10">
        <f>WorkOrders278[[#This Row],[Techs]]*(WorkOrders278[[#This Row],[PartsCost]]*WorkOrders278[[#This Row],[LbrHrs]])</f>
        <v>77.696550000000002</v>
      </c>
      <c r="Q1027" s="10">
        <f t="shared" si="89"/>
        <v>77.696550000000002</v>
      </c>
      <c r="R1027" s="10">
        <f t="shared" si="90"/>
        <v>155.3931</v>
      </c>
      <c r="S1027" s="10">
        <f t="shared" si="91"/>
        <v>233.08965000000001</v>
      </c>
      <c r="T1027" s="10">
        <f t="shared" si="92"/>
        <v>233.08965000000001</v>
      </c>
      <c r="U1027" s="8" t="str">
        <f t="shared" si="93"/>
        <v>Tue</v>
      </c>
      <c r="V1027" s="8" t="str">
        <f t="shared" si="94"/>
        <v>Tue</v>
      </c>
    </row>
    <row r="1028" spans="1:22" hidden="1" x14ac:dyDescent="0.25">
      <c r="A1028" t="s">
        <v>71</v>
      </c>
      <c r="B1028" t="s">
        <v>35</v>
      </c>
      <c r="C1028" t="s">
        <v>6</v>
      </c>
      <c r="D1028" t="s">
        <v>13</v>
      </c>
      <c r="E1028" t="s">
        <v>3</v>
      </c>
      <c r="F1028" s="5">
        <v>44083</v>
      </c>
      <c r="G1028" s="5">
        <v>44098</v>
      </c>
      <c r="H1028" s="2">
        <v>2</v>
      </c>
      <c r="I1028" s="6"/>
      <c r="J1028" s="6"/>
      <c r="K1028" s="7">
        <v>0.5</v>
      </c>
      <c r="L1028" s="7">
        <v>204.28399999999999</v>
      </c>
      <c r="M1028" t="s">
        <v>18</v>
      </c>
      <c r="N1028" s="9"/>
      <c r="O1028" s="8">
        <f t="array" ref="O1028">INDEX(TechRate,MATCH(H1028,TechNum,0))</f>
        <v>140</v>
      </c>
      <c r="P1028" s="10">
        <f>WorkOrders278[[#This Row],[Techs]]*(WorkOrders278[[#This Row],[PartsCost]]*WorkOrders278[[#This Row],[LbrHrs]])</f>
        <v>204.28399999999999</v>
      </c>
      <c r="Q1028" s="10">
        <f t="shared" si="89"/>
        <v>204.28399999999999</v>
      </c>
      <c r="R1028" s="10">
        <f t="shared" si="90"/>
        <v>204.28399999999999</v>
      </c>
      <c r="S1028" s="10">
        <f t="shared" si="91"/>
        <v>408.56799999999998</v>
      </c>
      <c r="T1028" s="10">
        <f t="shared" si="92"/>
        <v>408.56799999999998</v>
      </c>
      <c r="U1028" s="8" t="str">
        <f t="shared" si="93"/>
        <v>Wed</v>
      </c>
      <c r="V1028" s="8" t="str">
        <f t="shared" si="94"/>
        <v>Thu</v>
      </c>
    </row>
    <row r="1029" spans="1:22" hidden="1" x14ac:dyDescent="0.25">
      <c r="A1029" t="s">
        <v>72</v>
      </c>
      <c r="B1029" t="s">
        <v>37</v>
      </c>
      <c r="C1029" t="s">
        <v>43</v>
      </c>
      <c r="D1029" t="s">
        <v>12</v>
      </c>
      <c r="F1029" s="5">
        <v>44083</v>
      </c>
      <c r="G1029" s="5">
        <v>44103</v>
      </c>
      <c r="H1029" s="2">
        <v>1</v>
      </c>
      <c r="I1029" s="6"/>
      <c r="J1029" s="6"/>
      <c r="K1029" s="7">
        <v>0.5</v>
      </c>
      <c r="L1029" s="7">
        <v>37.917400000000001</v>
      </c>
      <c r="M1029" t="s">
        <v>17</v>
      </c>
      <c r="N1029" s="9"/>
      <c r="O1029" s="8">
        <f t="array" ref="O1029">INDEX(TechRate,MATCH(H1029,TechNum,0))</f>
        <v>80</v>
      </c>
      <c r="P1029" s="10">
        <f>WorkOrders278[[#This Row],[Techs]]*(WorkOrders278[[#This Row],[PartsCost]]*WorkOrders278[[#This Row],[LbrHrs]])</f>
        <v>18.9587</v>
      </c>
      <c r="Q1029" s="10">
        <f t="shared" si="89"/>
        <v>18.9587</v>
      </c>
      <c r="R1029" s="10">
        <f t="shared" si="90"/>
        <v>37.917400000000001</v>
      </c>
      <c r="S1029" s="10">
        <f t="shared" si="91"/>
        <v>56.876100000000001</v>
      </c>
      <c r="T1029" s="10">
        <f t="shared" si="92"/>
        <v>56.876100000000001</v>
      </c>
      <c r="U1029" s="8" t="str">
        <f t="shared" si="93"/>
        <v>Wed</v>
      </c>
      <c r="V1029" s="8" t="str">
        <f t="shared" si="94"/>
        <v>Tue</v>
      </c>
    </row>
    <row r="1030" spans="1:22" hidden="1" x14ac:dyDescent="0.25">
      <c r="A1030" t="s">
        <v>73</v>
      </c>
      <c r="B1030" t="s">
        <v>35</v>
      </c>
      <c r="C1030" t="s">
        <v>9</v>
      </c>
      <c r="D1030" t="s">
        <v>11</v>
      </c>
      <c r="E1030" t="s">
        <v>3</v>
      </c>
      <c r="F1030" s="5">
        <v>44083</v>
      </c>
      <c r="G1030" s="5">
        <v>44103</v>
      </c>
      <c r="H1030" s="2">
        <v>1</v>
      </c>
      <c r="I1030" s="6"/>
      <c r="J1030" s="6"/>
      <c r="K1030" s="7">
        <v>0.25</v>
      </c>
      <c r="L1030" s="7">
        <v>88.405699999999996</v>
      </c>
      <c r="M1030" t="s">
        <v>17</v>
      </c>
      <c r="N1030" s="9"/>
      <c r="O1030" s="8">
        <f t="array" ref="O1030">INDEX(TechRate,MATCH(H1030,TechNum,0))</f>
        <v>80</v>
      </c>
      <c r="P1030" s="10">
        <f>WorkOrders278[[#This Row],[Techs]]*(WorkOrders278[[#This Row],[PartsCost]]*WorkOrders278[[#This Row],[LbrHrs]])</f>
        <v>22.101424999999999</v>
      </c>
      <c r="Q1030" s="10">
        <f t="shared" si="89"/>
        <v>22.101424999999999</v>
      </c>
      <c r="R1030" s="10">
        <f t="shared" si="90"/>
        <v>88.405699999999996</v>
      </c>
      <c r="S1030" s="10">
        <f t="shared" si="91"/>
        <v>110.507125</v>
      </c>
      <c r="T1030" s="10">
        <f t="shared" si="92"/>
        <v>110.507125</v>
      </c>
      <c r="U1030" s="8" t="str">
        <f t="shared" si="93"/>
        <v>Wed</v>
      </c>
      <c r="V1030" s="8" t="str">
        <f t="shared" si="94"/>
        <v>Tue</v>
      </c>
    </row>
    <row r="1031" spans="1:22" hidden="1" x14ac:dyDescent="0.25">
      <c r="A1031" t="s">
        <v>74</v>
      </c>
      <c r="B1031" t="s">
        <v>37</v>
      </c>
      <c r="C1031" t="s">
        <v>43</v>
      </c>
      <c r="D1031" t="s">
        <v>11</v>
      </c>
      <c r="F1031" s="5">
        <v>44083</v>
      </c>
      <c r="G1031" s="5">
        <v>44103</v>
      </c>
      <c r="H1031" s="2">
        <v>1</v>
      </c>
      <c r="I1031" s="6"/>
      <c r="J1031" s="6"/>
      <c r="K1031" s="7">
        <v>0.25</v>
      </c>
      <c r="L1031" s="7">
        <v>202.28639999999999</v>
      </c>
      <c r="M1031" t="s">
        <v>17</v>
      </c>
      <c r="N1031" s="9"/>
      <c r="O1031" s="8">
        <f t="array" ref="O1031">INDEX(TechRate,MATCH(H1031,TechNum,0))</f>
        <v>80</v>
      </c>
      <c r="P1031" s="10">
        <f>WorkOrders278[[#This Row],[Techs]]*(WorkOrders278[[#This Row],[PartsCost]]*WorkOrders278[[#This Row],[LbrHrs]])</f>
        <v>50.571599999999997</v>
      </c>
      <c r="Q1031" s="10">
        <f t="shared" si="89"/>
        <v>50.571599999999997</v>
      </c>
      <c r="R1031" s="10">
        <f t="shared" si="90"/>
        <v>202.28639999999999</v>
      </c>
      <c r="S1031" s="10">
        <f t="shared" si="91"/>
        <v>252.85799999999998</v>
      </c>
      <c r="T1031" s="10">
        <f t="shared" si="92"/>
        <v>252.85799999999998</v>
      </c>
      <c r="U1031" s="8" t="str">
        <f t="shared" si="93"/>
        <v>Wed</v>
      </c>
      <c r="V1031" s="8" t="str">
        <f t="shared" si="94"/>
        <v>Tue</v>
      </c>
    </row>
    <row r="1032" spans="1:22" hidden="1" x14ac:dyDescent="0.25">
      <c r="A1032" t="s">
        <v>75</v>
      </c>
      <c r="B1032" t="s">
        <v>38</v>
      </c>
      <c r="C1032" t="s">
        <v>8</v>
      </c>
      <c r="D1032" t="s">
        <v>12</v>
      </c>
      <c r="F1032" s="5">
        <v>44084</v>
      </c>
      <c r="G1032" s="5">
        <v>44102</v>
      </c>
      <c r="H1032" s="2">
        <v>1</v>
      </c>
      <c r="I1032" s="6"/>
      <c r="J1032" s="6"/>
      <c r="K1032" s="7">
        <v>0.5</v>
      </c>
      <c r="L1032" s="7">
        <v>120</v>
      </c>
      <c r="M1032" t="s">
        <v>19</v>
      </c>
      <c r="N1032" s="9"/>
      <c r="O1032" s="8">
        <f t="array" ref="O1032">INDEX(TechRate,MATCH(H1032,TechNum,0))</f>
        <v>80</v>
      </c>
      <c r="P1032" s="10">
        <f>WorkOrders278[[#This Row],[Techs]]*(WorkOrders278[[#This Row],[PartsCost]]*WorkOrders278[[#This Row],[LbrHrs]])</f>
        <v>60</v>
      </c>
      <c r="Q1032" s="10">
        <f t="shared" si="89"/>
        <v>60</v>
      </c>
      <c r="R1032" s="10">
        <f t="shared" si="90"/>
        <v>120</v>
      </c>
      <c r="S1032" s="10">
        <f t="shared" si="91"/>
        <v>180</v>
      </c>
      <c r="T1032" s="10">
        <f t="shared" si="92"/>
        <v>180</v>
      </c>
      <c r="U1032" s="8" t="str">
        <f t="shared" si="93"/>
        <v>Thu</v>
      </c>
      <c r="V1032" s="8" t="str">
        <f t="shared" si="94"/>
        <v>Mon</v>
      </c>
    </row>
    <row r="1033" spans="1:22" hidden="1" x14ac:dyDescent="0.25">
      <c r="A1033" t="s">
        <v>76</v>
      </c>
      <c r="B1033" t="s">
        <v>35</v>
      </c>
      <c r="C1033" t="s">
        <v>6</v>
      </c>
      <c r="D1033" t="s">
        <v>11</v>
      </c>
      <c r="F1033" s="5">
        <v>44085</v>
      </c>
      <c r="G1033" s="5">
        <v>44088</v>
      </c>
      <c r="H1033" s="2">
        <v>1</v>
      </c>
      <c r="I1033" s="6"/>
      <c r="J1033" s="6"/>
      <c r="K1033" s="7">
        <v>0.25</v>
      </c>
      <c r="L1033" s="7">
        <v>120</v>
      </c>
      <c r="M1033" t="s">
        <v>17</v>
      </c>
      <c r="N1033" s="9"/>
      <c r="O1033" s="8">
        <f t="array" ref="O1033">INDEX(TechRate,MATCH(H1033,TechNum,0))</f>
        <v>80</v>
      </c>
      <c r="P1033" s="10">
        <f>WorkOrders278[[#This Row],[Techs]]*(WorkOrders278[[#This Row],[PartsCost]]*WorkOrders278[[#This Row],[LbrHrs]])</f>
        <v>30</v>
      </c>
      <c r="Q1033" s="10">
        <f t="shared" si="89"/>
        <v>30</v>
      </c>
      <c r="R1033" s="10">
        <f t="shared" si="90"/>
        <v>120</v>
      </c>
      <c r="S1033" s="10">
        <f t="shared" si="91"/>
        <v>150</v>
      </c>
      <c r="T1033" s="10">
        <f t="shared" si="92"/>
        <v>150</v>
      </c>
      <c r="U1033" s="8" t="str">
        <f t="shared" si="93"/>
        <v>Fri</v>
      </c>
      <c r="V1033" s="8" t="str">
        <f t="shared" si="94"/>
        <v>Mon</v>
      </c>
    </row>
    <row r="1034" spans="1:22" hidden="1" x14ac:dyDescent="0.25">
      <c r="A1034" t="s">
        <v>77</v>
      </c>
      <c r="B1034" t="s">
        <v>42</v>
      </c>
      <c r="C1034" t="s">
        <v>44</v>
      </c>
      <c r="D1034" t="s">
        <v>13</v>
      </c>
      <c r="F1034" s="5">
        <v>44085</v>
      </c>
      <c r="G1034" s="5">
        <v>44089</v>
      </c>
      <c r="H1034" s="2">
        <v>2</v>
      </c>
      <c r="I1034" s="6"/>
      <c r="J1034" s="6"/>
      <c r="K1034" s="7">
        <v>0.5</v>
      </c>
      <c r="L1034" s="7">
        <v>535.62480000000005</v>
      </c>
      <c r="M1034" t="s">
        <v>18</v>
      </c>
      <c r="N1034" s="9"/>
      <c r="O1034" s="8">
        <f t="array" ref="O1034">INDEX(TechRate,MATCH(H1034,TechNum,0))</f>
        <v>140</v>
      </c>
      <c r="P1034" s="10">
        <f>WorkOrders278[[#This Row],[Techs]]*(WorkOrders278[[#This Row],[PartsCost]]*WorkOrders278[[#This Row],[LbrHrs]])</f>
        <v>535.62480000000005</v>
      </c>
      <c r="Q1034" s="10">
        <f t="shared" si="89"/>
        <v>535.62480000000005</v>
      </c>
      <c r="R1034" s="10">
        <f t="shared" si="90"/>
        <v>535.62480000000005</v>
      </c>
      <c r="S1034" s="10">
        <f t="shared" si="91"/>
        <v>1071.2496000000001</v>
      </c>
      <c r="T1034" s="10">
        <f t="shared" si="92"/>
        <v>1071.2496000000001</v>
      </c>
      <c r="U1034" s="8" t="str">
        <f t="shared" si="93"/>
        <v>Fri</v>
      </c>
      <c r="V1034" s="8" t="str">
        <f t="shared" si="94"/>
        <v>Tue</v>
      </c>
    </row>
    <row r="1035" spans="1:22" hidden="1" x14ac:dyDescent="0.25">
      <c r="A1035" t="s">
        <v>78</v>
      </c>
      <c r="B1035" t="s">
        <v>35</v>
      </c>
      <c r="C1035" t="s">
        <v>8</v>
      </c>
      <c r="D1035" t="s">
        <v>12</v>
      </c>
      <c r="F1035" s="5">
        <v>44085</v>
      </c>
      <c r="G1035" s="5">
        <v>44097</v>
      </c>
      <c r="H1035" s="2">
        <v>2</v>
      </c>
      <c r="I1035" s="6"/>
      <c r="J1035" s="6"/>
      <c r="K1035" s="7">
        <v>0.25</v>
      </c>
      <c r="L1035" s="7">
        <v>24.63</v>
      </c>
      <c r="M1035" t="s">
        <v>17</v>
      </c>
      <c r="N1035" s="9"/>
      <c r="O1035" s="8">
        <f t="array" ref="O1035">INDEX(TechRate,MATCH(H1035,TechNum,0))</f>
        <v>140</v>
      </c>
      <c r="P1035" s="10">
        <f>WorkOrders278[[#This Row],[Techs]]*(WorkOrders278[[#This Row],[PartsCost]]*WorkOrders278[[#This Row],[LbrHrs]])</f>
        <v>12.315</v>
      </c>
      <c r="Q1035" s="10">
        <f t="shared" si="89"/>
        <v>12.315</v>
      </c>
      <c r="R1035" s="10">
        <f t="shared" si="90"/>
        <v>24.63</v>
      </c>
      <c r="S1035" s="10">
        <f t="shared" si="91"/>
        <v>36.945</v>
      </c>
      <c r="T1035" s="10">
        <f t="shared" si="92"/>
        <v>36.945</v>
      </c>
      <c r="U1035" s="8" t="str">
        <f t="shared" si="93"/>
        <v>Fri</v>
      </c>
      <c r="V1035" s="8" t="str">
        <f t="shared" si="94"/>
        <v>Wed</v>
      </c>
    </row>
    <row r="1036" spans="1:22" hidden="1" x14ac:dyDescent="0.25">
      <c r="A1036" t="s">
        <v>79</v>
      </c>
      <c r="B1036" t="s">
        <v>35</v>
      </c>
      <c r="C1036" t="s">
        <v>8</v>
      </c>
      <c r="D1036" t="s">
        <v>13</v>
      </c>
      <c r="F1036" s="5">
        <v>44085</v>
      </c>
      <c r="G1036" s="5">
        <v>44100</v>
      </c>
      <c r="H1036" s="2">
        <v>2</v>
      </c>
      <c r="I1036" s="6"/>
      <c r="J1036" s="6"/>
      <c r="K1036" s="7">
        <v>0.5</v>
      </c>
      <c r="L1036" s="7">
        <v>43.26</v>
      </c>
      <c r="M1036" t="s">
        <v>17</v>
      </c>
      <c r="N1036" s="9"/>
      <c r="O1036" s="8">
        <f t="array" ref="O1036">INDEX(TechRate,MATCH(H1036,TechNum,0))</f>
        <v>140</v>
      </c>
      <c r="P1036" s="10">
        <f>WorkOrders278[[#This Row],[Techs]]*(WorkOrders278[[#This Row],[PartsCost]]*WorkOrders278[[#This Row],[LbrHrs]])</f>
        <v>43.26</v>
      </c>
      <c r="Q1036" s="10">
        <f t="shared" si="89"/>
        <v>43.26</v>
      </c>
      <c r="R1036" s="10">
        <f t="shared" si="90"/>
        <v>43.26</v>
      </c>
      <c r="S1036" s="10">
        <f t="shared" si="91"/>
        <v>86.52</v>
      </c>
      <c r="T1036" s="10">
        <f t="shared" si="92"/>
        <v>86.52</v>
      </c>
      <c r="U1036" s="8" t="str">
        <f t="shared" si="93"/>
        <v>Fri</v>
      </c>
      <c r="V1036" s="8" t="str">
        <f t="shared" si="94"/>
        <v>Sat</v>
      </c>
    </row>
    <row r="1037" spans="1:22" hidden="1" x14ac:dyDescent="0.25">
      <c r="A1037" t="s">
        <v>80</v>
      </c>
      <c r="B1037" t="s">
        <v>38</v>
      </c>
      <c r="C1037" t="s">
        <v>8</v>
      </c>
      <c r="D1037" t="s">
        <v>12</v>
      </c>
      <c r="F1037" s="5">
        <v>44085</v>
      </c>
      <c r="G1037" s="5">
        <v>44110</v>
      </c>
      <c r="H1037" s="2">
        <v>1</v>
      </c>
      <c r="I1037" s="6"/>
      <c r="J1037" s="6"/>
      <c r="K1037" s="7">
        <v>0.25</v>
      </c>
      <c r="L1037" s="7">
        <v>21.33</v>
      </c>
      <c r="M1037" t="s">
        <v>17</v>
      </c>
      <c r="N1037" s="9"/>
      <c r="O1037" s="8">
        <f t="array" ref="O1037">INDEX(TechRate,MATCH(H1037,TechNum,0))</f>
        <v>80</v>
      </c>
      <c r="P1037" s="10">
        <f>WorkOrders278[[#This Row],[Techs]]*(WorkOrders278[[#This Row],[PartsCost]]*WorkOrders278[[#This Row],[LbrHrs]])</f>
        <v>5.3324999999999996</v>
      </c>
      <c r="Q1037" s="10">
        <f t="shared" si="89"/>
        <v>5.3324999999999996</v>
      </c>
      <c r="R1037" s="10">
        <f t="shared" si="90"/>
        <v>21.33</v>
      </c>
      <c r="S1037" s="10">
        <f t="shared" si="91"/>
        <v>26.662499999999998</v>
      </c>
      <c r="T1037" s="10">
        <f t="shared" si="92"/>
        <v>26.662499999999998</v>
      </c>
      <c r="U1037" s="8" t="str">
        <f t="shared" si="93"/>
        <v>Fri</v>
      </c>
      <c r="V1037" s="8" t="str">
        <f t="shared" si="94"/>
        <v>Tue</v>
      </c>
    </row>
    <row r="1038" spans="1:22" hidden="1" x14ac:dyDescent="0.25">
      <c r="A1038" t="s">
        <v>81</v>
      </c>
      <c r="B1038" t="s">
        <v>38</v>
      </c>
      <c r="C1038" t="s">
        <v>8</v>
      </c>
      <c r="D1038" t="s">
        <v>13</v>
      </c>
      <c r="F1038" s="5">
        <v>44086</v>
      </c>
      <c r="G1038" s="5">
        <v>44102</v>
      </c>
      <c r="H1038" s="2">
        <v>1</v>
      </c>
      <c r="I1038" s="6"/>
      <c r="J1038" s="6"/>
      <c r="K1038" s="7">
        <v>1</v>
      </c>
      <c r="L1038" s="7">
        <v>0.45600000000000002</v>
      </c>
      <c r="M1038" t="s">
        <v>18</v>
      </c>
      <c r="N1038" s="9"/>
      <c r="O1038" s="8">
        <f t="array" ref="O1038">INDEX(TechRate,MATCH(H1038,TechNum,0))</f>
        <v>80</v>
      </c>
      <c r="P1038" s="10">
        <f>WorkOrders278[[#This Row],[Techs]]*(WorkOrders278[[#This Row],[PartsCost]]*WorkOrders278[[#This Row],[LbrHrs]])</f>
        <v>0.45600000000000002</v>
      </c>
      <c r="Q1038" s="10">
        <f t="shared" si="89"/>
        <v>0.45600000000000002</v>
      </c>
      <c r="R1038" s="10">
        <f t="shared" si="90"/>
        <v>0.45600000000000002</v>
      </c>
      <c r="S1038" s="10">
        <f t="shared" si="91"/>
        <v>0.91200000000000003</v>
      </c>
      <c r="T1038" s="10">
        <f t="shared" si="92"/>
        <v>0.91200000000000003</v>
      </c>
      <c r="U1038" s="8" t="str">
        <f t="shared" si="93"/>
        <v>Sat</v>
      </c>
      <c r="V1038" s="8" t="str">
        <f t="shared" si="94"/>
        <v>Mon</v>
      </c>
    </row>
    <row r="1039" spans="1:22" hidden="1" x14ac:dyDescent="0.25">
      <c r="A1039" t="s">
        <v>82</v>
      </c>
      <c r="B1039" t="s">
        <v>35</v>
      </c>
      <c r="C1039" t="s">
        <v>8</v>
      </c>
      <c r="D1039" t="s">
        <v>12</v>
      </c>
      <c r="F1039" s="5">
        <v>44088</v>
      </c>
      <c r="G1039" s="5">
        <v>44098</v>
      </c>
      <c r="H1039" s="2">
        <v>2</v>
      </c>
      <c r="I1039" s="6"/>
      <c r="J1039" s="6"/>
      <c r="K1039" s="7">
        <v>0.25</v>
      </c>
      <c r="L1039" s="7">
        <v>126.62309999999999</v>
      </c>
      <c r="M1039" t="s">
        <v>18</v>
      </c>
      <c r="N1039" s="9"/>
      <c r="O1039" s="8">
        <f t="array" ref="O1039">INDEX(TechRate,MATCH(H1039,TechNum,0))</f>
        <v>140</v>
      </c>
      <c r="P1039" s="10">
        <f>WorkOrders278[[#This Row],[Techs]]*(WorkOrders278[[#This Row],[PartsCost]]*WorkOrders278[[#This Row],[LbrHrs]])</f>
        <v>63.311549999999997</v>
      </c>
      <c r="Q1039" s="10">
        <f t="shared" si="89"/>
        <v>63.311549999999997</v>
      </c>
      <c r="R1039" s="10">
        <f t="shared" si="90"/>
        <v>126.62309999999999</v>
      </c>
      <c r="S1039" s="10">
        <f t="shared" si="91"/>
        <v>189.93464999999998</v>
      </c>
      <c r="T1039" s="10">
        <f t="shared" si="92"/>
        <v>189.93464999999998</v>
      </c>
      <c r="U1039" s="8" t="str">
        <f t="shared" si="93"/>
        <v>Mon</v>
      </c>
      <c r="V1039" s="8" t="str">
        <f t="shared" si="94"/>
        <v>Thu</v>
      </c>
    </row>
    <row r="1040" spans="1:22" hidden="1" x14ac:dyDescent="0.25">
      <c r="A1040" t="s">
        <v>83</v>
      </c>
      <c r="B1040" t="s">
        <v>38</v>
      </c>
      <c r="C1040" t="s">
        <v>8</v>
      </c>
      <c r="D1040" t="s">
        <v>13</v>
      </c>
      <c r="F1040" s="5">
        <v>44088</v>
      </c>
      <c r="G1040" s="5">
        <v>44102</v>
      </c>
      <c r="H1040" s="2">
        <v>1</v>
      </c>
      <c r="I1040" s="6"/>
      <c r="J1040" s="6"/>
      <c r="K1040" s="7">
        <v>1.5</v>
      </c>
      <c r="L1040" s="7">
        <v>251.0033</v>
      </c>
      <c r="M1040" t="s">
        <v>17</v>
      </c>
      <c r="N1040" s="9"/>
      <c r="O1040" s="8">
        <f t="array" ref="O1040">INDEX(TechRate,MATCH(H1040,TechNum,0))</f>
        <v>80</v>
      </c>
      <c r="P1040" s="10">
        <f>WorkOrders278[[#This Row],[Techs]]*(WorkOrders278[[#This Row],[PartsCost]]*WorkOrders278[[#This Row],[LbrHrs]])</f>
        <v>376.50495000000001</v>
      </c>
      <c r="Q1040" s="10">
        <f t="shared" si="89"/>
        <v>376.50495000000001</v>
      </c>
      <c r="R1040" s="10">
        <f t="shared" si="90"/>
        <v>251.0033</v>
      </c>
      <c r="S1040" s="10">
        <f t="shared" si="91"/>
        <v>627.50824999999998</v>
      </c>
      <c r="T1040" s="10">
        <f t="shared" si="92"/>
        <v>627.50824999999998</v>
      </c>
      <c r="U1040" s="8" t="str">
        <f t="shared" si="93"/>
        <v>Mon</v>
      </c>
      <c r="V1040" s="8" t="str">
        <f t="shared" si="94"/>
        <v>Mon</v>
      </c>
    </row>
    <row r="1041" spans="1:22" hidden="1" x14ac:dyDescent="0.25">
      <c r="A1041" t="s">
        <v>84</v>
      </c>
      <c r="B1041" t="s">
        <v>39</v>
      </c>
      <c r="C1041" t="s">
        <v>44</v>
      </c>
      <c r="D1041" t="s">
        <v>12</v>
      </c>
      <c r="E1041" t="s">
        <v>3</v>
      </c>
      <c r="F1041" s="5">
        <v>44088</v>
      </c>
      <c r="G1041" s="5">
        <v>44109</v>
      </c>
      <c r="H1041" s="2">
        <v>1</v>
      </c>
      <c r="I1041" s="6"/>
      <c r="J1041" s="6"/>
      <c r="K1041" s="7">
        <v>0.5</v>
      </c>
      <c r="L1041" s="7">
        <v>395.28</v>
      </c>
      <c r="M1041" t="s">
        <v>19</v>
      </c>
      <c r="N1041" s="9"/>
      <c r="O1041" s="8">
        <f t="array" ref="O1041">INDEX(TechRate,MATCH(H1041,TechNum,0))</f>
        <v>80</v>
      </c>
      <c r="P1041" s="10">
        <f>WorkOrders278[[#This Row],[Techs]]*(WorkOrders278[[#This Row],[PartsCost]]*WorkOrders278[[#This Row],[LbrHrs]])</f>
        <v>197.64</v>
      </c>
      <c r="Q1041" s="10">
        <f t="shared" si="89"/>
        <v>197.64</v>
      </c>
      <c r="R1041" s="10">
        <f t="shared" si="90"/>
        <v>395.28</v>
      </c>
      <c r="S1041" s="10">
        <f t="shared" si="91"/>
        <v>592.91999999999996</v>
      </c>
      <c r="T1041" s="10">
        <f t="shared" si="92"/>
        <v>592.91999999999996</v>
      </c>
      <c r="U1041" s="8" t="str">
        <f t="shared" si="93"/>
        <v>Mon</v>
      </c>
      <c r="V1041" s="8" t="str">
        <f t="shared" si="94"/>
        <v>Mon</v>
      </c>
    </row>
    <row r="1042" spans="1:22" hidden="1" x14ac:dyDescent="0.25">
      <c r="A1042" t="s">
        <v>85</v>
      </c>
      <c r="B1042" t="s">
        <v>35</v>
      </c>
      <c r="C1042" t="s">
        <v>6</v>
      </c>
      <c r="D1042" t="s">
        <v>11</v>
      </c>
      <c r="E1042" t="s">
        <v>3</v>
      </c>
      <c r="F1042" s="5">
        <v>44088</v>
      </c>
      <c r="G1042" s="5">
        <v>44111</v>
      </c>
      <c r="H1042" s="2">
        <v>1</v>
      </c>
      <c r="I1042" s="6"/>
      <c r="J1042" s="6"/>
      <c r="K1042" s="7">
        <v>0.25</v>
      </c>
      <c r="L1042" s="7">
        <v>36</v>
      </c>
      <c r="M1042" t="s">
        <v>17</v>
      </c>
      <c r="N1042" s="9"/>
      <c r="O1042" s="8">
        <f t="array" ref="O1042">INDEX(TechRate,MATCH(H1042,TechNum,0))</f>
        <v>80</v>
      </c>
      <c r="P1042" s="10">
        <f>WorkOrders278[[#This Row],[Techs]]*(WorkOrders278[[#This Row],[PartsCost]]*WorkOrders278[[#This Row],[LbrHrs]])</f>
        <v>9</v>
      </c>
      <c r="Q1042" s="10">
        <f t="shared" si="89"/>
        <v>9</v>
      </c>
      <c r="R1042" s="10">
        <f t="shared" si="90"/>
        <v>36</v>
      </c>
      <c r="S1042" s="10">
        <f t="shared" si="91"/>
        <v>45</v>
      </c>
      <c r="T1042" s="10">
        <f t="shared" si="92"/>
        <v>45</v>
      </c>
      <c r="U1042" s="8" t="str">
        <f t="shared" si="93"/>
        <v>Mon</v>
      </c>
      <c r="V1042" s="8" t="str">
        <f t="shared" si="94"/>
        <v>Wed</v>
      </c>
    </row>
    <row r="1043" spans="1:22" hidden="1" x14ac:dyDescent="0.25">
      <c r="A1043" t="s">
        <v>86</v>
      </c>
      <c r="B1043" t="s">
        <v>37</v>
      </c>
      <c r="C1043" t="s">
        <v>43</v>
      </c>
      <c r="D1043" t="s">
        <v>12</v>
      </c>
      <c r="F1043" s="5">
        <v>44088</v>
      </c>
      <c r="G1043" s="5">
        <v>44158</v>
      </c>
      <c r="H1043" s="2">
        <v>1</v>
      </c>
      <c r="I1043" s="6"/>
      <c r="J1043" s="6"/>
      <c r="K1043" s="7">
        <v>1.75</v>
      </c>
      <c r="L1043" s="7">
        <v>510.67529999999999</v>
      </c>
      <c r="M1043" t="s">
        <v>19</v>
      </c>
      <c r="N1043" s="9"/>
      <c r="O1043" s="8">
        <f t="array" ref="O1043">INDEX(TechRate,MATCH(H1043,TechNum,0))</f>
        <v>80</v>
      </c>
      <c r="P1043" s="10">
        <f>WorkOrders278[[#This Row],[Techs]]*(WorkOrders278[[#This Row],[PartsCost]]*WorkOrders278[[#This Row],[LbrHrs]])</f>
        <v>893.68177500000002</v>
      </c>
      <c r="Q1043" s="10">
        <f t="shared" si="89"/>
        <v>893.68177500000002</v>
      </c>
      <c r="R1043" s="10">
        <f t="shared" si="90"/>
        <v>510.67529999999999</v>
      </c>
      <c r="S1043" s="10">
        <f t="shared" si="91"/>
        <v>1404.3570749999999</v>
      </c>
      <c r="T1043" s="10">
        <f t="shared" si="92"/>
        <v>1404.3570749999999</v>
      </c>
      <c r="U1043" s="8" t="str">
        <f t="shared" si="93"/>
        <v>Mon</v>
      </c>
      <c r="V1043" s="8" t="str">
        <f t="shared" si="94"/>
        <v>Mon</v>
      </c>
    </row>
    <row r="1044" spans="1:22" hidden="1" x14ac:dyDescent="0.25">
      <c r="A1044" t="s">
        <v>87</v>
      </c>
      <c r="B1044" t="s">
        <v>35</v>
      </c>
      <c r="C1044" t="s">
        <v>6</v>
      </c>
      <c r="D1044" t="s">
        <v>13</v>
      </c>
      <c r="F1044" s="5">
        <v>44089</v>
      </c>
      <c r="G1044" s="5">
        <v>44111</v>
      </c>
      <c r="H1044" s="2">
        <v>2</v>
      </c>
      <c r="I1044" s="6"/>
      <c r="J1044" s="6"/>
      <c r="K1044" s="7">
        <v>0.5</v>
      </c>
      <c r="L1044" s="7">
        <v>42.66</v>
      </c>
      <c r="M1044" t="s">
        <v>17</v>
      </c>
      <c r="N1044" s="9"/>
      <c r="O1044" s="8">
        <f t="array" ref="O1044">INDEX(TechRate,MATCH(H1044,TechNum,0))</f>
        <v>140</v>
      </c>
      <c r="P1044" s="10">
        <f>WorkOrders278[[#This Row],[Techs]]*(WorkOrders278[[#This Row],[PartsCost]]*WorkOrders278[[#This Row],[LbrHrs]])</f>
        <v>42.66</v>
      </c>
      <c r="Q1044" s="10">
        <f t="shared" si="89"/>
        <v>42.66</v>
      </c>
      <c r="R1044" s="10">
        <f t="shared" si="90"/>
        <v>42.66</v>
      </c>
      <c r="S1044" s="10">
        <f t="shared" si="91"/>
        <v>85.32</v>
      </c>
      <c r="T1044" s="10">
        <f t="shared" si="92"/>
        <v>85.32</v>
      </c>
      <c r="U1044" s="8" t="str">
        <f t="shared" si="93"/>
        <v>Tue</v>
      </c>
      <c r="V1044" s="8" t="str">
        <f t="shared" si="94"/>
        <v>Wed</v>
      </c>
    </row>
    <row r="1045" spans="1:22" hidden="1" x14ac:dyDescent="0.25">
      <c r="A1045" t="s">
        <v>88</v>
      </c>
      <c r="B1045" t="s">
        <v>38</v>
      </c>
      <c r="C1045" t="s">
        <v>8</v>
      </c>
      <c r="D1045" t="s">
        <v>13</v>
      </c>
      <c r="F1045" s="5">
        <v>44090</v>
      </c>
      <c r="G1045" s="5">
        <v>44102</v>
      </c>
      <c r="H1045" s="2">
        <v>1</v>
      </c>
      <c r="I1045" s="6"/>
      <c r="J1045" s="6"/>
      <c r="K1045" s="7">
        <v>1</v>
      </c>
      <c r="L1045" s="7">
        <v>5.4720000000000004</v>
      </c>
      <c r="M1045" t="s">
        <v>18</v>
      </c>
      <c r="N1045" s="9"/>
      <c r="O1045" s="8">
        <f t="array" ref="O1045">INDEX(TechRate,MATCH(H1045,TechNum,0))</f>
        <v>80</v>
      </c>
      <c r="P1045" s="10">
        <f>WorkOrders278[[#This Row],[Techs]]*(WorkOrders278[[#This Row],[PartsCost]]*WorkOrders278[[#This Row],[LbrHrs]])</f>
        <v>5.4720000000000004</v>
      </c>
      <c r="Q1045" s="10">
        <f t="shared" si="89"/>
        <v>5.4720000000000004</v>
      </c>
      <c r="R1045" s="10">
        <f t="shared" si="90"/>
        <v>5.4720000000000004</v>
      </c>
      <c r="S1045" s="10">
        <f t="shared" si="91"/>
        <v>10.944000000000001</v>
      </c>
      <c r="T1045" s="10">
        <f t="shared" si="92"/>
        <v>10.944000000000001</v>
      </c>
      <c r="U1045" s="8" t="str">
        <f t="shared" si="93"/>
        <v>Wed</v>
      </c>
      <c r="V1045" s="8" t="str">
        <f t="shared" si="94"/>
        <v>Mon</v>
      </c>
    </row>
    <row r="1046" spans="1:22" hidden="1" x14ac:dyDescent="0.25">
      <c r="A1046" t="s">
        <v>89</v>
      </c>
      <c r="B1046" t="s">
        <v>35</v>
      </c>
      <c r="C1046" t="s">
        <v>8</v>
      </c>
      <c r="D1046" t="s">
        <v>12</v>
      </c>
      <c r="E1046" t="s">
        <v>3</v>
      </c>
      <c r="F1046" s="5">
        <v>44090</v>
      </c>
      <c r="G1046" s="5">
        <v>44102</v>
      </c>
      <c r="H1046" s="2">
        <v>1</v>
      </c>
      <c r="I1046" s="6"/>
      <c r="J1046" s="6"/>
      <c r="K1046" s="7">
        <v>0.25</v>
      </c>
      <c r="L1046" s="7">
        <v>45.237400000000001</v>
      </c>
      <c r="M1046" t="s">
        <v>17</v>
      </c>
      <c r="N1046" s="9"/>
      <c r="O1046" s="8">
        <f t="array" ref="O1046">INDEX(TechRate,MATCH(H1046,TechNum,0))</f>
        <v>80</v>
      </c>
      <c r="P1046" s="10">
        <f>WorkOrders278[[#This Row],[Techs]]*(WorkOrders278[[#This Row],[PartsCost]]*WorkOrders278[[#This Row],[LbrHrs]])</f>
        <v>11.30935</v>
      </c>
      <c r="Q1046" s="10">
        <f t="shared" si="89"/>
        <v>11.30935</v>
      </c>
      <c r="R1046" s="10">
        <f t="shared" si="90"/>
        <v>45.237400000000001</v>
      </c>
      <c r="S1046" s="10">
        <f t="shared" si="91"/>
        <v>56.546750000000003</v>
      </c>
      <c r="T1046" s="10">
        <f t="shared" si="92"/>
        <v>56.546750000000003</v>
      </c>
      <c r="U1046" s="8" t="str">
        <f t="shared" si="93"/>
        <v>Wed</v>
      </c>
      <c r="V1046" s="8" t="str">
        <f t="shared" si="94"/>
        <v>Mon</v>
      </c>
    </row>
    <row r="1047" spans="1:22" hidden="1" x14ac:dyDescent="0.25">
      <c r="A1047" t="s">
        <v>90</v>
      </c>
      <c r="B1047" t="s">
        <v>35</v>
      </c>
      <c r="C1047" t="s">
        <v>9</v>
      </c>
      <c r="D1047" t="s">
        <v>12</v>
      </c>
      <c r="F1047" s="5">
        <v>44090</v>
      </c>
      <c r="G1047" s="5">
        <v>44105</v>
      </c>
      <c r="H1047" s="2">
        <v>2</v>
      </c>
      <c r="I1047" s="6"/>
      <c r="J1047" s="6"/>
      <c r="K1047" s="7">
        <v>0.75</v>
      </c>
      <c r="L1047" s="7">
        <v>199.452</v>
      </c>
      <c r="M1047" t="s">
        <v>18</v>
      </c>
      <c r="N1047" s="9"/>
      <c r="O1047" s="8">
        <f t="array" ref="O1047">INDEX(TechRate,MATCH(H1047,TechNum,0))</f>
        <v>140</v>
      </c>
      <c r="P1047" s="10">
        <f>WorkOrders278[[#This Row],[Techs]]*(WorkOrders278[[#This Row],[PartsCost]]*WorkOrders278[[#This Row],[LbrHrs]])</f>
        <v>299.178</v>
      </c>
      <c r="Q1047" s="10">
        <f t="shared" si="89"/>
        <v>299.178</v>
      </c>
      <c r="R1047" s="10">
        <f t="shared" si="90"/>
        <v>199.452</v>
      </c>
      <c r="S1047" s="10">
        <f t="shared" si="91"/>
        <v>498.63</v>
      </c>
      <c r="T1047" s="10">
        <f t="shared" si="92"/>
        <v>498.63</v>
      </c>
      <c r="U1047" s="8" t="str">
        <f t="shared" si="93"/>
        <v>Wed</v>
      </c>
      <c r="V1047" s="8" t="str">
        <f t="shared" si="94"/>
        <v>Thu</v>
      </c>
    </row>
    <row r="1048" spans="1:22" hidden="1" x14ac:dyDescent="0.25">
      <c r="A1048" t="s">
        <v>91</v>
      </c>
      <c r="B1048" t="s">
        <v>39</v>
      </c>
      <c r="C1048" t="s">
        <v>9</v>
      </c>
      <c r="D1048" t="s">
        <v>12</v>
      </c>
      <c r="F1048" s="5">
        <v>44090</v>
      </c>
      <c r="G1048" s="5">
        <v>44109</v>
      </c>
      <c r="H1048" s="2">
        <v>2</v>
      </c>
      <c r="I1048" s="6"/>
      <c r="J1048" s="6"/>
      <c r="K1048" s="7">
        <v>0.5</v>
      </c>
      <c r="L1048" s="7">
        <v>144</v>
      </c>
      <c r="M1048" t="s">
        <v>18</v>
      </c>
      <c r="N1048" s="9"/>
      <c r="O1048" s="8">
        <f t="array" ref="O1048">INDEX(TechRate,MATCH(H1048,TechNum,0))</f>
        <v>140</v>
      </c>
      <c r="P1048" s="10">
        <f>WorkOrders278[[#This Row],[Techs]]*(WorkOrders278[[#This Row],[PartsCost]]*WorkOrders278[[#This Row],[LbrHrs]])</f>
        <v>144</v>
      </c>
      <c r="Q1048" s="10">
        <f t="shared" si="89"/>
        <v>144</v>
      </c>
      <c r="R1048" s="10">
        <f t="shared" si="90"/>
        <v>144</v>
      </c>
      <c r="S1048" s="10">
        <f t="shared" si="91"/>
        <v>288</v>
      </c>
      <c r="T1048" s="10">
        <f t="shared" si="92"/>
        <v>288</v>
      </c>
      <c r="U1048" s="8" t="str">
        <f t="shared" si="93"/>
        <v>Wed</v>
      </c>
      <c r="V1048" s="8" t="str">
        <f t="shared" si="94"/>
        <v>Mon</v>
      </c>
    </row>
    <row r="1049" spans="1:22" hidden="1" x14ac:dyDescent="0.25">
      <c r="A1049" t="s">
        <v>92</v>
      </c>
      <c r="B1049" t="s">
        <v>39</v>
      </c>
      <c r="C1049" t="s">
        <v>9</v>
      </c>
      <c r="D1049" t="s">
        <v>11</v>
      </c>
      <c r="F1049" s="5">
        <v>44091</v>
      </c>
      <c r="G1049" s="5">
        <v>44110</v>
      </c>
      <c r="H1049" s="2">
        <v>1</v>
      </c>
      <c r="I1049" s="6"/>
      <c r="J1049" s="6"/>
      <c r="K1049" s="7">
        <v>0.25</v>
      </c>
      <c r="L1049" s="7">
        <v>6.2160000000000002</v>
      </c>
      <c r="M1049" t="s">
        <v>18</v>
      </c>
      <c r="N1049" s="9"/>
      <c r="O1049" s="8">
        <f t="array" ref="O1049">INDEX(TechRate,MATCH(H1049,TechNum,0))</f>
        <v>80</v>
      </c>
      <c r="P1049" s="10">
        <f>WorkOrders278[[#This Row],[Techs]]*(WorkOrders278[[#This Row],[PartsCost]]*WorkOrders278[[#This Row],[LbrHrs]])</f>
        <v>1.554</v>
      </c>
      <c r="Q1049" s="10">
        <f t="shared" si="89"/>
        <v>1.554</v>
      </c>
      <c r="R1049" s="10">
        <f t="shared" si="90"/>
        <v>6.2160000000000002</v>
      </c>
      <c r="S1049" s="10">
        <f t="shared" si="91"/>
        <v>7.7700000000000005</v>
      </c>
      <c r="T1049" s="10">
        <f t="shared" si="92"/>
        <v>7.7700000000000005</v>
      </c>
      <c r="U1049" s="8" t="str">
        <f t="shared" si="93"/>
        <v>Thu</v>
      </c>
      <c r="V1049" s="8" t="str">
        <f t="shared" si="94"/>
        <v>Tue</v>
      </c>
    </row>
    <row r="1050" spans="1:22" hidden="1" x14ac:dyDescent="0.25">
      <c r="A1050" t="s">
        <v>93</v>
      </c>
      <c r="B1050" t="s">
        <v>35</v>
      </c>
      <c r="C1050" t="s">
        <v>6</v>
      </c>
      <c r="D1050" t="s">
        <v>13</v>
      </c>
      <c r="F1050" s="5">
        <v>44091</v>
      </c>
      <c r="G1050" s="5">
        <v>44116</v>
      </c>
      <c r="H1050" s="2">
        <v>2</v>
      </c>
      <c r="I1050" s="6"/>
      <c r="J1050" s="6"/>
      <c r="K1050" s="7">
        <v>1</v>
      </c>
      <c r="L1050" s="7">
        <v>36</v>
      </c>
      <c r="M1050" t="s">
        <v>17</v>
      </c>
      <c r="N1050" s="9"/>
      <c r="O1050" s="8">
        <f t="array" ref="O1050">INDEX(TechRate,MATCH(H1050,TechNum,0))</f>
        <v>140</v>
      </c>
      <c r="P1050" s="10">
        <f>WorkOrders278[[#This Row],[Techs]]*(WorkOrders278[[#This Row],[PartsCost]]*WorkOrders278[[#This Row],[LbrHrs]])</f>
        <v>72</v>
      </c>
      <c r="Q1050" s="10">
        <f t="shared" si="89"/>
        <v>72</v>
      </c>
      <c r="R1050" s="10">
        <f t="shared" si="90"/>
        <v>36</v>
      </c>
      <c r="S1050" s="10">
        <f t="shared" si="91"/>
        <v>108</v>
      </c>
      <c r="T1050" s="10">
        <f t="shared" si="92"/>
        <v>108</v>
      </c>
      <c r="U1050" s="8" t="str">
        <f t="shared" si="93"/>
        <v>Thu</v>
      </c>
      <c r="V1050" s="8" t="str">
        <f t="shared" si="94"/>
        <v>Mon</v>
      </c>
    </row>
    <row r="1051" spans="1:22" hidden="1" x14ac:dyDescent="0.25">
      <c r="A1051" t="s">
        <v>94</v>
      </c>
      <c r="B1051" t="s">
        <v>34</v>
      </c>
      <c r="C1051" t="s">
        <v>44</v>
      </c>
      <c r="D1051" t="s">
        <v>12</v>
      </c>
      <c r="F1051" s="5">
        <v>44091</v>
      </c>
      <c r="G1051" s="5">
        <v>44116</v>
      </c>
      <c r="H1051" s="2">
        <v>2</v>
      </c>
      <c r="I1051" s="6"/>
      <c r="J1051" s="6"/>
      <c r="K1051" s="7">
        <v>0.75</v>
      </c>
      <c r="L1051" s="7">
        <v>40</v>
      </c>
      <c r="M1051" t="s">
        <v>18</v>
      </c>
      <c r="N1051" s="9"/>
      <c r="O1051" s="8">
        <f t="array" ref="O1051">INDEX(TechRate,MATCH(H1051,TechNum,0))</f>
        <v>140</v>
      </c>
      <c r="P1051" s="10">
        <f>WorkOrders278[[#This Row],[Techs]]*(WorkOrders278[[#This Row],[PartsCost]]*WorkOrders278[[#This Row],[LbrHrs]])</f>
        <v>60</v>
      </c>
      <c r="Q1051" s="10">
        <f t="shared" si="89"/>
        <v>60</v>
      </c>
      <c r="R1051" s="10">
        <f t="shared" si="90"/>
        <v>40</v>
      </c>
      <c r="S1051" s="10">
        <f t="shared" si="91"/>
        <v>100</v>
      </c>
      <c r="T1051" s="10">
        <f t="shared" si="92"/>
        <v>100</v>
      </c>
      <c r="U1051" s="8" t="str">
        <f t="shared" si="93"/>
        <v>Thu</v>
      </c>
      <c r="V1051" s="8" t="str">
        <f t="shared" si="94"/>
        <v>Mon</v>
      </c>
    </row>
    <row r="1052" spans="1:22" hidden="1" x14ac:dyDescent="0.25">
      <c r="A1052" t="s">
        <v>95</v>
      </c>
      <c r="B1052" t="s">
        <v>37</v>
      </c>
      <c r="C1052" t="s">
        <v>43</v>
      </c>
      <c r="D1052" t="s">
        <v>12</v>
      </c>
      <c r="F1052" s="5">
        <v>44091</v>
      </c>
      <c r="G1052" s="5">
        <v>44152</v>
      </c>
      <c r="H1052" s="2">
        <v>1</v>
      </c>
      <c r="I1052" s="6"/>
      <c r="J1052" s="6"/>
      <c r="K1052" s="7">
        <v>0.25</v>
      </c>
      <c r="L1052" s="7">
        <v>87.581299999999999</v>
      </c>
      <c r="M1052" t="s">
        <v>17</v>
      </c>
      <c r="N1052" s="9"/>
      <c r="O1052" s="8">
        <f t="array" ref="O1052">INDEX(TechRate,MATCH(H1052,TechNum,0))</f>
        <v>80</v>
      </c>
      <c r="P1052" s="10">
        <f>WorkOrders278[[#This Row],[Techs]]*(WorkOrders278[[#This Row],[PartsCost]]*WorkOrders278[[#This Row],[LbrHrs]])</f>
        <v>21.895325</v>
      </c>
      <c r="Q1052" s="10">
        <f t="shared" si="89"/>
        <v>21.895325</v>
      </c>
      <c r="R1052" s="10">
        <f t="shared" si="90"/>
        <v>87.581299999999999</v>
      </c>
      <c r="S1052" s="10">
        <f t="shared" si="91"/>
        <v>109.476625</v>
      </c>
      <c r="T1052" s="10">
        <f t="shared" si="92"/>
        <v>109.476625</v>
      </c>
      <c r="U1052" s="8" t="str">
        <f t="shared" si="93"/>
        <v>Thu</v>
      </c>
      <c r="V1052" s="8" t="str">
        <f t="shared" si="94"/>
        <v>Tue</v>
      </c>
    </row>
    <row r="1053" spans="1:22" hidden="1" x14ac:dyDescent="0.25">
      <c r="A1053" t="s">
        <v>96</v>
      </c>
      <c r="B1053" t="s">
        <v>38</v>
      </c>
      <c r="C1053" t="s">
        <v>8</v>
      </c>
      <c r="D1053" t="s">
        <v>13</v>
      </c>
      <c r="F1053" s="5">
        <v>44095</v>
      </c>
      <c r="G1053" s="5">
        <v>44102</v>
      </c>
      <c r="H1053" s="2">
        <v>1</v>
      </c>
      <c r="I1053" s="6"/>
      <c r="J1053" s="6"/>
      <c r="K1053" s="7">
        <v>0.5</v>
      </c>
      <c r="L1053" s="7">
        <v>30</v>
      </c>
      <c r="M1053" t="s">
        <v>18</v>
      </c>
      <c r="N1053" s="9"/>
      <c r="O1053" s="8">
        <f t="array" ref="O1053">INDEX(TechRate,MATCH(H1053,TechNum,0))</f>
        <v>80</v>
      </c>
      <c r="P1053" s="10">
        <f>WorkOrders278[[#This Row],[Techs]]*(WorkOrders278[[#This Row],[PartsCost]]*WorkOrders278[[#This Row],[LbrHrs]])</f>
        <v>15</v>
      </c>
      <c r="Q1053" s="10">
        <f t="shared" si="89"/>
        <v>15</v>
      </c>
      <c r="R1053" s="10">
        <f t="shared" si="90"/>
        <v>30</v>
      </c>
      <c r="S1053" s="10">
        <f t="shared" si="91"/>
        <v>45</v>
      </c>
      <c r="T1053" s="10">
        <f t="shared" si="92"/>
        <v>45</v>
      </c>
      <c r="U1053" s="8" t="str">
        <f t="shared" si="93"/>
        <v>Mon</v>
      </c>
      <c r="V1053" s="8" t="str">
        <f t="shared" si="94"/>
        <v>Mon</v>
      </c>
    </row>
    <row r="1054" spans="1:22" hidden="1" x14ac:dyDescent="0.25">
      <c r="A1054" t="s">
        <v>97</v>
      </c>
      <c r="B1054" t="s">
        <v>39</v>
      </c>
      <c r="C1054" t="s">
        <v>6</v>
      </c>
      <c r="D1054" t="s">
        <v>11</v>
      </c>
      <c r="F1054" s="5">
        <v>44095</v>
      </c>
      <c r="G1054" s="5">
        <v>44123</v>
      </c>
      <c r="H1054" s="2">
        <v>1</v>
      </c>
      <c r="I1054" s="6"/>
      <c r="J1054" s="6"/>
      <c r="K1054" s="7">
        <v>0.25</v>
      </c>
      <c r="L1054" s="7">
        <v>144</v>
      </c>
      <c r="M1054" t="s">
        <v>19</v>
      </c>
      <c r="N1054" s="9"/>
      <c r="O1054" s="8">
        <f t="array" ref="O1054">INDEX(TechRate,MATCH(H1054,TechNum,0))</f>
        <v>80</v>
      </c>
      <c r="P1054" s="10">
        <f>WorkOrders278[[#This Row],[Techs]]*(WorkOrders278[[#This Row],[PartsCost]]*WorkOrders278[[#This Row],[LbrHrs]])</f>
        <v>36</v>
      </c>
      <c r="Q1054" s="10">
        <f t="shared" si="89"/>
        <v>36</v>
      </c>
      <c r="R1054" s="10">
        <f t="shared" si="90"/>
        <v>144</v>
      </c>
      <c r="S1054" s="10">
        <f t="shared" si="91"/>
        <v>180</v>
      </c>
      <c r="T1054" s="10">
        <f t="shared" si="92"/>
        <v>180</v>
      </c>
      <c r="U1054" s="8" t="str">
        <f t="shared" si="93"/>
        <v>Mon</v>
      </c>
      <c r="V1054" s="8" t="str">
        <f t="shared" si="94"/>
        <v>Mon</v>
      </c>
    </row>
    <row r="1055" spans="1:22" hidden="1" x14ac:dyDescent="0.25">
      <c r="A1055" t="s">
        <v>98</v>
      </c>
      <c r="B1055" t="s">
        <v>38</v>
      </c>
      <c r="C1055" t="s">
        <v>8</v>
      </c>
      <c r="D1055" t="s">
        <v>13</v>
      </c>
      <c r="E1055" t="s">
        <v>3</v>
      </c>
      <c r="F1055" s="5">
        <v>44095</v>
      </c>
      <c r="G1055" s="5">
        <v>44139</v>
      </c>
      <c r="H1055" s="2">
        <v>1</v>
      </c>
      <c r="I1055" s="6"/>
      <c r="J1055" s="6"/>
      <c r="K1055" s="7">
        <v>0.75</v>
      </c>
      <c r="L1055" s="7">
        <v>297.51229999999998</v>
      </c>
      <c r="M1055" t="s">
        <v>17</v>
      </c>
      <c r="N1055" s="9"/>
      <c r="O1055" s="8">
        <f t="array" ref="O1055">INDEX(TechRate,MATCH(H1055,TechNum,0))</f>
        <v>80</v>
      </c>
      <c r="P1055" s="10">
        <f>WorkOrders278[[#This Row],[Techs]]*(WorkOrders278[[#This Row],[PartsCost]]*WorkOrders278[[#This Row],[LbrHrs]])</f>
        <v>223.13422499999999</v>
      </c>
      <c r="Q1055" s="10">
        <f t="shared" si="89"/>
        <v>223.13422499999999</v>
      </c>
      <c r="R1055" s="10">
        <f t="shared" si="90"/>
        <v>297.51229999999998</v>
      </c>
      <c r="S1055" s="10">
        <f t="shared" si="91"/>
        <v>520.646525</v>
      </c>
      <c r="T1055" s="10">
        <f t="shared" si="92"/>
        <v>520.646525</v>
      </c>
      <c r="U1055" s="8" t="str">
        <f t="shared" si="93"/>
        <v>Mon</v>
      </c>
      <c r="V1055" s="8" t="str">
        <f t="shared" si="94"/>
        <v>Wed</v>
      </c>
    </row>
    <row r="1056" spans="1:22" hidden="1" x14ac:dyDescent="0.25">
      <c r="A1056" t="s">
        <v>99</v>
      </c>
      <c r="B1056" t="s">
        <v>38</v>
      </c>
      <c r="C1056" t="s">
        <v>6</v>
      </c>
      <c r="D1056" t="s">
        <v>12</v>
      </c>
      <c r="F1056" s="5">
        <v>44095</v>
      </c>
      <c r="G1056" s="5">
        <v>44160</v>
      </c>
      <c r="H1056" s="2">
        <v>1</v>
      </c>
      <c r="I1056" s="6"/>
      <c r="J1056" s="6"/>
      <c r="K1056" s="7">
        <v>0.5</v>
      </c>
      <c r="L1056" s="7">
        <v>64.171000000000006</v>
      </c>
      <c r="M1056" t="s">
        <v>19</v>
      </c>
      <c r="N1056" s="9"/>
      <c r="O1056" s="8">
        <f t="array" ref="O1056">INDEX(TechRate,MATCH(H1056,TechNum,0))</f>
        <v>80</v>
      </c>
      <c r="P1056" s="10">
        <f>WorkOrders278[[#This Row],[Techs]]*(WorkOrders278[[#This Row],[PartsCost]]*WorkOrders278[[#This Row],[LbrHrs]])</f>
        <v>32.085500000000003</v>
      </c>
      <c r="Q1056" s="10">
        <f t="shared" si="89"/>
        <v>32.085500000000003</v>
      </c>
      <c r="R1056" s="10">
        <f t="shared" si="90"/>
        <v>64.171000000000006</v>
      </c>
      <c r="S1056" s="10">
        <f t="shared" si="91"/>
        <v>96.256500000000017</v>
      </c>
      <c r="T1056" s="10">
        <f t="shared" si="92"/>
        <v>96.256500000000017</v>
      </c>
      <c r="U1056" s="8" t="str">
        <f t="shared" si="93"/>
        <v>Mon</v>
      </c>
      <c r="V1056" s="8" t="str">
        <f t="shared" si="94"/>
        <v>Wed</v>
      </c>
    </row>
    <row r="1057" spans="1:22" hidden="1" x14ac:dyDescent="0.25">
      <c r="A1057" t="s">
        <v>100</v>
      </c>
      <c r="B1057" t="s">
        <v>37</v>
      </c>
      <c r="C1057" t="s">
        <v>43</v>
      </c>
      <c r="D1057" t="s">
        <v>11</v>
      </c>
      <c r="F1057" s="5">
        <v>44096</v>
      </c>
      <c r="G1057" s="5">
        <v>44105</v>
      </c>
      <c r="H1057" s="2">
        <v>1</v>
      </c>
      <c r="I1057" s="6"/>
      <c r="J1057" s="6"/>
      <c r="K1057" s="7">
        <v>0.25</v>
      </c>
      <c r="L1057" s="7">
        <v>20.475000000000001</v>
      </c>
      <c r="M1057" t="s">
        <v>17</v>
      </c>
      <c r="N1057" s="9"/>
      <c r="O1057" s="8">
        <f t="array" ref="O1057">INDEX(TechRate,MATCH(H1057,TechNum,0))</f>
        <v>80</v>
      </c>
      <c r="P1057" s="10">
        <f>WorkOrders278[[#This Row],[Techs]]*(WorkOrders278[[#This Row],[PartsCost]]*WorkOrders278[[#This Row],[LbrHrs]])</f>
        <v>5.1187500000000004</v>
      </c>
      <c r="Q1057" s="10">
        <f t="shared" si="89"/>
        <v>5.1187500000000004</v>
      </c>
      <c r="R1057" s="10">
        <f t="shared" si="90"/>
        <v>20.475000000000001</v>
      </c>
      <c r="S1057" s="10">
        <f t="shared" si="91"/>
        <v>25.59375</v>
      </c>
      <c r="T1057" s="10">
        <f t="shared" si="92"/>
        <v>25.59375</v>
      </c>
      <c r="U1057" s="8" t="str">
        <f t="shared" si="93"/>
        <v>Tue</v>
      </c>
      <c r="V1057" s="8" t="str">
        <f t="shared" si="94"/>
        <v>Thu</v>
      </c>
    </row>
    <row r="1058" spans="1:22" hidden="1" x14ac:dyDescent="0.25">
      <c r="A1058" t="s">
        <v>101</v>
      </c>
      <c r="B1058" t="s">
        <v>38</v>
      </c>
      <c r="C1058" t="s">
        <v>8</v>
      </c>
      <c r="D1058" t="s">
        <v>2</v>
      </c>
      <c r="F1058" s="5">
        <v>44097</v>
      </c>
      <c r="G1058" s="5">
        <v>44111</v>
      </c>
      <c r="H1058" s="2">
        <v>1</v>
      </c>
      <c r="I1058" s="6"/>
      <c r="J1058" s="6"/>
      <c r="K1058" s="7">
        <v>1</v>
      </c>
      <c r="L1058" s="7">
        <v>200</v>
      </c>
      <c r="M1058" t="s">
        <v>18</v>
      </c>
      <c r="N1058" s="9"/>
      <c r="O1058" s="8">
        <f t="array" ref="O1058">INDEX(TechRate,MATCH(H1058,TechNum,0))</f>
        <v>80</v>
      </c>
      <c r="P1058" s="10">
        <f>WorkOrders278[[#This Row],[Techs]]*(WorkOrders278[[#This Row],[PartsCost]]*WorkOrders278[[#This Row],[LbrHrs]])</f>
        <v>200</v>
      </c>
      <c r="Q1058" s="10">
        <f t="shared" si="89"/>
        <v>200</v>
      </c>
      <c r="R1058" s="10">
        <f t="shared" si="90"/>
        <v>200</v>
      </c>
      <c r="S1058" s="10">
        <f t="shared" si="91"/>
        <v>400</v>
      </c>
      <c r="T1058" s="10">
        <f t="shared" si="92"/>
        <v>400</v>
      </c>
      <c r="U1058" s="8" t="str">
        <f t="shared" si="93"/>
        <v>Wed</v>
      </c>
      <c r="V1058" s="8" t="str">
        <f t="shared" si="94"/>
        <v>Wed</v>
      </c>
    </row>
    <row r="1059" spans="1:22" hidden="1" x14ac:dyDescent="0.25">
      <c r="A1059" t="s">
        <v>102</v>
      </c>
      <c r="B1059" t="s">
        <v>39</v>
      </c>
      <c r="C1059" t="s">
        <v>9</v>
      </c>
      <c r="D1059" t="s">
        <v>2</v>
      </c>
      <c r="F1059" s="5">
        <v>44097</v>
      </c>
      <c r="G1059" s="5">
        <v>44119</v>
      </c>
      <c r="H1059" s="2">
        <v>1</v>
      </c>
      <c r="I1059" s="6"/>
      <c r="J1059" s="6"/>
      <c r="K1059" s="7">
        <v>1.5</v>
      </c>
      <c r="L1059" s="7">
        <v>123.9555</v>
      </c>
      <c r="M1059" t="s">
        <v>18</v>
      </c>
      <c r="N1059" s="9"/>
      <c r="O1059" s="8">
        <f t="array" ref="O1059">INDEX(TechRate,MATCH(H1059,TechNum,0))</f>
        <v>80</v>
      </c>
      <c r="P1059" s="10">
        <f>WorkOrders278[[#This Row],[Techs]]*(WorkOrders278[[#This Row],[PartsCost]]*WorkOrders278[[#This Row],[LbrHrs]])</f>
        <v>185.93324999999999</v>
      </c>
      <c r="Q1059" s="10">
        <f t="shared" si="89"/>
        <v>185.93324999999999</v>
      </c>
      <c r="R1059" s="10">
        <f t="shared" si="90"/>
        <v>123.9555</v>
      </c>
      <c r="S1059" s="10">
        <f t="shared" si="91"/>
        <v>309.88874999999996</v>
      </c>
      <c r="T1059" s="10">
        <f t="shared" si="92"/>
        <v>309.88874999999996</v>
      </c>
      <c r="U1059" s="8" t="str">
        <f t="shared" si="93"/>
        <v>Wed</v>
      </c>
      <c r="V1059" s="8" t="str">
        <f t="shared" si="94"/>
        <v>Thu</v>
      </c>
    </row>
    <row r="1060" spans="1:22" hidden="1" x14ac:dyDescent="0.25">
      <c r="A1060" t="s">
        <v>103</v>
      </c>
      <c r="B1060" t="s">
        <v>34</v>
      </c>
      <c r="C1060" t="s">
        <v>44</v>
      </c>
      <c r="D1060" t="s">
        <v>13</v>
      </c>
      <c r="F1060" s="5">
        <v>44097</v>
      </c>
      <c r="G1060" s="5">
        <v>44128</v>
      </c>
      <c r="H1060" s="2">
        <v>1</v>
      </c>
      <c r="I1060" s="6"/>
      <c r="J1060" s="6"/>
      <c r="K1060" s="7">
        <v>0.5</v>
      </c>
      <c r="L1060" s="7">
        <v>193.88310000000001</v>
      </c>
      <c r="M1060" t="s">
        <v>17</v>
      </c>
      <c r="N1060" s="9"/>
      <c r="O1060" s="8">
        <f t="array" ref="O1060">INDEX(TechRate,MATCH(H1060,TechNum,0))</f>
        <v>80</v>
      </c>
      <c r="P1060" s="10">
        <f>WorkOrders278[[#This Row],[Techs]]*(WorkOrders278[[#This Row],[PartsCost]]*WorkOrders278[[#This Row],[LbrHrs]])</f>
        <v>96.941550000000007</v>
      </c>
      <c r="Q1060" s="10">
        <f t="shared" si="89"/>
        <v>96.941550000000007</v>
      </c>
      <c r="R1060" s="10">
        <f t="shared" si="90"/>
        <v>193.88310000000001</v>
      </c>
      <c r="S1060" s="10">
        <f t="shared" si="91"/>
        <v>290.82465000000002</v>
      </c>
      <c r="T1060" s="10">
        <f t="shared" si="92"/>
        <v>290.82465000000002</v>
      </c>
      <c r="U1060" s="8" t="str">
        <f t="shared" si="93"/>
        <v>Wed</v>
      </c>
      <c r="V1060" s="8" t="str">
        <f t="shared" si="94"/>
        <v>Sat</v>
      </c>
    </row>
    <row r="1061" spans="1:22" hidden="1" x14ac:dyDescent="0.25">
      <c r="A1061" t="s">
        <v>104</v>
      </c>
      <c r="B1061" t="s">
        <v>39</v>
      </c>
      <c r="C1061" t="s">
        <v>8</v>
      </c>
      <c r="D1061" t="s">
        <v>12</v>
      </c>
      <c r="F1061" s="5">
        <v>44097</v>
      </c>
      <c r="G1061" s="5">
        <v>44132</v>
      </c>
      <c r="H1061" s="2">
        <v>2</v>
      </c>
      <c r="I1061" s="6"/>
      <c r="J1061" s="6"/>
      <c r="K1061" s="7">
        <v>0.5</v>
      </c>
      <c r="L1061" s="7">
        <v>1.173</v>
      </c>
      <c r="M1061" t="s">
        <v>18</v>
      </c>
      <c r="N1061" s="9"/>
      <c r="O1061" s="8">
        <f t="array" ref="O1061">INDEX(TechRate,MATCH(H1061,TechNum,0))</f>
        <v>140</v>
      </c>
      <c r="P1061" s="10">
        <f>WorkOrders278[[#This Row],[Techs]]*(WorkOrders278[[#This Row],[PartsCost]]*WorkOrders278[[#This Row],[LbrHrs]])</f>
        <v>1.173</v>
      </c>
      <c r="Q1061" s="10">
        <f t="shared" si="89"/>
        <v>1.173</v>
      </c>
      <c r="R1061" s="10">
        <f t="shared" si="90"/>
        <v>1.173</v>
      </c>
      <c r="S1061" s="10">
        <f t="shared" si="91"/>
        <v>2.3460000000000001</v>
      </c>
      <c r="T1061" s="10">
        <f t="shared" si="92"/>
        <v>2.3460000000000001</v>
      </c>
      <c r="U1061" s="8" t="str">
        <f t="shared" si="93"/>
        <v>Wed</v>
      </c>
      <c r="V1061" s="8" t="str">
        <f t="shared" si="94"/>
        <v>Wed</v>
      </c>
    </row>
    <row r="1062" spans="1:22" hidden="1" x14ac:dyDescent="0.25">
      <c r="A1062" t="s">
        <v>105</v>
      </c>
      <c r="B1062" t="s">
        <v>34</v>
      </c>
      <c r="C1062" t="s">
        <v>6</v>
      </c>
      <c r="D1062" t="s">
        <v>12</v>
      </c>
      <c r="F1062" s="5">
        <v>44098</v>
      </c>
      <c r="G1062" s="5">
        <v>44109</v>
      </c>
      <c r="H1062" s="2">
        <v>2</v>
      </c>
      <c r="I1062" s="6"/>
      <c r="J1062" s="6"/>
      <c r="K1062" s="7">
        <v>0.75</v>
      </c>
      <c r="L1062" s="7">
        <v>664.78880000000004</v>
      </c>
      <c r="M1062" t="s">
        <v>17</v>
      </c>
      <c r="N1062" s="9"/>
      <c r="O1062" s="8">
        <f t="array" ref="O1062">INDEX(TechRate,MATCH(H1062,TechNum,0))</f>
        <v>140</v>
      </c>
      <c r="P1062" s="10">
        <f>WorkOrders278[[#This Row],[Techs]]*(WorkOrders278[[#This Row],[PartsCost]]*WorkOrders278[[#This Row],[LbrHrs]])</f>
        <v>997.18320000000006</v>
      </c>
      <c r="Q1062" s="10">
        <f t="shared" si="89"/>
        <v>997.18320000000006</v>
      </c>
      <c r="R1062" s="10">
        <f t="shared" si="90"/>
        <v>664.78880000000004</v>
      </c>
      <c r="S1062" s="10">
        <f t="shared" si="91"/>
        <v>1661.9720000000002</v>
      </c>
      <c r="T1062" s="10">
        <f t="shared" si="92"/>
        <v>1661.9720000000002</v>
      </c>
      <c r="U1062" s="8" t="str">
        <f t="shared" si="93"/>
        <v>Thu</v>
      </c>
      <c r="V1062" s="8" t="str">
        <f t="shared" si="94"/>
        <v>Mon</v>
      </c>
    </row>
    <row r="1063" spans="1:22" hidden="1" x14ac:dyDescent="0.25">
      <c r="A1063" t="s">
        <v>106</v>
      </c>
      <c r="B1063" t="s">
        <v>35</v>
      </c>
      <c r="C1063" t="s">
        <v>8</v>
      </c>
      <c r="D1063" t="s">
        <v>11</v>
      </c>
      <c r="F1063" s="5">
        <v>44098</v>
      </c>
      <c r="G1063" s="5">
        <v>44119</v>
      </c>
      <c r="H1063" s="2">
        <v>1</v>
      </c>
      <c r="I1063" s="6"/>
      <c r="J1063" s="6"/>
      <c r="K1063" s="7">
        <v>0.25</v>
      </c>
      <c r="L1063" s="7">
        <v>160</v>
      </c>
      <c r="M1063" t="s">
        <v>17</v>
      </c>
      <c r="N1063" s="9"/>
      <c r="O1063" s="8">
        <f t="array" ref="O1063">INDEX(TechRate,MATCH(H1063,TechNum,0))</f>
        <v>80</v>
      </c>
      <c r="P1063" s="10">
        <f>WorkOrders278[[#This Row],[Techs]]*(WorkOrders278[[#This Row],[PartsCost]]*WorkOrders278[[#This Row],[LbrHrs]])</f>
        <v>40</v>
      </c>
      <c r="Q1063" s="10">
        <f t="shared" si="89"/>
        <v>40</v>
      </c>
      <c r="R1063" s="10">
        <f t="shared" si="90"/>
        <v>160</v>
      </c>
      <c r="S1063" s="10">
        <f t="shared" si="91"/>
        <v>200</v>
      </c>
      <c r="T1063" s="10">
        <f t="shared" si="92"/>
        <v>200</v>
      </c>
      <c r="U1063" s="8" t="str">
        <f t="shared" si="93"/>
        <v>Thu</v>
      </c>
      <c r="V1063" s="8" t="str">
        <f t="shared" si="94"/>
        <v>Thu</v>
      </c>
    </row>
    <row r="1064" spans="1:22" hidden="1" x14ac:dyDescent="0.25">
      <c r="A1064" t="s">
        <v>107</v>
      </c>
      <c r="B1064" t="s">
        <v>35</v>
      </c>
      <c r="C1064" t="s">
        <v>9</v>
      </c>
      <c r="D1064" t="s">
        <v>13</v>
      </c>
      <c r="F1064" s="5">
        <v>44098</v>
      </c>
      <c r="G1064" s="5">
        <v>44140</v>
      </c>
      <c r="H1064" s="2">
        <v>2</v>
      </c>
      <c r="I1064" s="6"/>
      <c r="J1064" s="6"/>
      <c r="K1064" s="7">
        <v>0.75</v>
      </c>
      <c r="L1064" s="7">
        <v>159.50489999999999</v>
      </c>
      <c r="M1064" t="s">
        <v>17</v>
      </c>
      <c r="N1064" s="9"/>
      <c r="O1064" s="8">
        <f t="array" ref="O1064">INDEX(TechRate,MATCH(H1064,TechNum,0))</f>
        <v>140</v>
      </c>
      <c r="P1064" s="10">
        <f>WorkOrders278[[#This Row],[Techs]]*(WorkOrders278[[#This Row],[PartsCost]]*WorkOrders278[[#This Row],[LbrHrs]])</f>
        <v>239.25734999999997</v>
      </c>
      <c r="Q1064" s="10">
        <f t="shared" si="89"/>
        <v>239.25734999999997</v>
      </c>
      <c r="R1064" s="10">
        <f t="shared" si="90"/>
        <v>159.50489999999999</v>
      </c>
      <c r="S1064" s="10">
        <f t="shared" si="91"/>
        <v>398.76224999999999</v>
      </c>
      <c r="T1064" s="10">
        <f t="shared" si="92"/>
        <v>398.76224999999999</v>
      </c>
      <c r="U1064" s="8" t="str">
        <f t="shared" si="93"/>
        <v>Thu</v>
      </c>
      <c r="V1064" s="8" t="str">
        <f t="shared" si="94"/>
        <v>Thu</v>
      </c>
    </row>
    <row r="1065" spans="1:22" hidden="1" x14ac:dyDescent="0.25">
      <c r="A1065" t="s">
        <v>108</v>
      </c>
      <c r="B1065" t="s">
        <v>36</v>
      </c>
      <c r="C1065" t="s">
        <v>44</v>
      </c>
      <c r="D1065" t="s">
        <v>12</v>
      </c>
      <c r="F1065" s="5">
        <v>44098</v>
      </c>
      <c r="G1065" s="5">
        <v>44152</v>
      </c>
      <c r="H1065" s="2">
        <v>2</v>
      </c>
      <c r="I1065" s="6"/>
      <c r="J1065" s="6"/>
      <c r="K1065" s="7">
        <v>0.75</v>
      </c>
      <c r="L1065" s="7">
        <v>169.63499999999999</v>
      </c>
      <c r="M1065" t="s">
        <v>19</v>
      </c>
      <c r="N1065" s="9"/>
      <c r="O1065" s="8">
        <f t="array" ref="O1065">INDEX(TechRate,MATCH(H1065,TechNum,0))</f>
        <v>140</v>
      </c>
      <c r="P1065" s="10">
        <f>WorkOrders278[[#This Row],[Techs]]*(WorkOrders278[[#This Row],[PartsCost]]*WorkOrders278[[#This Row],[LbrHrs]])</f>
        <v>254.45249999999999</v>
      </c>
      <c r="Q1065" s="10">
        <f t="shared" si="89"/>
        <v>254.45249999999999</v>
      </c>
      <c r="R1065" s="10">
        <f t="shared" si="90"/>
        <v>169.63499999999999</v>
      </c>
      <c r="S1065" s="10">
        <f t="shared" si="91"/>
        <v>424.08749999999998</v>
      </c>
      <c r="T1065" s="10">
        <f t="shared" si="92"/>
        <v>424.08749999999998</v>
      </c>
      <c r="U1065" s="8" t="str">
        <f t="shared" si="93"/>
        <v>Thu</v>
      </c>
      <c r="V1065" s="8" t="str">
        <f t="shared" si="94"/>
        <v>Tue</v>
      </c>
    </row>
    <row r="1066" spans="1:22" hidden="1" x14ac:dyDescent="0.25">
      <c r="A1066" t="s">
        <v>109</v>
      </c>
      <c r="B1066" t="s">
        <v>42</v>
      </c>
      <c r="C1066" t="s">
        <v>9</v>
      </c>
      <c r="D1066" t="s">
        <v>13</v>
      </c>
      <c r="F1066" s="5">
        <v>44102</v>
      </c>
      <c r="G1066" s="5">
        <v>44104</v>
      </c>
      <c r="H1066" s="2">
        <v>2</v>
      </c>
      <c r="I1066" s="6"/>
      <c r="J1066" s="6"/>
      <c r="K1066" s="7">
        <v>0.5</v>
      </c>
      <c r="L1066" s="7">
        <v>202.86</v>
      </c>
      <c r="M1066" t="s">
        <v>17</v>
      </c>
      <c r="N1066" s="9"/>
      <c r="O1066" s="8">
        <f t="array" ref="O1066">INDEX(TechRate,MATCH(H1066,TechNum,0))</f>
        <v>140</v>
      </c>
      <c r="P1066" s="10">
        <f>WorkOrders278[[#This Row],[Techs]]*(WorkOrders278[[#This Row],[PartsCost]]*WorkOrders278[[#This Row],[LbrHrs]])</f>
        <v>202.86</v>
      </c>
      <c r="Q1066" s="10">
        <f t="shared" si="89"/>
        <v>202.86</v>
      </c>
      <c r="R1066" s="10">
        <f t="shared" si="90"/>
        <v>202.86</v>
      </c>
      <c r="S1066" s="10">
        <f t="shared" si="91"/>
        <v>405.72</v>
      </c>
      <c r="T1066" s="10">
        <f t="shared" si="92"/>
        <v>405.72</v>
      </c>
      <c r="U1066" s="8" t="str">
        <f t="shared" si="93"/>
        <v>Mon</v>
      </c>
      <c r="V1066" s="8" t="str">
        <f t="shared" si="94"/>
        <v>Wed</v>
      </c>
    </row>
    <row r="1067" spans="1:22" hidden="1" x14ac:dyDescent="0.25">
      <c r="A1067" t="s">
        <v>110</v>
      </c>
      <c r="B1067" t="s">
        <v>37</v>
      </c>
      <c r="C1067" t="s">
        <v>43</v>
      </c>
      <c r="D1067" t="s">
        <v>12</v>
      </c>
      <c r="F1067" s="5">
        <v>44102</v>
      </c>
      <c r="G1067" s="5">
        <v>44111</v>
      </c>
      <c r="H1067" s="2">
        <v>1</v>
      </c>
      <c r="I1067" s="6"/>
      <c r="J1067" s="6"/>
      <c r="K1067" s="7">
        <v>0.5</v>
      </c>
      <c r="L1067" s="7">
        <v>10.53</v>
      </c>
      <c r="M1067" t="s">
        <v>19</v>
      </c>
      <c r="N1067" s="9"/>
      <c r="O1067" s="8">
        <f t="array" ref="O1067">INDEX(TechRate,MATCH(H1067,TechNum,0))</f>
        <v>80</v>
      </c>
      <c r="P1067" s="10">
        <f>WorkOrders278[[#This Row],[Techs]]*(WorkOrders278[[#This Row],[PartsCost]]*WorkOrders278[[#This Row],[LbrHrs]])</f>
        <v>5.2649999999999997</v>
      </c>
      <c r="Q1067" s="10">
        <f t="shared" si="89"/>
        <v>5.2649999999999997</v>
      </c>
      <c r="R1067" s="10">
        <f t="shared" si="90"/>
        <v>10.53</v>
      </c>
      <c r="S1067" s="10">
        <f t="shared" si="91"/>
        <v>15.794999999999998</v>
      </c>
      <c r="T1067" s="10">
        <f t="shared" si="92"/>
        <v>15.794999999999998</v>
      </c>
      <c r="U1067" s="8" t="str">
        <f t="shared" si="93"/>
        <v>Mon</v>
      </c>
      <c r="V1067" s="8" t="str">
        <f t="shared" si="94"/>
        <v>Wed</v>
      </c>
    </row>
    <row r="1068" spans="1:22" hidden="1" x14ac:dyDescent="0.25">
      <c r="A1068" t="s">
        <v>111</v>
      </c>
      <c r="B1068" t="s">
        <v>34</v>
      </c>
      <c r="C1068" t="s">
        <v>6</v>
      </c>
      <c r="D1068" t="s">
        <v>13</v>
      </c>
      <c r="F1068" s="5">
        <v>44102</v>
      </c>
      <c r="G1068" s="5">
        <v>44131</v>
      </c>
      <c r="H1068" s="2">
        <v>2</v>
      </c>
      <c r="I1068" s="6"/>
      <c r="J1068" s="6"/>
      <c r="K1068" s="7">
        <v>0.75</v>
      </c>
      <c r="L1068" s="7">
        <v>1.8240000000000001</v>
      </c>
      <c r="M1068" t="s">
        <v>18</v>
      </c>
      <c r="N1068" s="9"/>
      <c r="O1068" s="8">
        <f t="array" ref="O1068">INDEX(TechRate,MATCH(H1068,TechNum,0))</f>
        <v>140</v>
      </c>
      <c r="P1068" s="10">
        <f>WorkOrders278[[#This Row],[Techs]]*(WorkOrders278[[#This Row],[PartsCost]]*WorkOrders278[[#This Row],[LbrHrs]])</f>
        <v>2.7360000000000002</v>
      </c>
      <c r="Q1068" s="10">
        <f t="shared" ref="Q1068:Q1131" si="95">IF(I1068="Yes",0,P1068)</f>
        <v>2.7360000000000002</v>
      </c>
      <c r="R1068" s="10">
        <f t="shared" ref="R1068:R1131" si="96">IF(J1068="Yes",0,L1068)</f>
        <v>1.8240000000000001</v>
      </c>
      <c r="S1068" s="10">
        <f t="shared" ref="S1068:S1131" si="97">SUM(L1068,P1068)</f>
        <v>4.5600000000000005</v>
      </c>
      <c r="T1068" s="10">
        <f t="shared" ref="T1068:T1131" si="98">SUM(Q1068,R1068)</f>
        <v>4.5600000000000005</v>
      </c>
      <c r="U1068" s="8" t="str">
        <f t="shared" ref="U1068:U1131" si="99">TEXT(F1068,"ddd")</f>
        <v>Mon</v>
      </c>
      <c r="V1068" s="8" t="str">
        <f t="shared" ref="V1068:V1131" si="100">TEXT(G1068,"ddd")</f>
        <v>Tue</v>
      </c>
    </row>
    <row r="1069" spans="1:22" hidden="1" x14ac:dyDescent="0.25">
      <c r="A1069" t="s">
        <v>112</v>
      </c>
      <c r="B1069" t="s">
        <v>37</v>
      </c>
      <c r="C1069" t="s">
        <v>8</v>
      </c>
      <c r="D1069" t="s">
        <v>12</v>
      </c>
      <c r="F1069" s="5">
        <v>44103</v>
      </c>
      <c r="G1069" s="5">
        <v>44112</v>
      </c>
      <c r="H1069" s="2">
        <v>2</v>
      </c>
      <c r="I1069" s="6"/>
      <c r="J1069" s="6"/>
      <c r="K1069" s="7">
        <v>0.5</v>
      </c>
      <c r="L1069" s="7">
        <v>54.124600000000001</v>
      </c>
      <c r="M1069" t="s">
        <v>17</v>
      </c>
      <c r="N1069" s="9"/>
      <c r="O1069" s="8">
        <f t="array" ref="O1069">INDEX(TechRate,MATCH(H1069,TechNum,0))</f>
        <v>140</v>
      </c>
      <c r="P1069" s="10">
        <f>WorkOrders278[[#This Row],[Techs]]*(WorkOrders278[[#This Row],[PartsCost]]*WorkOrders278[[#This Row],[LbrHrs]])</f>
        <v>54.124600000000001</v>
      </c>
      <c r="Q1069" s="10">
        <f t="shared" si="95"/>
        <v>54.124600000000001</v>
      </c>
      <c r="R1069" s="10">
        <f t="shared" si="96"/>
        <v>54.124600000000001</v>
      </c>
      <c r="S1069" s="10">
        <f t="shared" si="97"/>
        <v>108.2492</v>
      </c>
      <c r="T1069" s="10">
        <f t="shared" si="98"/>
        <v>108.2492</v>
      </c>
      <c r="U1069" s="8" t="str">
        <f t="shared" si="99"/>
        <v>Tue</v>
      </c>
      <c r="V1069" s="8" t="str">
        <f t="shared" si="100"/>
        <v>Thu</v>
      </c>
    </row>
    <row r="1070" spans="1:22" hidden="1" x14ac:dyDescent="0.25">
      <c r="A1070" t="s">
        <v>113</v>
      </c>
      <c r="B1070" t="s">
        <v>35</v>
      </c>
      <c r="C1070" t="s">
        <v>6</v>
      </c>
      <c r="D1070" t="s">
        <v>11</v>
      </c>
      <c r="F1070" s="5">
        <v>44103</v>
      </c>
      <c r="G1070" s="5">
        <v>44125</v>
      </c>
      <c r="H1070" s="2">
        <v>2</v>
      </c>
      <c r="I1070" s="6"/>
      <c r="J1070" s="6"/>
      <c r="K1070" s="7">
        <v>0.25</v>
      </c>
      <c r="L1070" s="7">
        <v>367.71109999999999</v>
      </c>
      <c r="M1070" t="s">
        <v>17</v>
      </c>
      <c r="N1070" s="9"/>
      <c r="O1070" s="8">
        <f t="array" ref="O1070">INDEX(TechRate,MATCH(H1070,TechNum,0))</f>
        <v>140</v>
      </c>
      <c r="P1070" s="10">
        <f>WorkOrders278[[#This Row],[Techs]]*(WorkOrders278[[#This Row],[PartsCost]]*WorkOrders278[[#This Row],[LbrHrs]])</f>
        <v>183.85554999999999</v>
      </c>
      <c r="Q1070" s="10">
        <f t="shared" si="95"/>
        <v>183.85554999999999</v>
      </c>
      <c r="R1070" s="10">
        <f t="shared" si="96"/>
        <v>367.71109999999999</v>
      </c>
      <c r="S1070" s="10">
        <f t="shared" si="97"/>
        <v>551.56664999999998</v>
      </c>
      <c r="T1070" s="10">
        <f t="shared" si="98"/>
        <v>551.56664999999998</v>
      </c>
      <c r="U1070" s="8" t="str">
        <f t="shared" si="99"/>
        <v>Tue</v>
      </c>
      <c r="V1070" s="8" t="str">
        <f t="shared" si="100"/>
        <v>Wed</v>
      </c>
    </row>
    <row r="1071" spans="1:22" hidden="1" x14ac:dyDescent="0.25">
      <c r="A1071" t="s">
        <v>114</v>
      </c>
      <c r="B1071" t="s">
        <v>38</v>
      </c>
      <c r="C1071" t="s">
        <v>43</v>
      </c>
      <c r="D1071" t="s">
        <v>12</v>
      </c>
      <c r="F1071" s="5">
        <v>44103</v>
      </c>
      <c r="G1071" s="5">
        <v>44123</v>
      </c>
      <c r="H1071" s="2">
        <v>1</v>
      </c>
      <c r="I1071" s="6"/>
      <c r="J1071" s="6"/>
      <c r="K1071" s="7">
        <v>1.5</v>
      </c>
      <c r="L1071" s="7">
        <v>139.035</v>
      </c>
      <c r="M1071" t="s">
        <v>17</v>
      </c>
      <c r="N1071" s="9"/>
      <c r="O1071" s="8">
        <f t="array" ref="O1071">INDEX(TechRate,MATCH(H1071,TechNum,0))</f>
        <v>80</v>
      </c>
      <c r="P1071" s="10">
        <f>WorkOrders278[[#This Row],[Techs]]*(WorkOrders278[[#This Row],[PartsCost]]*WorkOrders278[[#This Row],[LbrHrs]])</f>
        <v>208.55250000000001</v>
      </c>
      <c r="Q1071" s="10">
        <f t="shared" si="95"/>
        <v>208.55250000000001</v>
      </c>
      <c r="R1071" s="10">
        <f t="shared" si="96"/>
        <v>139.035</v>
      </c>
      <c r="S1071" s="10">
        <f t="shared" si="97"/>
        <v>347.58749999999998</v>
      </c>
      <c r="T1071" s="10">
        <f t="shared" si="98"/>
        <v>347.58749999999998</v>
      </c>
      <c r="U1071" s="8" t="str">
        <f t="shared" si="99"/>
        <v>Tue</v>
      </c>
      <c r="V1071" s="8" t="str">
        <f t="shared" si="100"/>
        <v>Mon</v>
      </c>
    </row>
    <row r="1072" spans="1:22" hidden="1" x14ac:dyDescent="0.25">
      <c r="A1072" t="s">
        <v>115</v>
      </c>
      <c r="B1072" t="s">
        <v>38</v>
      </c>
      <c r="C1072" t="s">
        <v>8</v>
      </c>
      <c r="D1072" t="s">
        <v>13</v>
      </c>
      <c r="F1072" s="5">
        <v>44103</v>
      </c>
      <c r="G1072" s="5">
        <v>44131</v>
      </c>
      <c r="H1072" s="2">
        <v>1</v>
      </c>
      <c r="I1072" s="6"/>
      <c r="J1072" s="6"/>
      <c r="K1072" s="7">
        <v>0.5</v>
      </c>
      <c r="L1072" s="7">
        <v>50.317</v>
      </c>
      <c r="M1072" t="s">
        <v>19</v>
      </c>
      <c r="N1072" s="9"/>
      <c r="O1072" s="8">
        <f t="array" ref="O1072">INDEX(TechRate,MATCH(H1072,TechNum,0))</f>
        <v>80</v>
      </c>
      <c r="P1072" s="10">
        <f>WorkOrders278[[#This Row],[Techs]]*(WorkOrders278[[#This Row],[PartsCost]]*WorkOrders278[[#This Row],[LbrHrs]])</f>
        <v>25.1585</v>
      </c>
      <c r="Q1072" s="10">
        <f t="shared" si="95"/>
        <v>25.1585</v>
      </c>
      <c r="R1072" s="10">
        <f t="shared" si="96"/>
        <v>50.317</v>
      </c>
      <c r="S1072" s="10">
        <f t="shared" si="97"/>
        <v>75.475499999999997</v>
      </c>
      <c r="T1072" s="10">
        <f t="shared" si="98"/>
        <v>75.475499999999997</v>
      </c>
      <c r="U1072" s="8" t="str">
        <f t="shared" si="99"/>
        <v>Tue</v>
      </c>
      <c r="V1072" s="8" t="str">
        <f t="shared" si="100"/>
        <v>Tue</v>
      </c>
    </row>
    <row r="1073" spans="1:22" hidden="1" x14ac:dyDescent="0.25">
      <c r="A1073" t="s">
        <v>116</v>
      </c>
      <c r="B1073" t="s">
        <v>34</v>
      </c>
      <c r="C1073" t="s">
        <v>9</v>
      </c>
      <c r="D1073" t="s">
        <v>2</v>
      </c>
      <c r="F1073" s="5">
        <v>44103</v>
      </c>
      <c r="G1073" s="5">
        <v>44159</v>
      </c>
      <c r="H1073" s="2">
        <v>1</v>
      </c>
      <c r="I1073" s="6"/>
      <c r="J1073" s="6"/>
      <c r="K1073" s="7">
        <v>1</v>
      </c>
      <c r="L1073" s="7">
        <v>122.4273</v>
      </c>
      <c r="M1073" t="s">
        <v>18</v>
      </c>
      <c r="N1073" s="9"/>
      <c r="O1073" s="8">
        <f t="array" ref="O1073">INDEX(TechRate,MATCH(H1073,TechNum,0))</f>
        <v>80</v>
      </c>
      <c r="P1073" s="10">
        <f>WorkOrders278[[#This Row],[Techs]]*(WorkOrders278[[#This Row],[PartsCost]]*WorkOrders278[[#This Row],[LbrHrs]])</f>
        <v>122.4273</v>
      </c>
      <c r="Q1073" s="10">
        <f t="shared" si="95"/>
        <v>122.4273</v>
      </c>
      <c r="R1073" s="10">
        <f t="shared" si="96"/>
        <v>122.4273</v>
      </c>
      <c r="S1073" s="10">
        <f t="shared" si="97"/>
        <v>244.8546</v>
      </c>
      <c r="T1073" s="10">
        <f t="shared" si="98"/>
        <v>244.8546</v>
      </c>
      <c r="U1073" s="8" t="str">
        <f t="shared" si="99"/>
        <v>Tue</v>
      </c>
      <c r="V1073" s="8" t="str">
        <f t="shared" si="100"/>
        <v>Tue</v>
      </c>
    </row>
    <row r="1074" spans="1:22" hidden="1" x14ac:dyDescent="0.25">
      <c r="A1074" t="s">
        <v>117</v>
      </c>
      <c r="B1074" t="s">
        <v>38</v>
      </c>
      <c r="C1074" t="s">
        <v>8</v>
      </c>
      <c r="D1074" t="s">
        <v>12</v>
      </c>
      <c r="F1074" s="5">
        <v>44103</v>
      </c>
      <c r="G1074" s="5">
        <v>44167</v>
      </c>
      <c r="H1074" s="2">
        <v>1</v>
      </c>
      <c r="I1074" s="6"/>
      <c r="J1074" s="6"/>
      <c r="K1074" s="7">
        <v>1</v>
      </c>
      <c r="L1074" s="7">
        <v>78.5535</v>
      </c>
      <c r="M1074" t="s">
        <v>19</v>
      </c>
      <c r="N1074" s="9"/>
      <c r="O1074" s="8">
        <f t="array" ref="O1074">INDEX(TechRate,MATCH(H1074,TechNum,0))</f>
        <v>80</v>
      </c>
      <c r="P1074" s="10">
        <f>WorkOrders278[[#This Row],[Techs]]*(WorkOrders278[[#This Row],[PartsCost]]*WorkOrders278[[#This Row],[LbrHrs]])</f>
        <v>78.5535</v>
      </c>
      <c r="Q1074" s="10">
        <f t="shared" si="95"/>
        <v>78.5535</v>
      </c>
      <c r="R1074" s="10">
        <f t="shared" si="96"/>
        <v>78.5535</v>
      </c>
      <c r="S1074" s="10">
        <f t="shared" si="97"/>
        <v>157.107</v>
      </c>
      <c r="T1074" s="10">
        <f t="shared" si="98"/>
        <v>157.107</v>
      </c>
      <c r="U1074" s="8" t="str">
        <f t="shared" si="99"/>
        <v>Tue</v>
      </c>
      <c r="V1074" s="8" t="str">
        <f t="shared" si="100"/>
        <v>Wed</v>
      </c>
    </row>
    <row r="1075" spans="1:22" hidden="1" x14ac:dyDescent="0.25">
      <c r="A1075" t="s">
        <v>118</v>
      </c>
      <c r="B1075" t="s">
        <v>35</v>
      </c>
      <c r="C1075" t="s">
        <v>8</v>
      </c>
      <c r="D1075" t="s">
        <v>11</v>
      </c>
      <c r="E1075" t="s">
        <v>3</v>
      </c>
      <c r="F1075" s="5">
        <v>44104</v>
      </c>
      <c r="G1075" s="5">
        <v>44111</v>
      </c>
      <c r="H1075" s="2">
        <v>1</v>
      </c>
      <c r="I1075" s="6"/>
      <c r="J1075" s="6"/>
      <c r="K1075" s="7">
        <v>0.25</v>
      </c>
      <c r="L1075" s="7">
        <v>239.1001</v>
      </c>
      <c r="M1075" t="s">
        <v>17</v>
      </c>
      <c r="N1075" s="9"/>
      <c r="O1075" s="8">
        <f t="array" ref="O1075">INDEX(TechRate,MATCH(H1075,TechNum,0))</f>
        <v>80</v>
      </c>
      <c r="P1075" s="10">
        <f>WorkOrders278[[#This Row],[Techs]]*(WorkOrders278[[#This Row],[PartsCost]]*WorkOrders278[[#This Row],[LbrHrs]])</f>
        <v>59.775024999999999</v>
      </c>
      <c r="Q1075" s="10">
        <f t="shared" si="95"/>
        <v>59.775024999999999</v>
      </c>
      <c r="R1075" s="10">
        <f t="shared" si="96"/>
        <v>239.1001</v>
      </c>
      <c r="S1075" s="10">
        <f t="shared" si="97"/>
        <v>298.87512500000003</v>
      </c>
      <c r="T1075" s="10">
        <f t="shared" si="98"/>
        <v>298.87512500000003</v>
      </c>
      <c r="U1075" s="8" t="str">
        <f t="shared" si="99"/>
        <v>Wed</v>
      </c>
      <c r="V1075" s="8" t="str">
        <f t="shared" si="100"/>
        <v>Wed</v>
      </c>
    </row>
    <row r="1076" spans="1:22" hidden="1" x14ac:dyDescent="0.25">
      <c r="A1076" t="s">
        <v>119</v>
      </c>
      <c r="B1076" t="s">
        <v>34</v>
      </c>
      <c r="C1076" t="s">
        <v>44</v>
      </c>
      <c r="D1076" t="s">
        <v>13</v>
      </c>
      <c r="F1076" s="5">
        <v>44104</v>
      </c>
      <c r="G1076" s="5">
        <v>44123</v>
      </c>
      <c r="H1076" s="2">
        <v>1</v>
      </c>
      <c r="I1076" s="6"/>
      <c r="J1076" s="6"/>
      <c r="K1076" s="7">
        <v>0.5</v>
      </c>
      <c r="L1076" s="7">
        <v>61.180599999999998</v>
      </c>
      <c r="M1076" t="s">
        <v>18</v>
      </c>
      <c r="N1076" s="9"/>
      <c r="O1076" s="8">
        <f t="array" ref="O1076">INDEX(TechRate,MATCH(H1076,TechNum,0))</f>
        <v>80</v>
      </c>
      <c r="P1076" s="10">
        <f>WorkOrders278[[#This Row],[Techs]]*(WorkOrders278[[#This Row],[PartsCost]]*WorkOrders278[[#This Row],[LbrHrs]])</f>
        <v>30.590299999999999</v>
      </c>
      <c r="Q1076" s="10">
        <f t="shared" si="95"/>
        <v>30.590299999999999</v>
      </c>
      <c r="R1076" s="10">
        <f t="shared" si="96"/>
        <v>61.180599999999998</v>
      </c>
      <c r="S1076" s="10">
        <f t="shared" si="97"/>
        <v>91.770899999999997</v>
      </c>
      <c r="T1076" s="10">
        <f t="shared" si="98"/>
        <v>91.770899999999997</v>
      </c>
      <c r="U1076" s="8" t="str">
        <f t="shared" si="99"/>
        <v>Wed</v>
      </c>
      <c r="V1076" s="8" t="str">
        <f t="shared" si="100"/>
        <v>Mon</v>
      </c>
    </row>
    <row r="1077" spans="1:22" hidden="1" x14ac:dyDescent="0.25">
      <c r="A1077" t="s">
        <v>120</v>
      </c>
      <c r="B1077" t="s">
        <v>35</v>
      </c>
      <c r="C1077" t="s">
        <v>44</v>
      </c>
      <c r="D1077" t="s">
        <v>2</v>
      </c>
      <c r="F1077" s="5">
        <v>44104</v>
      </c>
      <c r="G1077" s="5">
        <v>44153</v>
      </c>
      <c r="H1077" s="2">
        <v>2</v>
      </c>
      <c r="I1077" s="6"/>
      <c r="J1077" s="6"/>
      <c r="K1077" s="7">
        <v>2.25</v>
      </c>
      <c r="L1077" s="7">
        <v>800.71119999999996</v>
      </c>
      <c r="M1077" t="s">
        <v>17</v>
      </c>
      <c r="N1077" s="9"/>
      <c r="O1077" s="8">
        <f t="array" ref="O1077">INDEX(TechRate,MATCH(H1077,TechNum,0))</f>
        <v>140</v>
      </c>
      <c r="P1077" s="10">
        <f>WorkOrders278[[#This Row],[Techs]]*(WorkOrders278[[#This Row],[PartsCost]]*WorkOrders278[[#This Row],[LbrHrs]])</f>
        <v>3603.2003999999997</v>
      </c>
      <c r="Q1077" s="10">
        <f t="shared" si="95"/>
        <v>3603.2003999999997</v>
      </c>
      <c r="R1077" s="10">
        <f t="shared" si="96"/>
        <v>800.71119999999996</v>
      </c>
      <c r="S1077" s="10">
        <f t="shared" si="97"/>
        <v>4403.9115999999995</v>
      </c>
      <c r="T1077" s="10">
        <f t="shared" si="98"/>
        <v>4403.9115999999995</v>
      </c>
      <c r="U1077" s="8" t="str">
        <f t="shared" si="99"/>
        <v>Wed</v>
      </c>
      <c r="V1077" s="8" t="str">
        <f t="shared" si="100"/>
        <v>Wed</v>
      </c>
    </row>
    <row r="1078" spans="1:22" hidden="1" x14ac:dyDescent="0.25">
      <c r="A1078" t="s">
        <v>121</v>
      </c>
      <c r="B1078" t="s">
        <v>35</v>
      </c>
      <c r="C1078" t="s">
        <v>8</v>
      </c>
      <c r="D1078" t="s">
        <v>12</v>
      </c>
      <c r="F1078" s="5">
        <v>44105</v>
      </c>
      <c r="G1078" s="5">
        <v>44130</v>
      </c>
      <c r="H1078" s="2">
        <v>1</v>
      </c>
      <c r="I1078" s="6"/>
      <c r="J1078" s="6"/>
      <c r="K1078" s="7">
        <v>0.25</v>
      </c>
      <c r="L1078" s="7">
        <v>19.196999999999999</v>
      </c>
      <c r="M1078" t="s">
        <v>17</v>
      </c>
      <c r="N1078" s="9"/>
      <c r="O1078" s="8">
        <f t="array" ref="O1078">INDEX(TechRate,MATCH(H1078,TechNum,0))</f>
        <v>80</v>
      </c>
      <c r="P1078" s="10">
        <f>WorkOrders278[[#This Row],[Techs]]*(WorkOrders278[[#This Row],[PartsCost]]*WorkOrders278[[#This Row],[LbrHrs]])</f>
        <v>4.7992499999999998</v>
      </c>
      <c r="Q1078" s="10">
        <f t="shared" si="95"/>
        <v>4.7992499999999998</v>
      </c>
      <c r="R1078" s="10">
        <f t="shared" si="96"/>
        <v>19.196999999999999</v>
      </c>
      <c r="S1078" s="10">
        <f t="shared" si="97"/>
        <v>23.99625</v>
      </c>
      <c r="T1078" s="10">
        <f t="shared" si="98"/>
        <v>23.99625</v>
      </c>
      <c r="U1078" s="8" t="str">
        <f t="shared" si="99"/>
        <v>Thu</v>
      </c>
      <c r="V1078" s="8" t="str">
        <f t="shared" si="100"/>
        <v>Mon</v>
      </c>
    </row>
    <row r="1079" spans="1:22" hidden="1" x14ac:dyDescent="0.25">
      <c r="A1079" t="s">
        <v>122</v>
      </c>
      <c r="B1079" t="s">
        <v>37</v>
      </c>
      <c r="C1079" t="s">
        <v>43</v>
      </c>
      <c r="D1079" t="s">
        <v>12</v>
      </c>
      <c r="F1079" s="5">
        <v>44109</v>
      </c>
      <c r="G1079" s="5">
        <v>44117</v>
      </c>
      <c r="H1079" s="2">
        <v>1</v>
      </c>
      <c r="I1079" s="6"/>
      <c r="J1079" s="6"/>
      <c r="K1079" s="7">
        <v>0.25</v>
      </c>
      <c r="L1079" s="7">
        <v>19.5</v>
      </c>
      <c r="M1079" t="s">
        <v>17</v>
      </c>
      <c r="N1079" s="9"/>
      <c r="O1079" s="8">
        <f t="array" ref="O1079">INDEX(TechRate,MATCH(H1079,TechNum,0))</f>
        <v>80</v>
      </c>
      <c r="P1079" s="10">
        <f>WorkOrders278[[#This Row],[Techs]]*(WorkOrders278[[#This Row],[PartsCost]]*WorkOrders278[[#This Row],[LbrHrs]])</f>
        <v>4.875</v>
      </c>
      <c r="Q1079" s="10">
        <f t="shared" si="95"/>
        <v>4.875</v>
      </c>
      <c r="R1079" s="10">
        <f t="shared" si="96"/>
        <v>19.5</v>
      </c>
      <c r="S1079" s="10">
        <f t="shared" si="97"/>
        <v>24.375</v>
      </c>
      <c r="T1079" s="10">
        <f t="shared" si="98"/>
        <v>24.375</v>
      </c>
      <c r="U1079" s="8" t="str">
        <f t="shared" si="99"/>
        <v>Mon</v>
      </c>
      <c r="V1079" s="8" t="str">
        <f t="shared" si="100"/>
        <v>Tue</v>
      </c>
    </row>
    <row r="1080" spans="1:22" hidden="1" x14ac:dyDescent="0.25">
      <c r="A1080" t="s">
        <v>123</v>
      </c>
      <c r="B1080" t="s">
        <v>37</v>
      </c>
      <c r="C1080" t="s">
        <v>43</v>
      </c>
      <c r="D1080" t="s">
        <v>11</v>
      </c>
      <c r="F1080" s="5">
        <v>44109</v>
      </c>
      <c r="G1080" s="5">
        <v>44117</v>
      </c>
      <c r="H1080" s="2">
        <v>1</v>
      </c>
      <c r="I1080" s="6"/>
      <c r="J1080" s="6"/>
      <c r="K1080" s="7">
        <v>0.25</v>
      </c>
      <c r="L1080" s="7">
        <v>22.425000000000001</v>
      </c>
      <c r="M1080" t="s">
        <v>17</v>
      </c>
      <c r="N1080" s="9"/>
      <c r="O1080" s="8">
        <f t="array" ref="O1080">INDEX(TechRate,MATCH(H1080,TechNum,0))</f>
        <v>80</v>
      </c>
      <c r="P1080" s="10">
        <f>WorkOrders278[[#This Row],[Techs]]*(WorkOrders278[[#This Row],[PartsCost]]*WorkOrders278[[#This Row],[LbrHrs]])</f>
        <v>5.6062500000000002</v>
      </c>
      <c r="Q1080" s="10">
        <f t="shared" si="95"/>
        <v>5.6062500000000002</v>
      </c>
      <c r="R1080" s="10">
        <f t="shared" si="96"/>
        <v>22.425000000000001</v>
      </c>
      <c r="S1080" s="10">
        <f t="shared" si="97"/>
        <v>28.03125</v>
      </c>
      <c r="T1080" s="10">
        <f t="shared" si="98"/>
        <v>28.03125</v>
      </c>
      <c r="U1080" s="8" t="str">
        <f t="shared" si="99"/>
        <v>Mon</v>
      </c>
      <c r="V1080" s="8" t="str">
        <f t="shared" si="100"/>
        <v>Tue</v>
      </c>
    </row>
    <row r="1081" spans="1:22" hidden="1" x14ac:dyDescent="0.25">
      <c r="A1081" t="s">
        <v>124</v>
      </c>
      <c r="B1081" t="s">
        <v>38</v>
      </c>
      <c r="C1081" t="s">
        <v>9</v>
      </c>
      <c r="D1081" t="s">
        <v>12</v>
      </c>
      <c r="F1081" s="5">
        <v>44109</v>
      </c>
      <c r="G1081" s="5">
        <v>44117</v>
      </c>
      <c r="H1081" s="2">
        <v>1</v>
      </c>
      <c r="I1081" s="6"/>
      <c r="J1081" s="6"/>
      <c r="K1081" s="7">
        <v>0.5</v>
      </c>
      <c r="L1081" s="7">
        <v>26.582599999999999</v>
      </c>
      <c r="M1081" t="s">
        <v>17</v>
      </c>
      <c r="N1081" s="9"/>
      <c r="O1081" s="8">
        <f t="array" ref="O1081">INDEX(TechRate,MATCH(H1081,TechNum,0))</f>
        <v>80</v>
      </c>
      <c r="P1081" s="10">
        <f>WorkOrders278[[#This Row],[Techs]]*(WorkOrders278[[#This Row],[PartsCost]]*WorkOrders278[[#This Row],[LbrHrs]])</f>
        <v>13.2913</v>
      </c>
      <c r="Q1081" s="10">
        <f t="shared" si="95"/>
        <v>13.2913</v>
      </c>
      <c r="R1081" s="10">
        <f t="shared" si="96"/>
        <v>26.582599999999999</v>
      </c>
      <c r="S1081" s="10">
        <f t="shared" si="97"/>
        <v>39.873899999999999</v>
      </c>
      <c r="T1081" s="10">
        <f t="shared" si="98"/>
        <v>39.873899999999999</v>
      </c>
      <c r="U1081" s="8" t="str">
        <f t="shared" si="99"/>
        <v>Mon</v>
      </c>
      <c r="V1081" s="8" t="str">
        <f t="shared" si="100"/>
        <v>Tue</v>
      </c>
    </row>
    <row r="1082" spans="1:22" hidden="1" x14ac:dyDescent="0.25">
      <c r="A1082" t="s">
        <v>125</v>
      </c>
      <c r="B1082" t="s">
        <v>34</v>
      </c>
      <c r="C1082" t="s">
        <v>44</v>
      </c>
      <c r="D1082" t="s">
        <v>12</v>
      </c>
      <c r="F1082" s="5">
        <v>44109</v>
      </c>
      <c r="G1082" s="5">
        <v>44128</v>
      </c>
      <c r="H1082" s="2">
        <v>1</v>
      </c>
      <c r="I1082" s="6"/>
      <c r="J1082" s="6"/>
      <c r="K1082" s="7">
        <v>0.5</v>
      </c>
      <c r="L1082" s="7">
        <v>288.20800000000003</v>
      </c>
      <c r="M1082" t="s">
        <v>18</v>
      </c>
      <c r="N1082" s="9"/>
      <c r="O1082" s="8">
        <f t="array" ref="O1082">INDEX(TechRate,MATCH(H1082,TechNum,0))</f>
        <v>80</v>
      </c>
      <c r="P1082" s="10">
        <f>WorkOrders278[[#This Row],[Techs]]*(WorkOrders278[[#This Row],[PartsCost]]*WorkOrders278[[#This Row],[LbrHrs]])</f>
        <v>144.10400000000001</v>
      </c>
      <c r="Q1082" s="10">
        <f t="shared" si="95"/>
        <v>144.10400000000001</v>
      </c>
      <c r="R1082" s="10">
        <f t="shared" si="96"/>
        <v>288.20800000000003</v>
      </c>
      <c r="S1082" s="10">
        <f t="shared" si="97"/>
        <v>432.31200000000001</v>
      </c>
      <c r="T1082" s="10">
        <f t="shared" si="98"/>
        <v>432.31200000000001</v>
      </c>
      <c r="U1082" s="8" t="str">
        <f t="shared" si="99"/>
        <v>Mon</v>
      </c>
      <c r="V1082" s="8" t="str">
        <f t="shared" si="100"/>
        <v>Sat</v>
      </c>
    </row>
    <row r="1083" spans="1:22" hidden="1" x14ac:dyDescent="0.25">
      <c r="A1083" t="s">
        <v>126</v>
      </c>
      <c r="B1083" t="s">
        <v>37</v>
      </c>
      <c r="C1083" t="s">
        <v>43</v>
      </c>
      <c r="D1083" t="s">
        <v>13</v>
      </c>
      <c r="F1083" s="5">
        <v>44109</v>
      </c>
      <c r="G1083" s="5">
        <v>44123</v>
      </c>
      <c r="H1083" s="2">
        <v>1</v>
      </c>
      <c r="I1083" s="6"/>
      <c r="J1083" s="6"/>
      <c r="K1083" s="7">
        <v>0.5</v>
      </c>
      <c r="L1083" s="7">
        <v>54.236800000000002</v>
      </c>
      <c r="M1083" t="s">
        <v>17</v>
      </c>
      <c r="N1083" s="9"/>
      <c r="O1083" s="8">
        <f t="array" ref="O1083">INDEX(TechRate,MATCH(H1083,TechNum,0))</f>
        <v>80</v>
      </c>
      <c r="P1083" s="10">
        <f>WorkOrders278[[#This Row],[Techs]]*(WorkOrders278[[#This Row],[PartsCost]]*WorkOrders278[[#This Row],[LbrHrs]])</f>
        <v>27.118400000000001</v>
      </c>
      <c r="Q1083" s="10">
        <f t="shared" si="95"/>
        <v>27.118400000000001</v>
      </c>
      <c r="R1083" s="10">
        <f t="shared" si="96"/>
        <v>54.236800000000002</v>
      </c>
      <c r="S1083" s="10">
        <f t="shared" si="97"/>
        <v>81.355199999999996</v>
      </c>
      <c r="T1083" s="10">
        <f t="shared" si="98"/>
        <v>81.355199999999996</v>
      </c>
      <c r="U1083" s="8" t="str">
        <f t="shared" si="99"/>
        <v>Mon</v>
      </c>
      <c r="V1083" s="8" t="str">
        <f t="shared" si="100"/>
        <v>Mon</v>
      </c>
    </row>
    <row r="1084" spans="1:22" hidden="1" x14ac:dyDescent="0.25">
      <c r="A1084" t="s">
        <v>127</v>
      </c>
      <c r="B1084" t="s">
        <v>38</v>
      </c>
      <c r="C1084" t="s">
        <v>43</v>
      </c>
      <c r="D1084" t="s">
        <v>12</v>
      </c>
      <c r="F1084" s="5">
        <v>44110</v>
      </c>
      <c r="G1084" s="5">
        <v>44123</v>
      </c>
      <c r="H1084" s="2">
        <v>1</v>
      </c>
      <c r="I1084" s="6"/>
      <c r="J1084" s="6"/>
      <c r="K1084" s="7">
        <v>0.25</v>
      </c>
      <c r="L1084" s="7">
        <v>332.39699999999999</v>
      </c>
      <c r="M1084" t="s">
        <v>19</v>
      </c>
      <c r="N1084" s="9"/>
      <c r="O1084" s="8">
        <f t="array" ref="O1084">INDEX(TechRate,MATCH(H1084,TechNum,0))</f>
        <v>80</v>
      </c>
      <c r="P1084" s="10">
        <f>WorkOrders278[[#This Row],[Techs]]*(WorkOrders278[[#This Row],[PartsCost]]*WorkOrders278[[#This Row],[LbrHrs]])</f>
        <v>83.099249999999998</v>
      </c>
      <c r="Q1084" s="10">
        <f t="shared" si="95"/>
        <v>83.099249999999998</v>
      </c>
      <c r="R1084" s="10">
        <f t="shared" si="96"/>
        <v>332.39699999999999</v>
      </c>
      <c r="S1084" s="10">
        <f t="shared" si="97"/>
        <v>415.49624999999997</v>
      </c>
      <c r="T1084" s="10">
        <f t="shared" si="98"/>
        <v>415.49624999999997</v>
      </c>
      <c r="U1084" s="8" t="str">
        <f t="shared" si="99"/>
        <v>Tue</v>
      </c>
      <c r="V1084" s="8" t="str">
        <f t="shared" si="100"/>
        <v>Mon</v>
      </c>
    </row>
    <row r="1085" spans="1:22" hidden="1" x14ac:dyDescent="0.25">
      <c r="A1085" t="s">
        <v>128</v>
      </c>
      <c r="B1085" t="s">
        <v>35</v>
      </c>
      <c r="C1085" t="s">
        <v>8</v>
      </c>
      <c r="D1085" t="s">
        <v>12</v>
      </c>
      <c r="F1085" s="5">
        <v>44110</v>
      </c>
      <c r="G1085" s="5">
        <v>44127</v>
      </c>
      <c r="H1085" s="2">
        <v>2</v>
      </c>
      <c r="I1085" s="6"/>
      <c r="J1085" s="6"/>
      <c r="K1085" s="7">
        <v>0.75</v>
      </c>
      <c r="L1085" s="7">
        <v>124.1649</v>
      </c>
      <c r="M1085" t="s">
        <v>18</v>
      </c>
      <c r="N1085" s="9"/>
      <c r="O1085" s="8">
        <f t="array" ref="O1085">INDEX(TechRate,MATCH(H1085,TechNum,0))</f>
        <v>140</v>
      </c>
      <c r="P1085" s="10">
        <f>WorkOrders278[[#This Row],[Techs]]*(WorkOrders278[[#This Row],[PartsCost]]*WorkOrders278[[#This Row],[LbrHrs]])</f>
        <v>186.24735000000001</v>
      </c>
      <c r="Q1085" s="10">
        <f t="shared" si="95"/>
        <v>186.24735000000001</v>
      </c>
      <c r="R1085" s="10">
        <f t="shared" si="96"/>
        <v>124.1649</v>
      </c>
      <c r="S1085" s="10">
        <f t="shared" si="97"/>
        <v>310.41225000000003</v>
      </c>
      <c r="T1085" s="10">
        <f t="shared" si="98"/>
        <v>310.41225000000003</v>
      </c>
      <c r="U1085" s="8" t="str">
        <f t="shared" si="99"/>
        <v>Tue</v>
      </c>
      <c r="V1085" s="8" t="str">
        <f t="shared" si="100"/>
        <v>Fri</v>
      </c>
    </row>
    <row r="1086" spans="1:22" hidden="1" x14ac:dyDescent="0.25">
      <c r="A1086" t="s">
        <v>129</v>
      </c>
      <c r="B1086" t="s">
        <v>34</v>
      </c>
      <c r="C1086" t="s">
        <v>9</v>
      </c>
      <c r="D1086" t="s">
        <v>11</v>
      </c>
      <c r="F1086" s="5">
        <v>44110</v>
      </c>
      <c r="G1086" s="5">
        <v>44130</v>
      </c>
      <c r="H1086" s="2">
        <v>1</v>
      </c>
      <c r="I1086" s="6"/>
      <c r="J1086" s="6"/>
      <c r="K1086" s="7">
        <v>0.25</v>
      </c>
      <c r="L1086" s="7">
        <v>21.63</v>
      </c>
      <c r="M1086" t="s">
        <v>17</v>
      </c>
      <c r="N1086" s="9"/>
      <c r="O1086" s="8">
        <f t="array" ref="O1086">INDEX(TechRate,MATCH(H1086,TechNum,0))</f>
        <v>80</v>
      </c>
      <c r="P1086" s="10">
        <f>WorkOrders278[[#This Row],[Techs]]*(WorkOrders278[[#This Row],[PartsCost]]*WorkOrders278[[#This Row],[LbrHrs]])</f>
        <v>5.4074999999999998</v>
      </c>
      <c r="Q1086" s="10">
        <f t="shared" si="95"/>
        <v>5.4074999999999998</v>
      </c>
      <c r="R1086" s="10">
        <f t="shared" si="96"/>
        <v>21.63</v>
      </c>
      <c r="S1086" s="10">
        <f t="shared" si="97"/>
        <v>27.037499999999998</v>
      </c>
      <c r="T1086" s="10">
        <f t="shared" si="98"/>
        <v>27.037499999999998</v>
      </c>
      <c r="U1086" s="8" t="str">
        <f t="shared" si="99"/>
        <v>Tue</v>
      </c>
      <c r="V1086" s="8" t="str">
        <f t="shared" si="100"/>
        <v>Mon</v>
      </c>
    </row>
    <row r="1087" spans="1:22" hidden="1" x14ac:dyDescent="0.25">
      <c r="A1087" t="s">
        <v>130</v>
      </c>
      <c r="B1087" t="s">
        <v>35</v>
      </c>
      <c r="C1087" t="s">
        <v>8</v>
      </c>
      <c r="D1087" t="s">
        <v>12</v>
      </c>
      <c r="F1087" s="5">
        <v>44111</v>
      </c>
      <c r="G1087" s="5">
        <v>44123</v>
      </c>
      <c r="H1087" s="2">
        <v>2</v>
      </c>
      <c r="I1087" s="6"/>
      <c r="J1087" s="6" t="s">
        <v>3</v>
      </c>
      <c r="K1087" s="7">
        <v>0.25</v>
      </c>
      <c r="L1087" s="7">
        <v>33</v>
      </c>
      <c r="M1087" t="s">
        <v>18</v>
      </c>
      <c r="N1087" s="9"/>
      <c r="O1087" s="8">
        <f t="array" ref="O1087">INDEX(TechRate,MATCH(H1087,TechNum,0))</f>
        <v>140</v>
      </c>
      <c r="P1087" s="10">
        <f>WorkOrders278[[#This Row],[Techs]]*(WorkOrders278[[#This Row],[PartsCost]]*WorkOrders278[[#This Row],[LbrHrs]])</f>
        <v>16.5</v>
      </c>
      <c r="Q1087" s="10">
        <f t="shared" si="95"/>
        <v>16.5</v>
      </c>
      <c r="R1087" s="10">
        <f t="shared" si="96"/>
        <v>0</v>
      </c>
      <c r="S1087" s="10">
        <f t="shared" si="97"/>
        <v>49.5</v>
      </c>
      <c r="T1087" s="10">
        <f t="shared" si="98"/>
        <v>16.5</v>
      </c>
      <c r="U1087" s="8" t="str">
        <f t="shared" si="99"/>
        <v>Wed</v>
      </c>
      <c r="V1087" s="8" t="str">
        <f t="shared" si="100"/>
        <v>Mon</v>
      </c>
    </row>
    <row r="1088" spans="1:22" hidden="1" x14ac:dyDescent="0.25">
      <c r="A1088" t="s">
        <v>131</v>
      </c>
      <c r="B1088" t="s">
        <v>35</v>
      </c>
      <c r="C1088" t="s">
        <v>8</v>
      </c>
      <c r="D1088" t="s">
        <v>12</v>
      </c>
      <c r="F1088" s="5">
        <v>44111</v>
      </c>
      <c r="G1088" s="5">
        <v>44123</v>
      </c>
      <c r="H1088" s="2">
        <v>2</v>
      </c>
      <c r="I1088" s="6"/>
      <c r="J1088" s="6"/>
      <c r="K1088" s="7">
        <v>0.5</v>
      </c>
      <c r="L1088" s="7">
        <v>154.5</v>
      </c>
      <c r="M1088" t="s">
        <v>18</v>
      </c>
      <c r="N1088" s="9"/>
      <c r="O1088" s="8">
        <f t="array" ref="O1088">INDEX(TechRate,MATCH(H1088,TechNum,0))</f>
        <v>140</v>
      </c>
      <c r="P1088" s="10">
        <f>WorkOrders278[[#This Row],[Techs]]*(WorkOrders278[[#This Row],[PartsCost]]*WorkOrders278[[#This Row],[LbrHrs]])</f>
        <v>154.5</v>
      </c>
      <c r="Q1088" s="10">
        <f t="shared" si="95"/>
        <v>154.5</v>
      </c>
      <c r="R1088" s="10">
        <f t="shared" si="96"/>
        <v>154.5</v>
      </c>
      <c r="S1088" s="10">
        <f t="shared" si="97"/>
        <v>309</v>
      </c>
      <c r="T1088" s="10">
        <f t="shared" si="98"/>
        <v>309</v>
      </c>
      <c r="U1088" s="8" t="str">
        <f t="shared" si="99"/>
        <v>Wed</v>
      </c>
      <c r="V1088" s="8" t="str">
        <f t="shared" si="100"/>
        <v>Mon</v>
      </c>
    </row>
    <row r="1089" spans="1:22" hidden="1" x14ac:dyDescent="0.25">
      <c r="A1089" t="s">
        <v>132</v>
      </c>
      <c r="B1089" t="s">
        <v>37</v>
      </c>
      <c r="C1089" t="s">
        <v>43</v>
      </c>
      <c r="D1089" t="s">
        <v>2</v>
      </c>
      <c r="F1089" s="5">
        <v>44111</v>
      </c>
      <c r="G1089" s="5">
        <v>44124</v>
      </c>
      <c r="H1089" s="2">
        <v>1</v>
      </c>
      <c r="I1089" s="6"/>
      <c r="J1089" s="6"/>
      <c r="K1089" s="7">
        <v>1</v>
      </c>
      <c r="L1089" s="7">
        <v>48.75</v>
      </c>
      <c r="M1089" t="s">
        <v>17</v>
      </c>
      <c r="N1089" s="9"/>
      <c r="O1089" s="8">
        <f t="array" ref="O1089">INDEX(TechRate,MATCH(H1089,TechNum,0))</f>
        <v>80</v>
      </c>
      <c r="P1089" s="10">
        <f>WorkOrders278[[#This Row],[Techs]]*(WorkOrders278[[#This Row],[PartsCost]]*WorkOrders278[[#This Row],[LbrHrs]])</f>
        <v>48.75</v>
      </c>
      <c r="Q1089" s="10">
        <f t="shared" si="95"/>
        <v>48.75</v>
      </c>
      <c r="R1089" s="10">
        <f t="shared" si="96"/>
        <v>48.75</v>
      </c>
      <c r="S1089" s="10">
        <f t="shared" si="97"/>
        <v>97.5</v>
      </c>
      <c r="T1089" s="10">
        <f t="shared" si="98"/>
        <v>97.5</v>
      </c>
      <c r="U1089" s="8" t="str">
        <f t="shared" si="99"/>
        <v>Wed</v>
      </c>
      <c r="V1089" s="8" t="str">
        <f t="shared" si="100"/>
        <v>Tue</v>
      </c>
    </row>
    <row r="1090" spans="1:22" hidden="1" x14ac:dyDescent="0.25">
      <c r="A1090" t="s">
        <v>133</v>
      </c>
      <c r="B1090" t="s">
        <v>37</v>
      </c>
      <c r="C1090" t="s">
        <v>43</v>
      </c>
      <c r="D1090" t="s">
        <v>11</v>
      </c>
      <c r="F1090" s="5">
        <v>44112</v>
      </c>
      <c r="G1090" s="5">
        <v>44124</v>
      </c>
      <c r="H1090" s="2">
        <v>1</v>
      </c>
      <c r="I1090" s="6"/>
      <c r="J1090" s="6"/>
      <c r="K1090" s="7">
        <v>0.25</v>
      </c>
      <c r="L1090" s="7">
        <v>76.1678</v>
      </c>
      <c r="M1090" t="s">
        <v>17</v>
      </c>
      <c r="N1090" s="9"/>
      <c r="O1090" s="8">
        <f t="array" ref="O1090">INDEX(TechRate,MATCH(H1090,TechNum,0))</f>
        <v>80</v>
      </c>
      <c r="P1090" s="10">
        <f>WorkOrders278[[#This Row],[Techs]]*(WorkOrders278[[#This Row],[PartsCost]]*WorkOrders278[[#This Row],[LbrHrs]])</f>
        <v>19.04195</v>
      </c>
      <c r="Q1090" s="10">
        <f t="shared" si="95"/>
        <v>19.04195</v>
      </c>
      <c r="R1090" s="10">
        <f t="shared" si="96"/>
        <v>76.1678</v>
      </c>
      <c r="S1090" s="10">
        <f t="shared" si="97"/>
        <v>95.20975</v>
      </c>
      <c r="T1090" s="10">
        <f t="shared" si="98"/>
        <v>95.20975</v>
      </c>
      <c r="U1090" s="8" t="str">
        <f t="shared" si="99"/>
        <v>Thu</v>
      </c>
      <c r="V1090" s="8" t="str">
        <f t="shared" si="100"/>
        <v>Tue</v>
      </c>
    </row>
    <row r="1091" spans="1:22" hidden="1" x14ac:dyDescent="0.25">
      <c r="A1091" t="s">
        <v>134</v>
      </c>
      <c r="B1091" t="s">
        <v>35</v>
      </c>
      <c r="C1091" t="s">
        <v>8</v>
      </c>
      <c r="D1091" t="s">
        <v>13</v>
      </c>
      <c r="F1091" s="5">
        <v>44112</v>
      </c>
      <c r="G1091" s="5">
        <v>44142</v>
      </c>
      <c r="H1091" s="2">
        <v>1</v>
      </c>
      <c r="I1091" s="6"/>
      <c r="J1091" s="6"/>
      <c r="K1091" s="7">
        <v>0.75</v>
      </c>
      <c r="L1091" s="7">
        <v>117</v>
      </c>
      <c r="M1091" t="s">
        <v>18</v>
      </c>
      <c r="N1091" s="9"/>
      <c r="O1091" s="8">
        <f t="array" ref="O1091">INDEX(TechRate,MATCH(H1091,TechNum,0))</f>
        <v>80</v>
      </c>
      <c r="P1091" s="10">
        <f>WorkOrders278[[#This Row],[Techs]]*(WorkOrders278[[#This Row],[PartsCost]]*WorkOrders278[[#This Row],[LbrHrs]])</f>
        <v>87.75</v>
      </c>
      <c r="Q1091" s="10">
        <f t="shared" si="95"/>
        <v>87.75</v>
      </c>
      <c r="R1091" s="10">
        <f t="shared" si="96"/>
        <v>117</v>
      </c>
      <c r="S1091" s="10">
        <f t="shared" si="97"/>
        <v>204.75</v>
      </c>
      <c r="T1091" s="10">
        <f t="shared" si="98"/>
        <v>204.75</v>
      </c>
      <c r="U1091" s="8" t="str">
        <f t="shared" si="99"/>
        <v>Thu</v>
      </c>
      <c r="V1091" s="8" t="str">
        <f t="shared" si="100"/>
        <v>Sat</v>
      </c>
    </row>
    <row r="1092" spans="1:22" hidden="1" x14ac:dyDescent="0.25">
      <c r="A1092" t="s">
        <v>135</v>
      </c>
      <c r="B1092" t="s">
        <v>35</v>
      </c>
      <c r="C1092" t="s">
        <v>44</v>
      </c>
      <c r="D1092" t="s">
        <v>2</v>
      </c>
      <c r="F1092" s="5">
        <v>44112</v>
      </c>
      <c r="G1092" s="5">
        <v>44145</v>
      </c>
      <c r="H1092" s="2">
        <v>2</v>
      </c>
      <c r="I1092" s="6"/>
      <c r="J1092" s="6"/>
      <c r="K1092" s="7">
        <v>1.5</v>
      </c>
      <c r="L1092" s="7">
        <v>1575.9739999999999</v>
      </c>
      <c r="M1092" t="s">
        <v>18</v>
      </c>
      <c r="N1092" s="9"/>
      <c r="O1092" s="8">
        <f t="array" ref="O1092">INDEX(TechRate,MATCH(H1092,TechNum,0))</f>
        <v>140</v>
      </c>
      <c r="P1092" s="10">
        <f>WorkOrders278[[#This Row],[Techs]]*(WorkOrders278[[#This Row],[PartsCost]]*WorkOrders278[[#This Row],[LbrHrs]])</f>
        <v>4727.9219999999996</v>
      </c>
      <c r="Q1092" s="10">
        <f t="shared" si="95"/>
        <v>4727.9219999999996</v>
      </c>
      <c r="R1092" s="10">
        <f t="shared" si="96"/>
        <v>1575.9739999999999</v>
      </c>
      <c r="S1092" s="10">
        <f t="shared" si="97"/>
        <v>6303.8959999999997</v>
      </c>
      <c r="T1092" s="10">
        <f t="shared" si="98"/>
        <v>6303.8959999999997</v>
      </c>
      <c r="U1092" s="8" t="str">
        <f t="shared" si="99"/>
        <v>Thu</v>
      </c>
      <c r="V1092" s="8" t="str">
        <f t="shared" si="100"/>
        <v>Tue</v>
      </c>
    </row>
    <row r="1093" spans="1:22" hidden="1" x14ac:dyDescent="0.25">
      <c r="A1093" t="s">
        <v>136</v>
      </c>
      <c r="B1093" t="s">
        <v>38</v>
      </c>
      <c r="C1093" t="s">
        <v>8</v>
      </c>
      <c r="D1093" t="s">
        <v>13</v>
      </c>
      <c r="F1093" s="5">
        <v>44112</v>
      </c>
      <c r="G1093" s="5">
        <v>44153</v>
      </c>
      <c r="H1093" s="2">
        <v>1</v>
      </c>
      <c r="I1093" s="6"/>
      <c r="J1093" s="6"/>
      <c r="K1093" s="7">
        <v>0.5</v>
      </c>
      <c r="L1093" s="7">
        <v>21.33</v>
      </c>
      <c r="M1093" t="s">
        <v>19</v>
      </c>
      <c r="N1093" s="9"/>
      <c r="O1093" s="8">
        <f t="array" ref="O1093">INDEX(TechRate,MATCH(H1093,TechNum,0))</f>
        <v>80</v>
      </c>
      <c r="P1093" s="10">
        <f>WorkOrders278[[#This Row],[Techs]]*(WorkOrders278[[#This Row],[PartsCost]]*WorkOrders278[[#This Row],[LbrHrs]])</f>
        <v>10.664999999999999</v>
      </c>
      <c r="Q1093" s="10">
        <f t="shared" si="95"/>
        <v>10.664999999999999</v>
      </c>
      <c r="R1093" s="10">
        <f t="shared" si="96"/>
        <v>21.33</v>
      </c>
      <c r="S1093" s="10">
        <f t="shared" si="97"/>
        <v>31.994999999999997</v>
      </c>
      <c r="T1093" s="10">
        <f t="shared" si="98"/>
        <v>31.994999999999997</v>
      </c>
      <c r="U1093" s="8" t="str">
        <f t="shared" si="99"/>
        <v>Thu</v>
      </c>
      <c r="V1093" s="8" t="str">
        <f t="shared" si="100"/>
        <v>Wed</v>
      </c>
    </row>
    <row r="1094" spans="1:22" hidden="1" x14ac:dyDescent="0.25">
      <c r="A1094" t="s">
        <v>137</v>
      </c>
      <c r="B1094" t="s">
        <v>39</v>
      </c>
      <c r="C1094" t="s">
        <v>6</v>
      </c>
      <c r="D1094" t="s">
        <v>13</v>
      </c>
      <c r="F1094" s="5">
        <v>44112</v>
      </c>
      <c r="G1094" s="5">
        <v>44165</v>
      </c>
      <c r="H1094" s="2">
        <v>1</v>
      </c>
      <c r="I1094" s="6"/>
      <c r="J1094" s="6"/>
      <c r="K1094" s="7">
        <v>0.5</v>
      </c>
      <c r="L1094" s="7">
        <v>74.785899999999998</v>
      </c>
      <c r="M1094" t="s">
        <v>17</v>
      </c>
      <c r="N1094" s="9"/>
      <c r="O1094" s="8">
        <f t="array" ref="O1094">INDEX(TechRate,MATCH(H1094,TechNum,0))</f>
        <v>80</v>
      </c>
      <c r="P1094" s="10">
        <f>WorkOrders278[[#This Row],[Techs]]*(WorkOrders278[[#This Row],[PartsCost]]*WorkOrders278[[#This Row],[LbrHrs]])</f>
        <v>37.392949999999999</v>
      </c>
      <c r="Q1094" s="10">
        <f t="shared" si="95"/>
        <v>37.392949999999999</v>
      </c>
      <c r="R1094" s="10">
        <f t="shared" si="96"/>
        <v>74.785899999999998</v>
      </c>
      <c r="S1094" s="10">
        <f t="shared" si="97"/>
        <v>112.17885</v>
      </c>
      <c r="T1094" s="10">
        <f t="shared" si="98"/>
        <v>112.17885</v>
      </c>
      <c r="U1094" s="8" t="str">
        <f t="shared" si="99"/>
        <v>Thu</v>
      </c>
      <c r="V1094" s="8" t="str">
        <f t="shared" si="100"/>
        <v>Mon</v>
      </c>
    </row>
    <row r="1095" spans="1:22" hidden="1" x14ac:dyDescent="0.25">
      <c r="A1095" t="s">
        <v>138</v>
      </c>
      <c r="B1095" t="s">
        <v>41</v>
      </c>
      <c r="C1095" t="s">
        <v>6</v>
      </c>
      <c r="D1095" t="s">
        <v>2</v>
      </c>
      <c r="F1095" s="5">
        <v>44112</v>
      </c>
      <c r="G1095" s="5">
        <v>44166</v>
      </c>
      <c r="H1095" s="2">
        <v>2</v>
      </c>
      <c r="I1095" s="6"/>
      <c r="J1095" s="6"/>
      <c r="K1095" s="7">
        <v>4.75</v>
      </c>
      <c r="L1095" s="7">
        <v>1123.9716000000001</v>
      </c>
      <c r="M1095" t="s">
        <v>18</v>
      </c>
      <c r="N1095" s="9"/>
      <c r="O1095" s="8">
        <f t="array" ref="O1095">INDEX(TechRate,MATCH(H1095,TechNum,0))</f>
        <v>140</v>
      </c>
      <c r="P1095" s="10">
        <f>WorkOrders278[[#This Row],[Techs]]*(WorkOrders278[[#This Row],[PartsCost]]*WorkOrders278[[#This Row],[LbrHrs]])</f>
        <v>10677.7302</v>
      </c>
      <c r="Q1095" s="10">
        <f t="shared" si="95"/>
        <v>10677.7302</v>
      </c>
      <c r="R1095" s="10">
        <f t="shared" si="96"/>
        <v>1123.9716000000001</v>
      </c>
      <c r="S1095" s="10">
        <f t="shared" si="97"/>
        <v>11801.701800000001</v>
      </c>
      <c r="T1095" s="10">
        <f t="shared" si="98"/>
        <v>11801.701800000001</v>
      </c>
      <c r="U1095" s="8" t="str">
        <f t="shared" si="99"/>
        <v>Thu</v>
      </c>
      <c r="V1095" s="8" t="str">
        <f t="shared" si="100"/>
        <v>Tue</v>
      </c>
    </row>
    <row r="1096" spans="1:22" hidden="1" x14ac:dyDescent="0.25">
      <c r="A1096" t="s">
        <v>139</v>
      </c>
      <c r="B1096" t="s">
        <v>34</v>
      </c>
      <c r="C1096" t="s">
        <v>9</v>
      </c>
      <c r="D1096" t="s">
        <v>12</v>
      </c>
      <c r="F1096" s="5">
        <v>44116</v>
      </c>
      <c r="G1096" s="5">
        <v>44130</v>
      </c>
      <c r="H1096" s="2">
        <v>2</v>
      </c>
      <c r="I1096" s="6"/>
      <c r="J1096" s="6"/>
      <c r="K1096" s="7">
        <v>1</v>
      </c>
      <c r="L1096" s="7">
        <v>128.9796</v>
      </c>
      <c r="M1096" t="s">
        <v>17</v>
      </c>
      <c r="N1096" s="9"/>
      <c r="O1096" s="8">
        <f t="array" ref="O1096">INDEX(TechRate,MATCH(H1096,TechNum,0))</f>
        <v>140</v>
      </c>
      <c r="P1096" s="10">
        <f>WorkOrders278[[#This Row],[Techs]]*(WorkOrders278[[#This Row],[PartsCost]]*WorkOrders278[[#This Row],[LbrHrs]])</f>
        <v>257.95920000000001</v>
      </c>
      <c r="Q1096" s="10">
        <f t="shared" si="95"/>
        <v>257.95920000000001</v>
      </c>
      <c r="R1096" s="10">
        <f t="shared" si="96"/>
        <v>128.9796</v>
      </c>
      <c r="S1096" s="10">
        <f t="shared" si="97"/>
        <v>386.93880000000001</v>
      </c>
      <c r="T1096" s="10">
        <f t="shared" si="98"/>
        <v>386.93880000000001</v>
      </c>
      <c r="U1096" s="8" t="str">
        <f t="shared" si="99"/>
        <v>Mon</v>
      </c>
      <c r="V1096" s="8" t="str">
        <f t="shared" si="100"/>
        <v>Mon</v>
      </c>
    </row>
    <row r="1097" spans="1:22" hidden="1" x14ac:dyDescent="0.25">
      <c r="A1097" t="s">
        <v>140</v>
      </c>
      <c r="B1097" t="s">
        <v>38</v>
      </c>
      <c r="C1097" t="s">
        <v>8</v>
      </c>
      <c r="D1097" t="s">
        <v>13</v>
      </c>
      <c r="F1097" s="5">
        <v>44116</v>
      </c>
      <c r="G1097" s="5">
        <v>44139</v>
      </c>
      <c r="H1097" s="2">
        <v>1</v>
      </c>
      <c r="I1097" s="6"/>
      <c r="J1097" s="6"/>
      <c r="K1097" s="7">
        <v>0.5</v>
      </c>
      <c r="L1097" s="7">
        <v>144</v>
      </c>
      <c r="M1097" t="s">
        <v>19</v>
      </c>
      <c r="N1097" s="9"/>
      <c r="O1097" s="8">
        <f t="array" ref="O1097">INDEX(TechRate,MATCH(H1097,TechNum,0))</f>
        <v>80</v>
      </c>
      <c r="P1097" s="10">
        <f>WorkOrders278[[#This Row],[Techs]]*(WorkOrders278[[#This Row],[PartsCost]]*WorkOrders278[[#This Row],[LbrHrs]])</f>
        <v>72</v>
      </c>
      <c r="Q1097" s="10">
        <f t="shared" si="95"/>
        <v>72</v>
      </c>
      <c r="R1097" s="10">
        <f t="shared" si="96"/>
        <v>144</v>
      </c>
      <c r="S1097" s="10">
        <f t="shared" si="97"/>
        <v>216</v>
      </c>
      <c r="T1097" s="10">
        <f t="shared" si="98"/>
        <v>216</v>
      </c>
      <c r="U1097" s="8" t="str">
        <f t="shared" si="99"/>
        <v>Mon</v>
      </c>
      <c r="V1097" s="8" t="str">
        <f t="shared" si="100"/>
        <v>Wed</v>
      </c>
    </row>
    <row r="1098" spans="1:22" hidden="1" x14ac:dyDescent="0.25">
      <c r="A1098" t="s">
        <v>141</v>
      </c>
      <c r="B1098" t="s">
        <v>34</v>
      </c>
      <c r="C1098" t="s">
        <v>6</v>
      </c>
      <c r="D1098" t="s">
        <v>12</v>
      </c>
      <c r="F1098" s="5">
        <v>44116</v>
      </c>
      <c r="G1098" s="5">
        <v>44140</v>
      </c>
      <c r="H1098" s="2">
        <v>2</v>
      </c>
      <c r="I1098" s="6"/>
      <c r="J1098" s="6"/>
      <c r="K1098" s="7">
        <v>1</v>
      </c>
      <c r="L1098" s="7">
        <v>1211.8269</v>
      </c>
      <c r="M1098" t="s">
        <v>17</v>
      </c>
      <c r="N1098" s="9"/>
      <c r="O1098" s="8">
        <f t="array" ref="O1098">INDEX(TechRate,MATCH(H1098,TechNum,0))</f>
        <v>140</v>
      </c>
      <c r="P1098" s="10">
        <f>WorkOrders278[[#This Row],[Techs]]*(WorkOrders278[[#This Row],[PartsCost]]*WorkOrders278[[#This Row],[LbrHrs]])</f>
        <v>2423.6538</v>
      </c>
      <c r="Q1098" s="10">
        <f t="shared" si="95"/>
        <v>2423.6538</v>
      </c>
      <c r="R1098" s="10">
        <f t="shared" si="96"/>
        <v>1211.8269</v>
      </c>
      <c r="S1098" s="10">
        <f t="shared" si="97"/>
        <v>3635.4807000000001</v>
      </c>
      <c r="T1098" s="10">
        <f t="shared" si="98"/>
        <v>3635.4807000000001</v>
      </c>
      <c r="U1098" s="8" t="str">
        <f t="shared" si="99"/>
        <v>Mon</v>
      </c>
      <c r="V1098" s="8" t="str">
        <f t="shared" si="100"/>
        <v>Thu</v>
      </c>
    </row>
    <row r="1099" spans="1:22" hidden="1" x14ac:dyDescent="0.25">
      <c r="A1099" t="s">
        <v>142</v>
      </c>
      <c r="B1099" t="s">
        <v>37</v>
      </c>
      <c r="C1099" t="s">
        <v>6</v>
      </c>
      <c r="D1099" t="s">
        <v>13</v>
      </c>
      <c r="F1099" s="5">
        <v>44116</v>
      </c>
      <c r="G1099" s="5">
        <v>44153</v>
      </c>
      <c r="H1099" s="2">
        <v>1</v>
      </c>
      <c r="I1099" s="6"/>
      <c r="J1099" s="6"/>
      <c r="K1099" s="7">
        <v>0.5</v>
      </c>
      <c r="L1099" s="7">
        <v>54.124600000000001</v>
      </c>
      <c r="M1099" t="s">
        <v>17</v>
      </c>
      <c r="N1099" s="9"/>
      <c r="O1099" s="8">
        <f t="array" ref="O1099">INDEX(TechRate,MATCH(H1099,TechNum,0))</f>
        <v>80</v>
      </c>
      <c r="P1099" s="10">
        <f>WorkOrders278[[#This Row],[Techs]]*(WorkOrders278[[#This Row],[PartsCost]]*WorkOrders278[[#This Row],[LbrHrs]])</f>
        <v>27.0623</v>
      </c>
      <c r="Q1099" s="10">
        <f t="shared" si="95"/>
        <v>27.0623</v>
      </c>
      <c r="R1099" s="10">
        <f t="shared" si="96"/>
        <v>54.124600000000001</v>
      </c>
      <c r="S1099" s="10">
        <f t="shared" si="97"/>
        <v>81.186900000000009</v>
      </c>
      <c r="T1099" s="10">
        <f t="shared" si="98"/>
        <v>81.186900000000009</v>
      </c>
      <c r="U1099" s="8" t="str">
        <f t="shared" si="99"/>
        <v>Mon</v>
      </c>
      <c r="V1099" s="8" t="str">
        <f t="shared" si="100"/>
        <v>Wed</v>
      </c>
    </row>
    <row r="1100" spans="1:22" hidden="1" x14ac:dyDescent="0.25">
      <c r="A1100" t="s">
        <v>143</v>
      </c>
      <c r="B1100" t="s">
        <v>35</v>
      </c>
      <c r="C1100" t="s">
        <v>6</v>
      </c>
      <c r="D1100" t="s">
        <v>12</v>
      </c>
      <c r="E1100" t="s">
        <v>3</v>
      </c>
      <c r="F1100" s="5">
        <v>44116</v>
      </c>
      <c r="G1100" s="5">
        <v>44154</v>
      </c>
      <c r="H1100" s="2">
        <v>1</v>
      </c>
      <c r="I1100" s="6"/>
      <c r="J1100" s="6"/>
      <c r="K1100" s="7">
        <v>0.5</v>
      </c>
      <c r="L1100" s="7">
        <v>55.935699999999997</v>
      </c>
      <c r="M1100" t="s">
        <v>18</v>
      </c>
      <c r="N1100" s="9"/>
      <c r="O1100" s="8">
        <f t="array" ref="O1100">INDEX(TechRate,MATCH(H1100,TechNum,0))</f>
        <v>80</v>
      </c>
      <c r="P1100" s="10">
        <f>WorkOrders278[[#This Row],[Techs]]*(WorkOrders278[[#This Row],[PartsCost]]*WorkOrders278[[#This Row],[LbrHrs]])</f>
        <v>27.967849999999999</v>
      </c>
      <c r="Q1100" s="10">
        <f t="shared" si="95"/>
        <v>27.967849999999999</v>
      </c>
      <c r="R1100" s="10">
        <f t="shared" si="96"/>
        <v>55.935699999999997</v>
      </c>
      <c r="S1100" s="10">
        <f t="shared" si="97"/>
        <v>83.903549999999996</v>
      </c>
      <c r="T1100" s="10">
        <f t="shared" si="98"/>
        <v>83.903549999999996</v>
      </c>
      <c r="U1100" s="8" t="str">
        <f t="shared" si="99"/>
        <v>Mon</v>
      </c>
      <c r="V1100" s="8" t="str">
        <f t="shared" si="100"/>
        <v>Thu</v>
      </c>
    </row>
    <row r="1101" spans="1:22" hidden="1" x14ac:dyDescent="0.25">
      <c r="A1101" t="s">
        <v>144</v>
      </c>
      <c r="B1101" t="s">
        <v>39</v>
      </c>
      <c r="C1101" t="s">
        <v>6</v>
      </c>
      <c r="D1101" t="s">
        <v>12</v>
      </c>
      <c r="E1101" t="s">
        <v>3</v>
      </c>
      <c r="F1101" s="5">
        <v>44117</v>
      </c>
      <c r="G1101" s="5">
        <v>44131</v>
      </c>
      <c r="H1101" s="2">
        <v>1</v>
      </c>
      <c r="I1101" s="6"/>
      <c r="J1101" s="6"/>
      <c r="K1101" s="7">
        <v>0.5</v>
      </c>
      <c r="L1101" s="7">
        <v>11.06</v>
      </c>
      <c r="M1101" t="s">
        <v>19</v>
      </c>
      <c r="N1101" s="9"/>
      <c r="O1101" s="8">
        <f t="array" ref="O1101">INDEX(TechRate,MATCH(H1101,TechNum,0))</f>
        <v>80</v>
      </c>
      <c r="P1101" s="10">
        <f>WorkOrders278[[#This Row],[Techs]]*(WorkOrders278[[#This Row],[PartsCost]]*WorkOrders278[[#This Row],[LbrHrs]])</f>
        <v>5.53</v>
      </c>
      <c r="Q1101" s="10">
        <f t="shared" si="95"/>
        <v>5.53</v>
      </c>
      <c r="R1101" s="10">
        <f t="shared" si="96"/>
        <v>11.06</v>
      </c>
      <c r="S1101" s="10">
        <f t="shared" si="97"/>
        <v>16.59</v>
      </c>
      <c r="T1101" s="10">
        <f t="shared" si="98"/>
        <v>16.59</v>
      </c>
      <c r="U1101" s="8" t="str">
        <f t="shared" si="99"/>
        <v>Tue</v>
      </c>
      <c r="V1101" s="8" t="str">
        <f t="shared" si="100"/>
        <v>Tue</v>
      </c>
    </row>
    <row r="1102" spans="1:22" hidden="1" x14ac:dyDescent="0.25">
      <c r="A1102" t="s">
        <v>145</v>
      </c>
      <c r="B1102" t="s">
        <v>38</v>
      </c>
      <c r="C1102" t="s">
        <v>8</v>
      </c>
      <c r="D1102" t="s">
        <v>2</v>
      </c>
      <c r="F1102" s="5">
        <v>44117</v>
      </c>
      <c r="G1102" s="5">
        <v>44131</v>
      </c>
      <c r="H1102" s="2">
        <v>1</v>
      </c>
      <c r="I1102" s="6"/>
      <c r="J1102" s="6"/>
      <c r="K1102" s="7">
        <v>2</v>
      </c>
      <c r="L1102" s="7">
        <v>77.165099999999995</v>
      </c>
      <c r="M1102" t="s">
        <v>17</v>
      </c>
      <c r="N1102" s="9"/>
      <c r="O1102" s="8">
        <f t="array" ref="O1102">INDEX(TechRate,MATCH(H1102,TechNum,0))</f>
        <v>80</v>
      </c>
      <c r="P1102" s="10">
        <f>WorkOrders278[[#This Row],[Techs]]*(WorkOrders278[[#This Row],[PartsCost]]*WorkOrders278[[#This Row],[LbrHrs]])</f>
        <v>154.33019999999999</v>
      </c>
      <c r="Q1102" s="10">
        <f t="shared" si="95"/>
        <v>154.33019999999999</v>
      </c>
      <c r="R1102" s="10">
        <f t="shared" si="96"/>
        <v>77.165099999999995</v>
      </c>
      <c r="S1102" s="10">
        <f t="shared" si="97"/>
        <v>231.49529999999999</v>
      </c>
      <c r="T1102" s="10">
        <f t="shared" si="98"/>
        <v>231.49529999999999</v>
      </c>
      <c r="U1102" s="8" t="str">
        <f t="shared" si="99"/>
        <v>Tue</v>
      </c>
      <c r="V1102" s="8" t="str">
        <f t="shared" si="100"/>
        <v>Tue</v>
      </c>
    </row>
    <row r="1103" spans="1:22" hidden="1" x14ac:dyDescent="0.25">
      <c r="A1103" t="s">
        <v>146</v>
      </c>
      <c r="B1103" t="s">
        <v>35</v>
      </c>
      <c r="C1103" t="s">
        <v>8</v>
      </c>
      <c r="D1103" t="s">
        <v>12</v>
      </c>
      <c r="F1103" s="5">
        <v>44118</v>
      </c>
      <c r="G1103" s="5">
        <v>44123</v>
      </c>
      <c r="H1103" s="2">
        <v>2</v>
      </c>
      <c r="I1103" s="6"/>
      <c r="J1103" s="6"/>
      <c r="K1103" s="7">
        <v>0.5</v>
      </c>
      <c r="L1103" s="7">
        <v>66.158000000000001</v>
      </c>
      <c r="M1103" t="s">
        <v>17</v>
      </c>
      <c r="N1103" s="9"/>
      <c r="O1103" s="8">
        <f t="array" ref="O1103">INDEX(TechRate,MATCH(H1103,TechNum,0))</f>
        <v>140</v>
      </c>
      <c r="P1103" s="10">
        <f>WorkOrders278[[#This Row],[Techs]]*(WorkOrders278[[#This Row],[PartsCost]]*WorkOrders278[[#This Row],[LbrHrs]])</f>
        <v>66.158000000000001</v>
      </c>
      <c r="Q1103" s="10">
        <f t="shared" si="95"/>
        <v>66.158000000000001</v>
      </c>
      <c r="R1103" s="10">
        <f t="shared" si="96"/>
        <v>66.158000000000001</v>
      </c>
      <c r="S1103" s="10">
        <f t="shared" si="97"/>
        <v>132.316</v>
      </c>
      <c r="T1103" s="10">
        <f t="shared" si="98"/>
        <v>132.316</v>
      </c>
      <c r="U1103" s="8" t="str">
        <f t="shared" si="99"/>
        <v>Wed</v>
      </c>
      <c r="V1103" s="8" t="str">
        <f t="shared" si="100"/>
        <v>Mon</v>
      </c>
    </row>
    <row r="1104" spans="1:22" hidden="1" x14ac:dyDescent="0.25">
      <c r="A1104" t="s">
        <v>147</v>
      </c>
      <c r="B1104" t="s">
        <v>42</v>
      </c>
      <c r="C1104" t="s">
        <v>6</v>
      </c>
      <c r="D1104" t="s">
        <v>11</v>
      </c>
      <c r="F1104" s="5">
        <v>44118</v>
      </c>
      <c r="G1104" s="5">
        <v>44131</v>
      </c>
      <c r="H1104" s="2">
        <v>1</v>
      </c>
      <c r="I1104" s="6"/>
      <c r="J1104" s="6"/>
      <c r="K1104" s="7">
        <v>0.25</v>
      </c>
      <c r="L1104" s="7">
        <v>27.953900000000001</v>
      </c>
      <c r="M1104" t="s">
        <v>17</v>
      </c>
      <c r="N1104" s="9"/>
      <c r="O1104" s="8">
        <f t="array" ref="O1104">INDEX(TechRate,MATCH(H1104,TechNum,0))</f>
        <v>80</v>
      </c>
      <c r="P1104" s="10">
        <f>WorkOrders278[[#This Row],[Techs]]*(WorkOrders278[[#This Row],[PartsCost]]*WorkOrders278[[#This Row],[LbrHrs]])</f>
        <v>6.9884750000000002</v>
      </c>
      <c r="Q1104" s="10">
        <f t="shared" si="95"/>
        <v>6.9884750000000002</v>
      </c>
      <c r="R1104" s="10">
        <f t="shared" si="96"/>
        <v>27.953900000000001</v>
      </c>
      <c r="S1104" s="10">
        <f t="shared" si="97"/>
        <v>34.942374999999998</v>
      </c>
      <c r="T1104" s="10">
        <f t="shared" si="98"/>
        <v>34.942374999999998</v>
      </c>
      <c r="U1104" s="8" t="str">
        <f t="shared" si="99"/>
        <v>Wed</v>
      </c>
      <c r="V1104" s="8" t="str">
        <f t="shared" si="100"/>
        <v>Tue</v>
      </c>
    </row>
    <row r="1105" spans="1:22" hidden="1" x14ac:dyDescent="0.25">
      <c r="A1105" t="s">
        <v>148</v>
      </c>
      <c r="B1105" t="s">
        <v>38</v>
      </c>
      <c r="C1105" t="s">
        <v>8</v>
      </c>
      <c r="D1105" t="s">
        <v>12</v>
      </c>
      <c r="F1105" s="5">
        <v>44118</v>
      </c>
      <c r="G1105" s="5">
        <v>44131</v>
      </c>
      <c r="H1105" s="2">
        <v>1</v>
      </c>
      <c r="I1105" s="6"/>
      <c r="J1105" s="6"/>
      <c r="K1105" s="7">
        <v>1</v>
      </c>
      <c r="L1105" s="7">
        <v>216.3125</v>
      </c>
      <c r="M1105" t="s">
        <v>18</v>
      </c>
      <c r="N1105" s="9"/>
      <c r="O1105" s="8">
        <f t="array" ref="O1105">INDEX(TechRate,MATCH(H1105,TechNum,0))</f>
        <v>80</v>
      </c>
      <c r="P1105" s="10">
        <f>WorkOrders278[[#This Row],[Techs]]*(WorkOrders278[[#This Row],[PartsCost]]*WorkOrders278[[#This Row],[LbrHrs]])</f>
        <v>216.3125</v>
      </c>
      <c r="Q1105" s="10">
        <f t="shared" si="95"/>
        <v>216.3125</v>
      </c>
      <c r="R1105" s="10">
        <f t="shared" si="96"/>
        <v>216.3125</v>
      </c>
      <c r="S1105" s="10">
        <f t="shared" si="97"/>
        <v>432.625</v>
      </c>
      <c r="T1105" s="10">
        <f t="shared" si="98"/>
        <v>432.625</v>
      </c>
      <c r="U1105" s="8" t="str">
        <f t="shared" si="99"/>
        <v>Wed</v>
      </c>
      <c r="V1105" s="8" t="str">
        <f t="shared" si="100"/>
        <v>Tue</v>
      </c>
    </row>
    <row r="1106" spans="1:22" hidden="1" x14ac:dyDescent="0.25">
      <c r="A1106" t="s">
        <v>149</v>
      </c>
      <c r="B1106" t="s">
        <v>34</v>
      </c>
      <c r="C1106" t="s">
        <v>9</v>
      </c>
      <c r="D1106" t="s">
        <v>2</v>
      </c>
      <c r="F1106" s="5">
        <v>44118</v>
      </c>
      <c r="G1106" s="5">
        <v>44138</v>
      </c>
      <c r="H1106" s="2">
        <v>2</v>
      </c>
      <c r="I1106" s="6"/>
      <c r="J1106" s="6"/>
      <c r="K1106" s="7">
        <v>2</v>
      </c>
      <c r="L1106" s="7">
        <v>619.51329999999996</v>
      </c>
      <c r="M1106" t="s">
        <v>19</v>
      </c>
      <c r="N1106" s="9"/>
      <c r="O1106" s="8">
        <f t="array" ref="O1106">INDEX(TechRate,MATCH(H1106,TechNum,0))</f>
        <v>140</v>
      </c>
      <c r="P1106" s="10">
        <f>WorkOrders278[[#This Row],[Techs]]*(WorkOrders278[[#This Row],[PartsCost]]*WorkOrders278[[#This Row],[LbrHrs]])</f>
        <v>2478.0531999999998</v>
      </c>
      <c r="Q1106" s="10">
        <f t="shared" si="95"/>
        <v>2478.0531999999998</v>
      </c>
      <c r="R1106" s="10">
        <f t="shared" si="96"/>
        <v>619.51329999999996</v>
      </c>
      <c r="S1106" s="10">
        <f t="shared" si="97"/>
        <v>3097.5664999999999</v>
      </c>
      <c r="T1106" s="10">
        <f t="shared" si="98"/>
        <v>3097.5664999999999</v>
      </c>
      <c r="U1106" s="8" t="str">
        <f t="shared" si="99"/>
        <v>Wed</v>
      </c>
      <c r="V1106" s="8" t="str">
        <f t="shared" si="100"/>
        <v>Tue</v>
      </c>
    </row>
    <row r="1107" spans="1:22" hidden="1" x14ac:dyDescent="0.25">
      <c r="A1107" t="s">
        <v>150</v>
      </c>
      <c r="B1107" t="s">
        <v>38</v>
      </c>
      <c r="C1107" t="s">
        <v>6</v>
      </c>
      <c r="D1107" t="s">
        <v>13</v>
      </c>
      <c r="F1107" s="5">
        <v>44118</v>
      </c>
      <c r="G1107" s="5">
        <v>44145</v>
      </c>
      <c r="H1107" s="2">
        <v>1</v>
      </c>
      <c r="I1107" s="6"/>
      <c r="J1107" s="6"/>
      <c r="K1107" s="7">
        <v>0.5</v>
      </c>
      <c r="L1107" s="7">
        <v>3.12</v>
      </c>
      <c r="M1107" t="s">
        <v>18</v>
      </c>
      <c r="N1107" s="9"/>
      <c r="O1107" s="8">
        <f t="array" ref="O1107">INDEX(TechRate,MATCH(H1107,TechNum,0))</f>
        <v>80</v>
      </c>
      <c r="P1107" s="10">
        <f>WorkOrders278[[#This Row],[Techs]]*(WorkOrders278[[#This Row],[PartsCost]]*WorkOrders278[[#This Row],[LbrHrs]])</f>
        <v>1.56</v>
      </c>
      <c r="Q1107" s="10">
        <f t="shared" si="95"/>
        <v>1.56</v>
      </c>
      <c r="R1107" s="10">
        <f t="shared" si="96"/>
        <v>3.12</v>
      </c>
      <c r="S1107" s="10">
        <f t="shared" si="97"/>
        <v>4.68</v>
      </c>
      <c r="T1107" s="10">
        <f t="shared" si="98"/>
        <v>4.68</v>
      </c>
      <c r="U1107" s="8" t="str">
        <f t="shared" si="99"/>
        <v>Wed</v>
      </c>
      <c r="V1107" s="8" t="str">
        <f t="shared" si="100"/>
        <v>Tue</v>
      </c>
    </row>
    <row r="1108" spans="1:22" hidden="1" x14ac:dyDescent="0.25">
      <c r="A1108" t="s">
        <v>151</v>
      </c>
      <c r="B1108" t="s">
        <v>34</v>
      </c>
      <c r="C1108" t="s">
        <v>6</v>
      </c>
      <c r="D1108" t="s">
        <v>12</v>
      </c>
      <c r="F1108" s="5">
        <v>44119</v>
      </c>
      <c r="G1108" s="5">
        <v>44126</v>
      </c>
      <c r="H1108" s="2">
        <v>1</v>
      </c>
      <c r="I1108" s="6"/>
      <c r="J1108" s="6"/>
      <c r="K1108" s="7">
        <v>0.75</v>
      </c>
      <c r="L1108" s="7">
        <v>163.26</v>
      </c>
      <c r="M1108" t="s">
        <v>17</v>
      </c>
      <c r="N1108" s="9"/>
      <c r="O1108" s="8">
        <f t="array" ref="O1108">INDEX(TechRate,MATCH(H1108,TechNum,0))</f>
        <v>80</v>
      </c>
      <c r="P1108" s="10">
        <f>WorkOrders278[[#This Row],[Techs]]*(WorkOrders278[[#This Row],[PartsCost]]*WorkOrders278[[#This Row],[LbrHrs]])</f>
        <v>122.44499999999999</v>
      </c>
      <c r="Q1108" s="10">
        <f t="shared" si="95"/>
        <v>122.44499999999999</v>
      </c>
      <c r="R1108" s="10">
        <f t="shared" si="96"/>
        <v>163.26</v>
      </c>
      <c r="S1108" s="10">
        <f t="shared" si="97"/>
        <v>285.70499999999998</v>
      </c>
      <c r="T1108" s="10">
        <f t="shared" si="98"/>
        <v>285.70499999999998</v>
      </c>
      <c r="U1108" s="8" t="str">
        <f t="shared" si="99"/>
        <v>Thu</v>
      </c>
      <c r="V1108" s="8" t="str">
        <f t="shared" si="100"/>
        <v>Thu</v>
      </c>
    </row>
    <row r="1109" spans="1:22" hidden="1" x14ac:dyDescent="0.25">
      <c r="A1109" t="s">
        <v>152</v>
      </c>
      <c r="B1109" t="s">
        <v>37</v>
      </c>
      <c r="C1109" t="s">
        <v>43</v>
      </c>
      <c r="D1109" t="s">
        <v>11</v>
      </c>
      <c r="F1109" s="5">
        <v>44119</v>
      </c>
      <c r="G1109" s="5">
        <v>44132</v>
      </c>
      <c r="H1109" s="2">
        <v>1</v>
      </c>
      <c r="I1109" s="6"/>
      <c r="J1109" s="6"/>
      <c r="K1109" s="7">
        <v>0.25</v>
      </c>
      <c r="L1109" s="7">
        <v>65.251599999999996</v>
      </c>
      <c r="M1109" t="s">
        <v>17</v>
      </c>
      <c r="N1109" s="9"/>
      <c r="O1109" s="8">
        <f t="array" ref="O1109">INDEX(TechRate,MATCH(H1109,TechNum,0))</f>
        <v>80</v>
      </c>
      <c r="P1109" s="10">
        <f>WorkOrders278[[#This Row],[Techs]]*(WorkOrders278[[#This Row],[PartsCost]]*WorkOrders278[[#This Row],[LbrHrs]])</f>
        <v>16.312899999999999</v>
      </c>
      <c r="Q1109" s="10">
        <f t="shared" si="95"/>
        <v>16.312899999999999</v>
      </c>
      <c r="R1109" s="10">
        <f t="shared" si="96"/>
        <v>65.251599999999996</v>
      </c>
      <c r="S1109" s="10">
        <f t="shared" si="97"/>
        <v>81.564499999999995</v>
      </c>
      <c r="T1109" s="10">
        <f t="shared" si="98"/>
        <v>81.564499999999995</v>
      </c>
      <c r="U1109" s="8" t="str">
        <f t="shared" si="99"/>
        <v>Thu</v>
      </c>
      <c r="V1109" s="8" t="str">
        <f t="shared" si="100"/>
        <v>Wed</v>
      </c>
    </row>
    <row r="1110" spans="1:22" hidden="1" x14ac:dyDescent="0.25">
      <c r="A1110" t="s">
        <v>153</v>
      </c>
      <c r="B1110" t="s">
        <v>38</v>
      </c>
      <c r="C1110" t="s">
        <v>6</v>
      </c>
      <c r="D1110" t="s">
        <v>11</v>
      </c>
      <c r="F1110" s="5">
        <v>44119</v>
      </c>
      <c r="G1110" s="5">
        <v>44145</v>
      </c>
      <c r="H1110" s="2">
        <v>1</v>
      </c>
      <c r="I1110" s="6"/>
      <c r="J1110" s="6"/>
      <c r="K1110" s="7">
        <v>0.25</v>
      </c>
      <c r="L1110" s="7">
        <v>30</v>
      </c>
      <c r="M1110" t="s">
        <v>19</v>
      </c>
      <c r="N1110" s="9"/>
      <c r="O1110" s="8">
        <f t="array" ref="O1110">INDEX(TechRate,MATCH(H1110,TechNum,0))</f>
        <v>80</v>
      </c>
      <c r="P1110" s="10">
        <f>WorkOrders278[[#This Row],[Techs]]*(WorkOrders278[[#This Row],[PartsCost]]*WorkOrders278[[#This Row],[LbrHrs]])</f>
        <v>7.5</v>
      </c>
      <c r="Q1110" s="10">
        <f t="shared" si="95"/>
        <v>7.5</v>
      </c>
      <c r="R1110" s="10">
        <f t="shared" si="96"/>
        <v>30</v>
      </c>
      <c r="S1110" s="10">
        <f t="shared" si="97"/>
        <v>37.5</v>
      </c>
      <c r="T1110" s="10">
        <f t="shared" si="98"/>
        <v>37.5</v>
      </c>
      <c r="U1110" s="8" t="str">
        <f t="shared" si="99"/>
        <v>Thu</v>
      </c>
      <c r="V1110" s="8" t="str">
        <f t="shared" si="100"/>
        <v>Tue</v>
      </c>
    </row>
    <row r="1111" spans="1:22" hidden="1" x14ac:dyDescent="0.25">
      <c r="A1111" t="s">
        <v>154</v>
      </c>
      <c r="B1111" t="s">
        <v>38</v>
      </c>
      <c r="C1111" t="s">
        <v>6</v>
      </c>
      <c r="D1111" t="s">
        <v>13</v>
      </c>
      <c r="F1111" s="5">
        <v>44119</v>
      </c>
      <c r="G1111" s="5">
        <v>44145</v>
      </c>
      <c r="H1111" s="2">
        <v>1</v>
      </c>
      <c r="I1111" s="6"/>
      <c r="J1111" s="6"/>
      <c r="K1111" s="7">
        <v>0.5</v>
      </c>
      <c r="L1111" s="7">
        <v>105.8442</v>
      </c>
      <c r="M1111" t="s">
        <v>17</v>
      </c>
      <c r="N1111" s="9"/>
      <c r="O1111" s="8">
        <f t="array" ref="O1111">INDEX(TechRate,MATCH(H1111,TechNum,0))</f>
        <v>80</v>
      </c>
      <c r="P1111" s="10">
        <f>WorkOrders278[[#This Row],[Techs]]*(WorkOrders278[[#This Row],[PartsCost]]*WorkOrders278[[#This Row],[LbrHrs]])</f>
        <v>52.9221</v>
      </c>
      <c r="Q1111" s="10">
        <f t="shared" si="95"/>
        <v>52.9221</v>
      </c>
      <c r="R1111" s="10">
        <f t="shared" si="96"/>
        <v>105.8442</v>
      </c>
      <c r="S1111" s="10">
        <f t="shared" si="97"/>
        <v>158.7663</v>
      </c>
      <c r="T1111" s="10">
        <f t="shared" si="98"/>
        <v>158.7663</v>
      </c>
      <c r="U1111" s="8" t="str">
        <f t="shared" si="99"/>
        <v>Thu</v>
      </c>
      <c r="V1111" s="8" t="str">
        <f t="shared" si="100"/>
        <v>Tue</v>
      </c>
    </row>
    <row r="1112" spans="1:22" hidden="1" x14ac:dyDescent="0.25">
      <c r="A1112" t="s">
        <v>155</v>
      </c>
      <c r="B1112" t="s">
        <v>35</v>
      </c>
      <c r="C1112" t="s">
        <v>9</v>
      </c>
      <c r="D1112" t="s">
        <v>13</v>
      </c>
      <c r="F1112" s="5">
        <v>44123</v>
      </c>
      <c r="G1112" s="5">
        <v>44140</v>
      </c>
      <c r="H1112" s="2">
        <v>2</v>
      </c>
      <c r="I1112" s="6"/>
      <c r="J1112" s="6"/>
      <c r="K1112" s="7">
        <v>1</v>
      </c>
      <c r="L1112" s="7">
        <v>547.08590000000004</v>
      </c>
      <c r="M1112" t="s">
        <v>18</v>
      </c>
      <c r="N1112" s="9"/>
      <c r="O1112" s="8">
        <f t="array" ref="O1112">INDEX(TechRate,MATCH(H1112,TechNum,0))</f>
        <v>140</v>
      </c>
      <c r="P1112" s="10">
        <f>WorkOrders278[[#This Row],[Techs]]*(WorkOrders278[[#This Row],[PartsCost]]*WorkOrders278[[#This Row],[LbrHrs]])</f>
        <v>1094.1718000000001</v>
      </c>
      <c r="Q1112" s="10">
        <f t="shared" si="95"/>
        <v>1094.1718000000001</v>
      </c>
      <c r="R1112" s="10">
        <f t="shared" si="96"/>
        <v>547.08590000000004</v>
      </c>
      <c r="S1112" s="10">
        <f t="shared" si="97"/>
        <v>1641.2577000000001</v>
      </c>
      <c r="T1112" s="10">
        <f t="shared" si="98"/>
        <v>1641.2577000000001</v>
      </c>
      <c r="U1112" s="8" t="str">
        <f t="shared" si="99"/>
        <v>Mon</v>
      </c>
      <c r="V1112" s="8" t="str">
        <f t="shared" si="100"/>
        <v>Thu</v>
      </c>
    </row>
    <row r="1113" spans="1:22" hidden="1" x14ac:dyDescent="0.25">
      <c r="A1113" t="s">
        <v>156</v>
      </c>
      <c r="B1113" t="s">
        <v>38</v>
      </c>
      <c r="C1113" t="s">
        <v>6</v>
      </c>
      <c r="D1113" t="s">
        <v>13</v>
      </c>
      <c r="F1113" s="5">
        <v>44123</v>
      </c>
      <c r="G1113" s="5">
        <v>44160</v>
      </c>
      <c r="H1113" s="2">
        <v>1</v>
      </c>
      <c r="I1113" s="6"/>
      <c r="J1113" s="6"/>
      <c r="K1113" s="7">
        <v>1</v>
      </c>
      <c r="L1113" s="7">
        <v>120</v>
      </c>
      <c r="M1113" t="s">
        <v>19</v>
      </c>
      <c r="N1113" s="9"/>
      <c r="O1113" s="8">
        <f t="array" ref="O1113">INDEX(TechRate,MATCH(H1113,TechNum,0))</f>
        <v>80</v>
      </c>
      <c r="P1113" s="10">
        <f>WorkOrders278[[#This Row],[Techs]]*(WorkOrders278[[#This Row],[PartsCost]]*WorkOrders278[[#This Row],[LbrHrs]])</f>
        <v>120</v>
      </c>
      <c r="Q1113" s="10">
        <f t="shared" si="95"/>
        <v>120</v>
      </c>
      <c r="R1113" s="10">
        <f t="shared" si="96"/>
        <v>120</v>
      </c>
      <c r="S1113" s="10">
        <f t="shared" si="97"/>
        <v>240</v>
      </c>
      <c r="T1113" s="10">
        <f t="shared" si="98"/>
        <v>240</v>
      </c>
      <c r="U1113" s="8" t="str">
        <f t="shared" si="99"/>
        <v>Mon</v>
      </c>
      <c r="V1113" s="8" t="str">
        <f t="shared" si="100"/>
        <v>Wed</v>
      </c>
    </row>
    <row r="1114" spans="1:22" hidden="1" x14ac:dyDescent="0.25">
      <c r="A1114" t="s">
        <v>157</v>
      </c>
      <c r="B1114" t="s">
        <v>35</v>
      </c>
      <c r="C1114" t="s">
        <v>8</v>
      </c>
      <c r="D1114" t="s">
        <v>12</v>
      </c>
      <c r="F1114" s="5">
        <v>44124</v>
      </c>
      <c r="G1114" s="5">
        <v>44134</v>
      </c>
      <c r="H1114" s="2">
        <v>1</v>
      </c>
      <c r="I1114" s="6"/>
      <c r="J1114" s="6"/>
      <c r="K1114" s="7">
        <v>0.25</v>
      </c>
      <c r="L1114" s="7">
        <v>30</v>
      </c>
      <c r="M1114" t="s">
        <v>17</v>
      </c>
      <c r="N1114" s="9"/>
      <c r="O1114" s="8">
        <f t="array" ref="O1114">INDEX(TechRate,MATCH(H1114,TechNum,0))</f>
        <v>80</v>
      </c>
      <c r="P1114" s="10">
        <f>WorkOrders278[[#This Row],[Techs]]*(WorkOrders278[[#This Row],[PartsCost]]*WorkOrders278[[#This Row],[LbrHrs]])</f>
        <v>7.5</v>
      </c>
      <c r="Q1114" s="10">
        <f t="shared" si="95"/>
        <v>7.5</v>
      </c>
      <c r="R1114" s="10">
        <f t="shared" si="96"/>
        <v>30</v>
      </c>
      <c r="S1114" s="10">
        <f t="shared" si="97"/>
        <v>37.5</v>
      </c>
      <c r="T1114" s="10">
        <f t="shared" si="98"/>
        <v>37.5</v>
      </c>
      <c r="U1114" s="8" t="str">
        <f t="shared" si="99"/>
        <v>Tue</v>
      </c>
      <c r="V1114" s="8" t="str">
        <f t="shared" si="100"/>
        <v>Fri</v>
      </c>
    </row>
    <row r="1115" spans="1:22" hidden="1" x14ac:dyDescent="0.25">
      <c r="A1115" t="s">
        <v>158</v>
      </c>
      <c r="B1115" t="s">
        <v>34</v>
      </c>
      <c r="C1115" t="s">
        <v>44</v>
      </c>
      <c r="D1115" t="s">
        <v>11</v>
      </c>
      <c r="F1115" s="5">
        <v>44124</v>
      </c>
      <c r="G1115" s="5">
        <v>44159</v>
      </c>
      <c r="H1115" s="2">
        <v>1</v>
      </c>
      <c r="I1115" s="6"/>
      <c r="J1115" s="6"/>
      <c r="K1115" s="7">
        <v>0.25</v>
      </c>
      <c r="L1115" s="7">
        <v>27.63</v>
      </c>
      <c r="M1115" t="s">
        <v>17</v>
      </c>
      <c r="N1115" s="9"/>
      <c r="O1115" s="8">
        <f t="array" ref="O1115">INDEX(TechRate,MATCH(H1115,TechNum,0))</f>
        <v>80</v>
      </c>
      <c r="P1115" s="10">
        <f>WorkOrders278[[#This Row],[Techs]]*(WorkOrders278[[#This Row],[PartsCost]]*WorkOrders278[[#This Row],[LbrHrs]])</f>
        <v>6.9074999999999998</v>
      </c>
      <c r="Q1115" s="10">
        <f t="shared" si="95"/>
        <v>6.9074999999999998</v>
      </c>
      <c r="R1115" s="10">
        <f t="shared" si="96"/>
        <v>27.63</v>
      </c>
      <c r="S1115" s="10">
        <f t="shared" si="97"/>
        <v>34.537500000000001</v>
      </c>
      <c r="T1115" s="10">
        <f t="shared" si="98"/>
        <v>34.537500000000001</v>
      </c>
      <c r="U1115" s="8" t="str">
        <f t="shared" si="99"/>
        <v>Tue</v>
      </c>
      <c r="V1115" s="8" t="str">
        <f t="shared" si="100"/>
        <v>Tue</v>
      </c>
    </row>
    <row r="1116" spans="1:22" hidden="1" x14ac:dyDescent="0.25">
      <c r="A1116" t="s">
        <v>159</v>
      </c>
      <c r="B1116" t="s">
        <v>34</v>
      </c>
      <c r="C1116" t="s">
        <v>9</v>
      </c>
      <c r="D1116" t="s">
        <v>12</v>
      </c>
      <c r="F1116" s="5">
        <v>44125</v>
      </c>
      <c r="G1116" s="5">
        <v>44141</v>
      </c>
      <c r="H1116" s="2">
        <v>1</v>
      </c>
      <c r="I1116" s="6"/>
      <c r="J1116" s="6"/>
      <c r="K1116" s="7">
        <v>0.25</v>
      </c>
      <c r="L1116" s="7">
        <v>250.42240000000001</v>
      </c>
      <c r="M1116" t="s">
        <v>17</v>
      </c>
      <c r="N1116" s="9"/>
      <c r="O1116" s="8">
        <f t="array" ref="O1116">INDEX(TechRate,MATCH(H1116,TechNum,0))</f>
        <v>80</v>
      </c>
      <c r="P1116" s="10">
        <f>WorkOrders278[[#This Row],[Techs]]*(WorkOrders278[[#This Row],[PartsCost]]*WorkOrders278[[#This Row],[LbrHrs]])</f>
        <v>62.605600000000003</v>
      </c>
      <c r="Q1116" s="10">
        <f t="shared" si="95"/>
        <v>62.605600000000003</v>
      </c>
      <c r="R1116" s="10">
        <f t="shared" si="96"/>
        <v>250.42240000000001</v>
      </c>
      <c r="S1116" s="10">
        <f t="shared" si="97"/>
        <v>313.02800000000002</v>
      </c>
      <c r="T1116" s="10">
        <f t="shared" si="98"/>
        <v>313.02800000000002</v>
      </c>
      <c r="U1116" s="8" t="str">
        <f t="shared" si="99"/>
        <v>Wed</v>
      </c>
      <c r="V1116" s="8" t="str">
        <f t="shared" si="100"/>
        <v>Fri</v>
      </c>
    </row>
    <row r="1117" spans="1:22" hidden="1" x14ac:dyDescent="0.25">
      <c r="A1117" t="s">
        <v>160</v>
      </c>
      <c r="B1117" t="s">
        <v>35</v>
      </c>
      <c r="C1117" t="s">
        <v>6</v>
      </c>
      <c r="D1117" t="s">
        <v>12</v>
      </c>
      <c r="E1117" t="s">
        <v>3</v>
      </c>
      <c r="F1117" s="5">
        <v>44125</v>
      </c>
      <c r="G1117" s="5">
        <v>44140</v>
      </c>
      <c r="H1117" s="2">
        <v>2</v>
      </c>
      <c r="I1117" s="6"/>
      <c r="J1117" s="6"/>
      <c r="K1117" s="7">
        <v>0.25</v>
      </c>
      <c r="L1117" s="7">
        <v>38.698399999999999</v>
      </c>
      <c r="M1117" t="s">
        <v>18</v>
      </c>
      <c r="N1117" s="9"/>
      <c r="O1117" s="8">
        <f t="array" ref="O1117">INDEX(TechRate,MATCH(H1117,TechNum,0))</f>
        <v>140</v>
      </c>
      <c r="P1117" s="10">
        <f>WorkOrders278[[#This Row],[Techs]]*(WorkOrders278[[#This Row],[PartsCost]]*WorkOrders278[[#This Row],[LbrHrs]])</f>
        <v>19.3492</v>
      </c>
      <c r="Q1117" s="10">
        <f t="shared" si="95"/>
        <v>19.3492</v>
      </c>
      <c r="R1117" s="10">
        <f t="shared" si="96"/>
        <v>38.698399999999999</v>
      </c>
      <c r="S1117" s="10">
        <f t="shared" si="97"/>
        <v>58.047600000000003</v>
      </c>
      <c r="T1117" s="10">
        <f t="shared" si="98"/>
        <v>58.047600000000003</v>
      </c>
      <c r="U1117" s="8" t="str">
        <f t="shared" si="99"/>
        <v>Wed</v>
      </c>
      <c r="V1117" s="8" t="str">
        <f t="shared" si="100"/>
        <v>Thu</v>
      </c>
    </row>
    <row r="1118" spans="1:22" hidden="1" x14ac:dyDescent="0.25">
      <c r="A1118" t="s">
        <v>161</v>
      </c>
      <c r="B1118" t="s">
        <v>35</v>
      </c>
      <c r="C1118" t="s">
        <v>44</v>
      </c>
      <c r="D1118" t="s">
        <v>12</v>
      </c>
      <c r="E1118" t="s">
        <v>3</v>
      </c>
      <c r="F1118" s="5">
        <v>44125</v>
      </c>
      <c r="G1118" s="5">
        <v>44145</v>
      </c>
      <c r="H1118" s="2">
        <v>2</v>
      </c>
      <c r="I1118" s="6"/>
      <c r="J1118" s="6"/>
      <c r="K1118" s="7">
        <v>0.25</v>
      </c>
      <c r="L1118" s="7">
        <v>33</v>
      </c>
      <c r="M1118" t="s">
        <v>17</v>
      </c>
      <c r="N1118" s="9"/>
      <c r="O1118" s="8">
        <f t="array" ref="O1118">INDEX(TechRate,MATCH(H1118,TechNum,0))</f>
        <v>140</v>
      </c>
      <c r="P1118" s="10">
        <f>WorkOrders278[[#This Row],[Techs]]*(WorkOrders278[[#This Row],[PartsCost]]*WorkOrders278[[#This Row],[LbrHrs]])</f>
        <v>16.5</v>
      </c>
      <c r="Q1118" s="10">
        <f t="shared" si="95"/>
        <v>16.5</v>
      </c>
      <c r="R1118" s="10">
        <f t="shared" si="96"/>
        <v>33</v>
      </c>
      <c r="S1118" s="10">
        <f t="shared" si="97"/>
        <v>49.5</v>
      </c>
      <c r="T1118" s="10">
        <f t="shared" si="98"/>
        <v>49.5</v>
      </c>
      <c r="U1118" s="8" t="str">
        <f t="shared" si="99"/>
        <v>Wed</v>
      </c>
      <c r="V1118" s="8" t="str">
        <f t="shared" si="100"/>
        <v>Tue</v>
      </c>
    </row>
    <row r="1119" spans="1:22" hidden="1" x14ac:dyDescent="0.25">
      <c r="A1119" t="s">
        <v>162</v>
      </c>
      <c r="B1119" t="s">
        <v>38</v>
      </c>
      <c r="C1119" t="s">
        <v>6</v>
      </c>
      <c r="D1119" t="s">
        <v>12</v>
      </c>
      <c r="F1119" s="5">
        <v>44125</v>
      </c>
      <c r="G1119" s="5">
        <v>44145</v>
      </c>
      <c r="H1119" s="2">
        <v>1</v>
      </c>
      <c r="I1119" s="6"/>
      <c r="J1119" s="6"/>
      <c r="K1119" s="7">
        <v>0.75</v>
      </c>
      <c r="L1119" s="7">
        <v>126</v>
      </c>
      <c r="M1119" t="s">
        <v>19</v>
      </c>
      <c r="N1119" s="9"/>
      <c r="O1119" s="8">
        <f t="array" ref="O1119">INDEX(TechRate,MATCH(H1119,TechNum,0))</f>
        <v>80</v>
      </c>
      <c r="P1119" s="10">
        <f>WorkOrders278[[#This Row],[Techs]]*(WorkOrders278[[#This Row],[PartsCost]]*WorkOrders278[[#This Row],[LbrHrs]])</f>
        <v>94.5</v>
      </c>
      <c r="Q1119" s="10">
        <f t="shared" si="95"/>
        <v>94.5</v>
      </c>
      <c r="R1119" s="10">
        <f t="shared" si="96"/>
        <v>126</v>
      </c>
      <c r="S1119" s="10">
        <f t="shared" si="97"/>
        <v>220.5</v>
      </c>
      <c r="T1119" s="10">
        <f t="shared" si="98"/>
        <v>220.5</v>
      </c>
      <c r="U1119" s="8" t="str">
        <f t="shared" si="99"/>
        <v>Wed</v>
      </c>
      <c r="V1119" s="8" t="str">
        <f t="shared" si="100"/>
        <v>Tue</v>
      </c>
    </row>
    <row r="1120" spans="1:22" hidden="1" x14ac:dyDescent="0.25">
      <c r="A1120" t="s">
        <v>163</v>
      </c>
      <c r="B1120" t="s">
        <v>34</v>
      </c>
      <c r="C1120" t="s">
        <v>6</v>
      </c>
      <c r="D1120" t="s">
        <v>1</v>
      </c>
      <c r="F1120" s="5">
        <v>44125</v>
      </c>
      <c r="G1120" s="5">
        <v>44221</v>
      </c>
      <c r="H1120" s="2">
        <v>2</v>
      </c>
      <c r="I1120" s="6"/>
      <c r="J1120" s="6"/>
      <c r="K1120" s="7">
        <v>8.25</v>
      </c>
      <c r="L1120" s="7">
        <v>4946</v>
      </c>
      <c r="M1120" t="s">
        <v>17</v>
      </c>
      <c r="N1120" s="9"/>
      <c r="O1120" s="8">
        <f t="array" ref="O1120">INDEX(TechRate,MATCH(H1120,TechNum,0))</f>
        <v>140</v>
      </c>
      <c r="P1120" s="10">
        <f>WorkOrders278[[#This Row],[Techs]]*(WorkOrders278[[#This Row],[PartsCost]]*WorkOrders278[[#This Row],[LbrHrs]])</f>
        <v>81609</v>
      </c>
      <c r="Q1120" s="10">
        <f t="shared" si="95"/>
        <v>81609</v>
      </c>
      <c r="R1120" s="10">
        <f t="shared" si="96"/>
        <v>4946</v>
      </c>
      <c r="S1120" s="10">
        <f t="shared" si="97"/>
        <v>86555</v>
      </c>
      <c r="T1120" s="10">
        <f t="shared" si="98"/>
        <v>86555</v>
      </c>
      <c r="U1120" s="8" t="str">
        <f t="shared" si="99"/>
        <v>Wed</v>
      </c>
      <c r="V1120" s="8" t="str">
        <f t="shared" si="100"/>
        <v>Mon</v>
      </c>
    </row>
    <row r="1121" spans="1:22" hidden="1" x14ac:dyDescent="0.25">
      <c r="A1121" t="s">
        <v>164</v>
      </c>
      <c r="B1121" t="s">
        <v>39</v>
      </c>
      <c r="C1121" t="s">
        <v>6</v>
      </c>
      <c r="D1121" t="s">
        <v>13</v>
      </c>
      <c r="E1121" t="s">
        <v>3</v>
      </c>
      <c r="F1121" s="5">
        <v>44126</v>
      </c>
      <c r="G1121" s="5">
        <v>44133</v>
      </c>
      <c r="H1121" s="2">
        <v>1</v>
      </c>
      <c r="I1121" s="6"/>
      <c r="J1121" s="6"/>
      <c r="K1121" s="7">
        <v>0.5</v>
      </c>
      <c r="L1121" s="7">
        <v>33.544699999999999</v>
      </c>
      <c r="M1121" t="s">
        <v>19</v>
      </c>
      <c r="N1121" s="9"/>
      <c r="O1121" s="8">
        <f t="array" ref="O1121">INDEX(TechRate,MATCH(H1121,TechNum,0))</f>
        <v>80</v>
      </c>
      <c r="P1121" s="10">
        <f>WorkOrders278[[#This Row],[Techs]]*(WorkOrders278[[#This Row],[PartsCost]]*WorkOrders278[[#This Row],[LbrHrs]])</f>
        <v>16.772349999999999</v>
      </c>
      <c r="Q1121" s="10">
        <f t="shared" si="95"/>
        <v>16.772349999999999</v>
      </c>
      <c r="R1121" s="10">
        <f t="shared" si="96"/>
        <v>33.544699999999999</v>
      </c>
      <c r="S1121" s="10">
        <f t="shared" si="97"/>
        <v>50.317049999999995</v>
      </c>
      <c r="T1121" s="10">
        <f t="shared" si="98"/>
        <v>50.317049999999995</v>
      </c>
      <c r="U1121" s="8" t="str">
        <f t="shared" si="99"/>
        <v>Thu</v>
      </c>
      <c r="V1121" s="8" t="str">
        <f t="shared" si="100"/>
        <v>Thu</v>
      </c>
    </row>
    <row r="1122" spans="1:22" hidden="1" x14ac:dyDescent="0.25">
      <c r="A1122" t="s">
        <v>165</v>
      </c>
      <c r="B1122" t="s">
        <v>34</v>
      </c>
      <c r="C1122" t="s">
        <v>9</v>
      </c>
      <c r="D1122" t="s">
        <v>12</v>
      </c>
      <c r="F1122" s="5">
        <v>44128</v>
      </c>
      <c r="G1122" s="5">
        <v>44141</v>
      </c>
      <c r="H1122" s="2">
        <v>2</v>
      </c>
      <c r="I1122" s="6"/>
      <c r="J1122" s="6"/>
      <c r="K1122" s="7">
        <v>0.25</v>
      </c>
      <c r="L1122" s="7">
        <v>25</v>
      </c>
      <c r="M1122" t="s">
        <v>17</v>
      </c>
      <c r="N1122" s="9"/>
      <c r="O1122" s="8">
        <f t="array" ref="O1122">INDEX(TechRate,MATCH(H1122,TechNum,0))</f>
        <v>140</v>
      </c>
      <c r="P1122" s="10">
        <f>WorkOrders278[[#This Row],[Techs]]*(WorkOrders278[[#This Row],[PartsCost]]*WorkOrders278[[#This Row],[LbrHrs]])</f>
        <v>12.5</v>
      </c>
      <c r="Q1122" s="10">
        <f t="shared" si="95"/>
        <v>12.5</v>
      </c>
      <c r="R1122" s="10">
        <f t="shared" si="96"/>
        <v>25</v>
      </c>
      <c r="S1122" s="10">
        <f t="shared" si="97"/>
        <v>37.5</v>
      </c>
      <c r="T1122" s="10">
        <f t="shared" si="98"/>
        <v>37.5</v>
      </c>
      <c r="U1122" s="8" t="str">
        <f t="shared" si="99"/>
        <v>Sat</v>
      </c>
      <c r="V1122" s="8" t="str">
        <f t="shared" si="100"/>
        <v>Fri</v>
      </c>
    </row>
    <row r="1123" spans="1:22" hidden="1" x14ac:dyDescent="0.25">
      <c r="A1123" t="s">
        <v>166</v>
      </c>
      <c r="B1123" t="s">
        <v>38</v>
      </c>
      <c r="C1123" t="s">
        <v>8</v>
      </c>
      <c r="D1123" t="s">
        <v>12</v>
      </c>
      <c r="F1123" s="5">
        <v>44128</v>
      </c>
      <c r="G1123" s="5">
        <v>44159</v>
      </c>
      <c r="H1123" s="2">
        <v>1</v>
      </c>
      <c r="I1123" s="6"/>
      <c r="J1123" s="6"/>
      <c r="K1123" s="7">
        <v>0.5</v>
      </c>
      <c r="L1123" s="7">
        <v>28.5868</v>
      </c>
      <c r="M1123" t="s">
        <v>17</v>
      </c>
      <c r="N1123" s="9"/>
      <c r="O1123" s="8">
        <f t="array" ref="O1123">INDEX(TechRate,MATCH(H1123,TechNum,0))</f>
        <v>80</v>
      </c>
      <c r="P1123" s="10">
        <f>WorkOrders278[[#This Row],[Techs]]*(WorkOrders278[[#This Row],[PartsCost]]*WorkOrders278[[#This Row],[LbrHrs]])</f>
        <v>14.2934</v>
      </c>
      <c r="Q1123" s="10">
        <f t="shared" si="95"/>
        <v>14.2934</v>
      </c>
      <c r="R1123" s="10">
        <f t="shared" si="96"/>
        <v>28.5868</v>
      </c>
      <c r="S1123" s="10">
        <f t="shared" si="97"/>
        <v>42.880200000000002</v>
      </c>
      <c r="T1123" s="10">
        <f t="shared" si="98"/>
        <v>42.880200000000002</v>
      </c>
      <c r="U1123" s="8" t="str">
        <f t="shared" si="99"/>
        <v>Sat</v>
      </c>
      <c r="V1123" s="8" t="str">
        <f t="shared" si="100"/>
        <v>Tue</v>
      </c>
    </row>
    <row r="1124" spans="1:22" hidden="1" x14ac:dyDescent="0.25">
      <c r="A1124" t="s">
        <v>167</v>
      </c>
      <c r="B1124" t="s">
        <v>38</v>
      </c>
      <c r="C1124" t="s">
        <v>9</v>
      </c>
      <c r="D1124" t="s">
        <v>13</v>
      </c>
      <c r="F1124" s="5">
        <v>44128</v>
      </c>
      <c r="G1124" s="5">
        <v>44179</v>
      </c>
      <c r="H1124" s="2">
        <v>2</v>
      </c>
      <c r="I1124" s="6"/>
      <c r="J1124" s="6"/>
      <c r="K1124" s="7">
        <v>2.5</v>
      </c>
      <c r="L1124" s="7">
        <v>213.48050000000001</v>
      </c>
      <c r="M1124" t="s">
        <v>17</v>
      </c>
      <c r="N1124" s="9"/>
      <c r="O1124" s="8">
        <f t="array" ref="O1124">INDEX(TechRate,MATCH(H1124,TechNum,0))</f>
        <v>140</v>
      </c>
      <c r="P1124" s="10">
        <f>WorkOrders278[[#This Row],[Techs]]*(WorkOrders278[[#This Row],[PartsCost]]*WorkOrders278[[#This Row],[LbrHrs]])</f>
        <v>1067.4025000000001</v>
      </c>
      <c r="Q1124" s="10">
        <f t="shared" si="95"/>
        <v>1067.4025000000001</v>
      </c>
      <c r="R1124" s="10">
        <f t="shared" si="96"/>
        <v>213.48050000000001</v>
      </c>
      <c r="S1124" s="10">
        <f t="shared" si="97"/>
        <v>1280.8830000000003</v>
      </c>
      <c r="T1124" s="10">
        <f t="shared" si="98"/>
        <v>1280.8830000000003</v>
      </c>
      <c r="U1124" s="8" t="str">
        <f t="shared" si="99"/>
        <v>Sat</v>
      </c>
      <c r="V1124" s="8" t="str">
        <f t="shared" si="100"/>
        <v>Mon</v>
      </c>
    </row>
    <row r="1125" spans="1:22" hidden="1" x14ac:dyDescent="0.25">
      <c r="A1125" t="s">
        <v>168</v>
      </c>
      <c r="B1125" t="s">
        <v>38</v>
      </c>
      <c r="C1125" t="s">
        <v>8</v>
      </c>
      <c r="D1125" t="s">
        <v>12</v>
      </c>
      <c r="F1125" s="5">
        <v>44130</v>
      </c>
      <c r="G1125" s="5">
        <v>44131</v>
      </c>
      <c r="H1125" s="2">
        <v>1</v>
      </c>
      <c r="I1125" s="6"/>
      <c r="J1125" s="6"/>
      <c r="K1125" s="7">
        <v>0.5</v>
      </c>
      <c r="L1125" s="7">
        <v>83.441299999999998</v>
      </c>
      <c r="M1125" t="s">
        <v>17</v>
      </c>
      <c r="N1125" s="9"/>
      <c r="O1125" s="8">
        <f t="array" ref="O1125">INDEX(TechRate,MATCH(H1125,TechNum,0))</f>
        <v>80</v>
      </c>
      <c r="P1125" s="10">
        <f>WorkOrders278[[#This Row],[Techs]]*(WorkOrders278[[#This Row],[PartsCost]]*WorkOrders278[[#This Row],[LbrHrs]])</f>
        <v>41.720649999999999</v>
      </c>
      <c r="Q1125" s="10">
        <f t="shared" si="95"/>
        <v>41.720649999999999</v>
      </c>
      <c r="R1125" s="10">
        <f t="shared" si="96"/>
        <v>83.441299999999998</v>
      </c>
      <c r="S1125" s="10">
        <f t="shared" si="97"/>
        <v>125.16194999999999</v>
      </c>
      <c r="T1125" s="10">
        <f t="shared" si="98"/>
        <v>125.16194999999999</v>
      </c>
      <c r="U1125" s="8" t="str">
        <f t="shared" si="99"/>
        <v>Mon</v>
      </c>
      <c r="V1125" s="8" t="str">
        <f t="shared" si="100"/>
        <v>Tue</v>
      </c>
    </row>
    <row r="1126" spans="1:22" hidden="1" x14ac:dyDescent="0.25">
      <c r="A1126" t="s">
        <v>169</v>
      </c>
      <c r="B1126" t="s">
        <v>39</v>
      </c>
      <c r="C1126" t="s">
        <v>8</v>
      </c>
      <c r="D1126" t="s">
        <v>2</v>
      </c>
      <c r="F1126" s="5">
        <v>44130</v>
      </c>
      <c r="G1126" s="5">
        <v>44152</v>
      </c>
      <c r="H1126" s="2">
        <v>2</v>
      </c>
      <c r="I1126" s="6"/>
      <c r="J1126" s="6"/>
      <c r="K1126" s="7">
        <v>1</v>
      </c>
      <c r="L1126" s="7">
        <v>25</v>
      </c>
      <c r="M1126" t="s">
        <v>18</v>
      </c>
      <c r="N1126" s="9"/>
      <c r="O1126" s="8">
        <f t="array" ref="O1126">INDEX(TechRate,MATCH(H1126,TechNum,0))</f>
        <v>140</v>
      </c>
      <c r="P1126" s="10">
        <f>WorkOrders278[[#This Row],[Techs]]*(WorkOrders278[[#This Row],[PartsCost]]*WorkOrders278[[#This Row],[LbrHrs]])</f>
        <v>50</v>
      </c>
      <c r="Q1126" s="10">
        <f t="shared" si="95"/>
        <v>50</v>
      </c>
      <c r="R1126" s="10">
        <f t="shared" si="96"/>
        <v>25</v>
      </c>
      <c r="S1126" s="10">
        <f t="shared" si="97"/>
        <v>75</v>
      </c>
      <c r="T1126" s="10">
        <f t="shared" si="98"/>
        <v>75</v>
      </c>
      <c r="U1126" s="8" t="str">
        <f t="shared" si="99"/>
        <v>Mon</v>
      </c>
      <c r="V1126" s="8" t="str">
        <f t="shared" si="100"/>
        <v>Tue</v>
      </c>
    </row>
    <row r="1127" spans="1:22" hidden="1" x14ac:dyDescent="0.25">
      <c r="A1127" t="s">
        <v>170</v>
      </c>
      <c r="B1127" t="s">
        <v>37</v>
      </c>
      <c r="C1127" t="s">
        <v>43</v>
      </c>
      <c r="D1127" t="s">
        <v>12</v>
      </c>
      <c r="F1127" s="5">
        <v>44131</v>
      </c>
      <c r="G1127" s="5">
        <v>44152</v>
      </c>
      <c r="H1127" s="2">
        <v>1</v>
      </c>
      <c r="I1127" s="6"/>
      <c r="J1127" s="6"/>
      <c r="K1127" s="7">
        <v>0.25</v>
      </c>
      <c r="L1127" s="7">
        <v>67.961500000000001</v>
      </c>
      <c r="M1127" t="s">
        <v>17</v>
      </c>
      <c r="N1127" s="9"/>
      <c r="O1127" s="8">
        <f t="array" ref="O1127">INDEX(TechRate,MATCH(H1127,TechNum,0))</f>
        <v>80</v>
      </c>
      <c r="P1127" s="10">
        <f>WorkOrders278[[#This Row],[Techs]]*(WorkOrders278[[#This Row],[PartsCost]]*WorkOrders278[[#This Row],[LbrHrs]])</f>
        <v>16.990375</v>
      </c>
      <c r="Q1127" s="10">
        <f t="shared" si="95"/>
        <v>16.990375</v>
      </c>
      <c r="R1127" s="10">
        <f t="shared" si="96"/>
        <v>67.961500000000001</v>
      </c>
      <c r="S1127" s="10">
        <f t="shared" si="97"/>
        <v>84.951875000000001</v>
      </c>
      <c r="T1127" s="10">
        <f t="shared" si="98"/>
        <v>84.951875000000001</v>
      </c>
      <c r="U1127" s="8" t="str">
        <f t="shared" si="99"/>
        <v>Tue</v>
      </c>
      <c r="V1127" s="8" t="str">
        <f t="shared" si="100"/>
        <v>Tue</v>
      </c>
    </row>
    <row r="1128" spans="1:22" hidden="1" x14ac:dyDescent="0.25">
      <c r="A1128" t="s">
        <v>171</v>
      </c>
      <c r="B1128" t="s">
        <v>38</v>
      </c>
      <c r="C1128" t="s">
        <v>8</v>
      </c>
      <c r="D1128" t="s">
        <v>13</v>
      </c>
      <c r="F1128" s="5">
        <v>44131</v>
      </c>
      <c r="G1128" s="5">
        <v>44181</v>
      </c>
      <c r="H1128" s="2">
        <v>1</v>
      </c>
      <c r="I1128" s="6"/>
      <c r="J1128" s="6"/>
      <c r="K1128" s="7">
        <v>0.5</v>
      </c>
      <c r="L1128" s="7">
        <v>172.02</v>
      </c>
      <c r="M1128" t="s">
        <v>19</v>
      </c>
      <c r="N1128" s="9"/>
      <c r="O1128" s="8">
        <f t="array" ref="O1128">INDEX(TechRate,MATCH(H1128,TechNum,0))</f>
        <v>80</v>
      </c>
      <c r="P1128" s="10">
        <f>WorkOrders278[[#This Row],[Techs]]*(WorkOrders278[[#This Row],[PartsCost]]*WorkOrders278[[#This Row],[LbrHrs]])</f>
        <v>86.01</v>
      </c>
      <c r="Q1128" s="10">
        <f t="shared" si="95"/>
        <v>86.01</v>
      </c>
      <c r="R1128" s="10">
        <f t="shared" si="96"/>
        <v>172.02</v>
      </c>
      <c r="S1128" s="10">
        <f t="shared" si="97"/>
        <v>258.03000000000003</v>
      </c>
      <c r="T1128" s="10">
        <f t="shared" si="98"/>
        <v>258.03000000000003</v>
      </c>
      <c r="U1128" s="8" t="str">
        <f t="shared" si="99"/>
        <v>Tue</v>
      </c>
      <c r="V1128" s="8" t="str">
        <f t="shared" si="100"/>
        <v>Wed</v>
      </c>
    </row>
    <row r="1129" spans="1:22" hidden="1" x14ac:dyDescent="0.25">
      <c r="A1129" t="s">
        <v>172</v>
      </c>
      <c r="B1129" t="s">
        <v>37</v>
      </c>
      <c r="C1129" t="s">
        <v>43</v>
      </c>
      <c r="D1129" t="s">
        <v>12</v>
      </c>
      <c r="F1129" s="5">
        <v>44131</v>
      </c>
      <c r="G1129" s="5">
        <v>44212</v>
      </c>
      <c r="H1129" s="2">
        <v>1</v>
      </c>
      <c r="I1129" s="6"/>
      <c r="J1129" s="6"/>
      <c r="K1129" s="7">
        <v>0.5</v>
      </c>
      <c r="L1129" s="7">
        <v>102.22320000000001</v>
      </c>
      <c r="M1129" t="s">
        <v>19</v>
      </c>
      <c r="N1129" s="9"/>
      <c r="O1129" s="8">
        <f t="array" ref="O1129">INDEX(TechRate,MATCH(H1129,TechNum,0))</f>
        <v>80</v>
      </c>
      <c r="P1129" s="10">
        <f>WorkOrders278[[#This Row],[Techs]]*(WorkOrders278[[#This Row],[PartsCost]]*WorkOrders278[[#This Row],[LbrHrs]])</f>
        <v>51.111600000000003</v>
      </c>
      <c r="Q1129" s="10">
        <f t="shared" si="95"/>
        <v>51.111600000000003</v>
      </c>
      <c r="R1129" s="10">
        <f t="shared" si="96"/>
        <v>102.22320000000001</v>
      </c>
      <c r="S1129" s="10">
        <f t="shared" si="97"/>
        <v>153.3348</v>
      </c>
      <c r="T1129" s="10">
        <f t="shared" si="98"/>
        <v>153.3348</v>
      </c>
      <c r="U1129" s="8" t="str">
        <f t="shared" si="99"/>
        <v>Tue</v>
      </c>
      <c r="V1129" s="8" t="str">
        <f t="shared" si="100"/>
        <v>Sat</v>
      </c>
    </row>
    <row r="1130" spans="1:22" hidden="1" x14ac:dyDescent="0.25">
      <c r="A1130" t="s">
        <v>173</v>
      </c>
      <c r="B1130" t="s">
        <v>37</v>
      </c>
      <c r="C1130" t="s">
        <v>43</v>
      </c>
      <c r="D1130" t="s">
        <v>13</v>
      </c>
      <c r="F1130" s="5">
        <v>44132</v>
      </c>
      <c r="G1130" s="5">
        <v>44165</v>
      </c>
      <c r="H1130" s="2">
        <v>1</v>
      </c>
      <c r="I1130" s="6"/>
      <c r="J1130" s="6"/>
      <c r="K1130" s="7">
        <v>0.5</v>
      </c>
      <c r="L1130" s="7">
        <v>373.55279999999999</v>
      </c>
      <c r="M1130" t="s">
        <v>17</v>
      </c>
      <c r="N1130" s="9"/>
      <c r="O1130" s="8">
        <f t="array" ref="O1130">INDEX(TechRate,MATCH(H1130,TechNum,0))</f>
        <v>80</v>
      </c>
      <c r="P1130" s="10">
        <f>WorkOrders278[[#This Row],[Techs]]*(WorkOrders278[[#This Row],[PartsCost]]*WorkOrders278[[#This Row],[LbrHrs]])</f>
        <v>186.7764</v>
      </c>
      <c r="Q1130" s="10">
        <f t="shared" si="95"/>
        <v>186.7764</v>
      </c>
      <c r="R1130" s="10">
        <f t="shared" si="96"/>
        <v>373.55279999999999</v>
      </c>
      <c r="S1130" s="10">
        <f t="shared" si="97"/>
        <v>560.32920000000001</v>
      </c>
      <c r="T1130" s="10">
        <f t="shared" si="98"/>
        <v>560.32920000000001</v>
      </c>
      <c r="U1130" s="8" t="str">
        <f t="shared" si="99"/>
        <v>Wed</v>
      </c>
      <c r="V1130" s="8" t="str">
        <f t="shared" si="100"/>
        <v>Mon</v>
      </c>
    </row>
    <row r="1131" spans="1:22" hidden="1" x14ac:dyDescent="0.25">
      <c r="A1131" t="s">
        <v>174</v>
      </c>
      <c r="B1131" t="s">
        <v>37</v>
      </c>
      <c r="C1131" t="s">
        <v>43</v>
      </c>
      <c r="D1131" t="s">
        <v>1</v>
      </c>
      <c r="F1131" s="5">
        <v>44132</v>
      </c>
      <c r="G1131" s="5">
        <v>44166</v>
      </c>
      <c r="H1131" s="2">
        <v>3</v>
      </c>
      <c r="I1131" s="6"/>
      <c r="J1131" s="6"/>
      <c r="K1131" s="7">
        <v>2.75</v>
      </c>
      <c r="L1131" s="7">
        <v>1249.0878</v>
      </c>
      <c r="M1131" t="s">
        <v>17</v>
      </c>
      <c r="N1131" s="9"/>
      <c r="O1131" s="8">
        <f t="array" ref="O1131">INDEX(TechRate,MATCH(H1131,TechNum,0))</f>
        <v>195</v>
      </c>
      <c r="P1131" s="10">
        <f>WorkOrders278[[#This Row],[Techs]]*(WorkOrders278[[#This Row],[PartsCost]]*WorkOrders278[[#This Row],[LbrHrs]])</f>
        <v>10304.97435</v>
      </c>
      <c r="Q1131" s="10">
        <f t="shared" si="95"/>
        <v>10304.97435</v>
      </c>
      <c r="R1131" s="10">
        <f t="shared" si="96"/>
        <v>1249.0878</v>
      </c>
      <c r="S1131" s="10">
        <f t="shared" si="97"/>
        <v>11554.06215</v>
      </c>
      <c r="T1131" s="10">
        <f t="shared" si="98"/>
        <v>11554.06215</v>
      </c>
      <c r="U1131" s="8" t="str">
        <f t="shared" si="99"/>
        <v>Wed</v>
      </c>
      <c r="V1131" s="8" t="str">
        <f t="shared" si="100"/>
        <v>Tue</v>
      </c>
    </row>
    <row r="1132" spans="1:22" hidden="1" x14ac:dyDescent="0.25">
      <c r="A1132" t="s">
        <v>175</v>
      </c>
      <c r="B1132" t="s">
        <v>35</v>
      </c>
      <c r="C1132" t="s">
        <v>8</v>
      </c>
      <c r="D1132" t="s">
        <v>11</v>
      </c>
      <c r="F1132" s="5">
        <v>44133</v>
      </c>
      <c r="G1132" s="5">
        <v>44141</v>
      </c>
      <c r="H1132" s="2">
        <v>1</v>
      </c>
      <c r="I1132" s="6"/>
      <c r="J1132" s="6"/>
      <c r="K1132" s="7">
        <v>0.25</v>
      </c>
      <c r="L1132" s="7">
        <v>240</v>
      </c>
      <c r="M1132" t="s">
        <v>17</v>
      </c>
      <c r="N1132" s="9"/>
      <c r="O1132" s="8">
        <f t="array" ref="O1132">INDEX(TechRate,MATCH(H1132,TechNum,0))</f>
        <v>80</v>
      </c>
      <c r="P1132" s="10">
        <f>WorkOrders278[[#This Row],[Techs]]*(WorkOrders278[[#This Row],[PartsCost]]*WorkOrders278[[#This Row],[LbrHrs]])</f>
        <v>60</v>
      </c>
      <c r="Q1132" s="10">
        <f t="shared" ref="Q1132:Q1195" si="101">IF(I1132="Yes",0,P1132)</f>
        <v>60</v>
      </c>
      <c r="R1132" s="10">
        <f t="shared" ref="R1132:R1195" si="102">IF(J1132="Yes",0,L1132)</f>
        <v>240</v>
      </c>
      <c r="S1132" s="10">
        <f t="shared" ref="S1132:S1195" si="103">SUM(L1132,P1132)</f>
        <v>300</v>
      </c>
      <c r="T1132" s="10">
        <f t="shared" ref="T1132:T1195" si="104">SUM(Q1132,R1132)</f>
        <v>300</v>
      </c>
      <c r="U1132" s="8" t="str">
        <f t="shared" ref="U1132:U1195" si="105">TEXT(F1132,"ddd")</f>
        <v>Thu</v>
      </c>
      <c r="V1132" s="8" t="str">
        <f t="shared" ref="V1132:V1195" si="106">TEXT(G1132,"ddd")</f>
        <v>Fri</v>
      </c>
    </row>
    <row r="1133" spans="1:22" hidden="1" x14ac:dyDescent="0.25">
      <c r="A1133" t="s">
        <v>176</v>
      </c>
      <c r="B1133" t="s">
        <v>35</v>
      </c>
      <c r="C1133" t="s">
        <v>44</v>
      </c>
      <c r="D1133" t="s">
        <v>11</v>
      </c>
      <c r="F1133" s="5">
        <v>44133</v>
      </c>
      <c r="G1133" s="5">
        <v>44153</v>
      </c>
      <c r="H1133" s="2">
        <v>1</v>
      </c>
      <c r="I1133" s="6"/>
      <c r="J1133" s="6"/>
      <c r="K1133" s="7">
        <v>0.25</v>
      </c>
      <c r="L1133" s="7">
        <v>27</v>
      </c>
      <c r="M1133" t="s">
        <v>18</v>
      </c>
      <c r="N1133" s="9"/>
      <c r="O1133" s="8">
        <f t="array" ref="O1133">INDEX(TechRate,MATCH(H1133,TechNum,0))</f>
        <v>80</v>
      </c>
      <c r="P1133" s="10">
        <f>WorkOrders278[[#This Row],[Techs]]*(WorkOrders278[[#This Row],[PartsCost]]*WorkOrders278[[#This Row],[LbrHrs]])</f>
        <v>6.75</v>
      </c>
      <c r="Q1133" s="10">
        <f t="shared" si="101"/>
        <v>6.75</v>
      </c>
      <c r="R1133" s="10">
        <f t="shared" si="102"/>
        <v>27</v>
      </c>
      <c r="S1133" s="10">
        <f t="shared" si="103"/>
        <v>33.75</v>
      </c>
      <c r="T1133" s="10">
        <f t="shared" si="104"/>
        <v>33.75</v>
      </c>
      <c r="U1133" s="8" t="str">
        <f t="shared" si="105"/>
        <v>Thu</v>
      </c>
      <c r="V1133" s="8" t="str">
        <f t="shared" si="106"/>
        <v>Wed</v>
      </c>
    </row>
    <row r="1134" spans="1:22" hidden="1" x14ac:dyDescent="0.25">
      <c r="A1134" t="s">
        <v>177</v>
      </c>
      <c r="B1134" t="s">
        <v>38</v>
      </c>
      <c r="C1134" t="s">
        <v>8</v>
      </c>
      <c r="D1134" t="s">
        <v>13</v>
      </c>
      <c r="F1134" s="5">
        <v>44137</v>
      </c>
      <c r="G1134" s="5">
        <v>44139</v>
      </c>
      <c r="H1134" s="2">
        <v>2</v>
      </c>
      <c r="I1134" s="6"/>
      <c r="J1134" s="6"/>
      <c r="K1134" s="7">
        <v>1</v>
      </c>
      <c r="L1134" s="7">
        <v>228.6335</v>
      </c>
      <c r="M1134" t="s">
        <v>18</v>
      </c>
      <c r="N1134" s="9"/>
      <c r="O1134" s="8">
        <f t="array" ref="O1134">INDEX(TechRate,MATCH(H1134,TechNum,0))</f>
        <v>140</v>
      </c>
      <c r="P1134" s="10">
        <f>WorkOrders278[[#This Row],[Techs]]*(WorkOrders278[[#This Row],[PartsCost]]*WorkOrders278[[#This Row],[LbrHrs]])</f>
        <v>457.267</v>
      </c>
      <c r="Q1134" s="10">
        <f t="shared" si="101"/>
        <v>457.267</v>
      </c>
      <c r="R1134" s="10">
        <f t="shared" si="102"/>
        <v>228.6335</v>
      </c>
      <c r="S1134" s="10">
        <f t="shared" si="103"/>
        <v>685.90049999999997</v>
      </c>
      <c r="T1134" s="10">
        <f t="shared" si="104"/>
        <v>685.90049999999997</v>
      </c>
      <c r="U1134" s="8" t="str">
        <f t="shared" si="105"/>
        <v>Mon</v>
      </c>
      <c r="V1134" s="8" t="str">
        <f t="shared" si="106"/>
        <v>Wed</v>
      </c>
    </row>
    <row r="1135" spans="1:22" hidden="1" x14ac:dyDescent="0.25">
      <c r="A1135" t="s">
        <v>178</v>
      </c>
      <c r="B1135" t="s">
        <v>38</v>
      </c>
      <c r="C1135" t="s">
        <v>6</v>
      </c>
      <c r="D1135" t="s">
        <v>12</v>
      </c>
      <c r="F1135" s="5">
        <v>44137</v>
      </c>
      <c r="G1135" s="5">
        <v>44160</v>
      </c>
      <c r="H1135" s="2">
        <v>1</v>
      </c>
      <c r="I1135" s="6"/>
      <c r="J1135" s="6"/>
      <c r="K1135" s="7">
        <v>0.5</v>
      </c>
      <c r="L1135" s="7">
        <v>26.582599999999999</v>
      </c>
      <c r="M1135" t="s">
        <v>17</v>
      </c>
      <c r="N1135" s="9"/>
      <c r="O1135" s="8">
        <f t="array" ref="O1135">INDEX(TechRate,MATCH(H1135,TechNum,0))</f>
        <v>80</v>
      </c>
      <c r="P1135" s="10">
        <f>WorkOrders278[[#This Row],[Techs]]*(WorkOrders278[[#This Row],[PartsCost]]*WorkOrders278[[#This Row],[LbrHrs]])</f>
        <v>13.2913</v>
      </c>
      <c r="Q1135" s="10">
        <f t="shared" si="101"/>
        <v>13.2913</v>
      </c>
      <c r="R1135" s="10">
        <f t="shared" si="102"/>
        <v>26.582599999999999</v>
      </c>
      <c r="S1135" s="10">
        <f t="shared" si="103"/>
        <v>39.873899999999999</v>
      </c>
      <c r="T1135" s="10">
        <f t="shared" si="104"/>
        <v>39.873899999999999</v>
      </c>
      <c r="U1135" s="8" t="str">
        <f t="shared" si="105"/>
        <v>Mon</v>
      </c>
      <c r="V1135" s="8" t="str">
        <f t="shared" si="106"/>
        <v>Wed</v>
      </c>
    </row>
    <row r="1136" spans="1:22" hidden="1" x14ac:dyDescent="0.25">
      <c r="A1136" t="s">
        <v>179</v>
      </c>
      <c r="B1136" t="s">
        <v>36</v>
      </c>
      <c r="C1136" t="s">
        <v>6</v>
      </c>
      <c r="D1136" t="s">
        <v>13</v>
      </c>
      <c r="F1136" s="5">
        <v>44137</v>
      </c>
      <c r="G1136" s="5">
        <v>44172</v>
      </c>
      <c r="H1136" s="2">
        <v>2</v>
      </c>
      <c r="I1136" s="6"/>
      <c r="J1136" s="6"/>
      <c r="K1136" s="7">
        <v>0.75</v>
      </c>
      <c r="L1136" s="7">
        <v>5.71</v>
      </c>
      <c r="M1136" t="s">
        <v>17</v>
      </c>
      <c r="N1136" s="9"/>
      <c r="O1136" s="8">
        <f t="array" ref="O1136">INDEX(TechRate,MATCH(H1136,TechNum,0))</f>
        <v>140</v>
      </c>
      <c r="P1136" s="10">
        <f>WorkOrders278[[#This Row],[Techs]]*(WorkOrders278[[#This Row],[PartsCost]]*WorkOrders278[[#This Row],[LbrHrs]])</f>
        <v>8.5649999999999995</v>
      </c>
      <c r="Q1136" s="10">
        <f t="shared" si="101"/>
        <v>8.5649999999999995</v>
      </c>
      <c r="R1136" s="10">
        <f t="shared" si="102"/>
        <v>5.71</v>
      </c>
      <c r="S1136" s="10">
        <f t="shared" si="103"/>
        <v>14.274999999999999</v>
      </c>
      <c r="T1136" s="10">
        <f t="shared" si="104"/>
        <v>14.274999999999999</v>
      </c>
      <c r="U1136" s="8" t="str">
        <f t="shared" si="105"/>
        <v>Mon</v>
      </c>
      <c r="V1136" s="8" t="str">
        <f t="shared" si="106"/>
        <v>Mon</v>
      </c>
    </row>
    <row r="1137" spans="1:22" hidden="1" x14ac:dyDescent="0.25">
      <c r="A1137" t="s">
        <v>180</v>
      </c>
      <c r="B1137" t="s">
        <v>34</v>
      </c>
      <c r="C1137" t="s">
        <v>6</v>
      </c>
      <c r="D1137" t="s">
        <v>13</v>
      </c>
      <c r="F1137" s="5">
        <v>44137</v>
      </c>
      <c r="G1137" s="5">
        <v>44207</v>
      </c>
      <c r="H1137" s="2">
        <v>2</v>
      </c>
      <c r="I1137" s="6"/>
      <c r="J1137" s="6"/>
      <c r="K1137" s="7">
        <v>0.5</v>
      </c>
      <c r="L1137" s="7">
        <v>263.0523</v>
      </c>
      <c r="M1137" t="s">
        <v>18</v>
      </c>
      <c r="N1137" s="9"/>
      <c r="O1137" s="8">
        <f t="array" ref="O1137">INDEX(TechRate,MATCH(H1137,TechNum,0))</f>
        <v>140</v>
      </c>
      <c r="P1137" s="10">
        <f>WorkOrders278[[#This Row],[Techs]]*(WorkOrders278[[#This Row],[PartsCost]]*WorkOrders278[[#This Row],[LbrHrs]])</f>
        <v>263.0523</v>
      </c>
      <c r="Q1137" s="10">
        <f t="shared" si="101"/>
        <v>263.0523</v>
      </c>
      <c r="R1137" s="10">
        <f t="shared" si="102"/>
        <v>263.0523</v>
      </c>
      <c r="S1137" s="10">
        <f t="shared" si="103"/>
        <v>526.1046</v>
      </c>
      <c r="T1137" s="10">
        <f t="shared" si="104"/>
        <v>526.1046</v>
      </c>
      <c r="U1137" s="8" t="str">
        <f t="shared" si="105"/>
        <v>Mon</v>
      </c>
      <c r="V1137" s="8" t="str">
        <f t="shared" si="106"/>
        <v>Mon</v>
      </c>
    </row>
    <row r="1138" spans="1:22" hidden="1" x14ac:dyDescent="0.25">
      <c r="A1138" t="s">
        <v>181</v>
      </c>
      <c r="B1138" t="s">
        <v>39</v>
      </c>
      <c r="C1138" t="s">
        <v>44</v>
      </c>
      <c r="D1138" t="s">
        <v>13</v>
      </c>
      <c r="F1138" s="5">
        <v>44137</v>
      </c>
      <c r="G1138" s="5">
        <v>44301</v>
      </c>
      <c r="H1138" s="2">
        <v>2</v>
      </c>
      <c r="I1138" s="6"/>
      <c r="J1138" s="6"/>
      <c r="K1138" s="7">
        <v>1.75</v>
      </c>
      <c r="L1138" s="7">
        <v>8.25</v>
      </c>
      <c r="M1138" t="s">
        <v>17</v>
      </c>
      <c r="N1138" s="9"/>
      <c r="O1138" s="8">
        <f t="array" ref="O1138">INDEX(TechRate,MATCH(H1138,TechNum,0))</f>
        <v>140</v>
      </c>
      <c r="P1138" s="10">
        <f>WorkOrders278[[#This Row],[Techs]]*(WorkOrders278[[#This Row],[PartsCost]]*WorkOrders278[[#This Row],[LbrHrs]])</f>
        <v>28.875</v>
      </c>
      <c r="Q1138" s="10">
        <f t="shared" si="101"/>
        <v>28.875</v>
      </c>
      <c r="R1138" s="10">
        <f t="shared" si="102"/>
        <v>8.25</v>
      </c>
      <c r="S1138" s="10">
        <f t="shared" si="103"/>
        <v>37.125</v>
      </c>
      <c r="T1138" s="10">
        <f t="shared" si="104"/>
        <v>37.125</v>
      </c>
      <c r="U1138" s="8" t="str">
        <f t="shared" si="105"/>
        <v>Mon</v>
      </c>
      <c r="V1138" s="8" t="str">
        <f t="shared" si="106"/>
        <v>Thu</v>
      </c>
    </row>
    <row r="1139" spans="1:22" hidden="1" x14ac:dyDescent="0.25">
      <c r="A1139" t="s">
        <v>182</v>
      </c>
      <c r="B1139" t="s">
        <v>39</v>
      </c>
      <c r="C1139" t="s">
        <v>8</v>
      </c>
      <c r="D1139" t="s">
        <v>13</v>
      </c>
      <c r="F1139" s="5">
        <v>44138</v>
      </c>
      <c r="G1139" s="5">
        <v>44165</v>
      </c>
      <c r="H1139" s="2">
        <v>1</v>
      </c>
      <c r="I1139" s="6"/>
      <c r="J1139" s="6"/>
      <c r="K1139" s="7">
        <v>0.5</v>
      </c>
      <c r="L1139" s="7">
        <v>15.63</v>
      </c>
      <c r="M1139" t="s">
        <v>17</v>
      </c>
      <c r="N1139" s="9"/>
      <c r="O1139" s="8">
        <f t="array" ref="O1139">INDEX(TechRate,MATCH(H1139,TechNum,0))</f>
        <v>80</v>
      </c>
      <c r="P1139" s="10">
        <f>WorkOrders278[[#This Row],[Techs]]*(WorkOrders278[[#This Row],[PartsCost]]*WorkOrders278[[#This Row],[LbrHrs]])</f>
        <v>7.8150000000000004</v>
      </c>
      <c r="Q1139" s="10">
        <f t="shared" si="101"/>
        <v>7.8150000000000004</v>
      </c>
      <c r="R1139" s="10">
        <f t="shared" si="102"/>
        <v>15.63</v>
      </c>
      <c r="S1139" s="10">
        <f t="shared" si="103"/>
        <v>23.445</v>
      </c>
      <c r="T1139" s="10">
        <f t="shared" si="104"/>
        <v>23.445</v>
      </c>
      <c r="U1139" s="8" t="str">
        <f t="shared" si="105"/>
        <v>Tue</v>
      </c>
      <c r="V1139" s="8" t="str">
        <f t="shared" si="106"/>
        <v>Mon</v>
      </c>
    </row>
    <row r="1140" spans="1:22" hidden="1" x14ac:dyDescent="0.25">
      <c r="A1140" t="s">
        <v>183</v>
      </c>
      <c r="B1140" t="s">
        <v>34</v>
      </c>
      <c r="C1140" t="s">
        <v>6</v>
      </c>
      <c r="D1140" t="s">
        <v>13</v>
      </c>
      <c r="F1140" s="5">
        <v>44138</v>
      </c>
      <c r="G1140" s="5">
        <v>44167</v>
      </c>
      <c r="H1140" s="2">
        <v>1</v>
      </c>
      <c r="I1140" s="6"/>
      <c r="J1140" s="6"/>
      <c r="K1140" s="7">
        <v>0.5</v>
      </c>
      <c r="L1140" s="7">
        <v>15.63</v>
      </c>
      <c r="M1140" t="s">
        <v>17</v>
      </c>
      <c r="N1140" s="9"/>
      <c r="O1140" s="8">
        <f t="array" ref="O1140">INDEX(TechRate,MATCH(H1140,TechNum,0))</f>
        <v>80</v>
      </c>
      <c r="P1140" s="10">
        <f>WorkOrders278[[#This Row],[Techs]]*(WorkOrders278[[#This Row],[PartsCost]]*WorkOrders278[[#This Row],[LbrHrs]])</f>
        <v>7.8150000000000004</v>
      </c>
      <c r="Q1140" s="10">
        <f t="shared" si="101"/>
        <v>7.8150000000000004</v>
      </c>
      <c r="R1140" s="10">
        <f t="shared" si="102"/>
        <v>15.63</v>
      </c>
      <c r="S1140" s="10">
        <f t="shared" si="103"/>
        <v>23.445</v>
      </c>
      <c r="T1140" s="10">
        <f t="shared" si="104"/>
        <v>23.445</v>
      </c>
      <c r="U1140" s="8" t="str">
        <f t="shared" si="105"/>
        <v>Tue</v>
      </c>
      <c r="V1140" s="8" t="str">
        <f t="shared" si="106"/>
        <v>Wed</v>
      </c>
    </row>
    <row r="1141" spans="1:22" hidden="1" x14ac:dyDescent="0.25">
      <c r="A1141" t="s">
        <v>184</v>
      </c>
      <c r="B1141" t="s">
        <v>39</v>
      </c>
      <c r="C1141" t="s">
        <v>9</v>
      </c>
      <c r="D1141" t="s">
        <v>12</v>
      </c>
      <c r="F1141" s="5">
        <v>44138</v>
      </c>
      <c r="G1141" s="5">
        <v>44173</v>
      </c>
      <c r="H1141" s="2">
        <v>1</v>
      </c>
      <c r="I1141" s="6"/>
      <c r="J1141" s="6"/>
      <c r="K1141" s="7">
        <v>0.75</v>
      </c>
      <c r="L1141" s="7">
        <v>28.5</v>
      </c>
      <c r="M1141" t="s">
        <v>18</v>
      </c>
      <c r="N1141" s="9"/>
      <c r="O1141" s="8">
        <f t="array" ref="O1141">INDEX(TechRate,MATCH(H1141,TechNum,0))</f>
        <v>80</v>
      </c>
      <c r="P1141" s="10">
        <f>WorkOrders278[[#This Row],[Techs]]*(WorkOrders278[[#This Row],[PartsCost]]*WorkOrders278[[#This Row],[LbrHrs]])</f>
        <v>21.375</v>
      </c>
      <c r="Q1141" s="10">
        <f t="shared" si="101"/>
        <v>21.375</v>
      </c>
      <c r="R1141" s="10">
        <f t="shared" si="102"/>
        <v>28.5</v>
      </c>
      <c r="S1141" s="10">
        <f t="shared" si="103"/>
        <v>49.875</v>
      </c>
      <c r="T1141" s="10">
        <f t="shared" si="104"/>
        <v>49.875</v>
      </c>
      <c r="U1141" s="8" t="str">
        <f t="shared" si="105"/>
        <v>Tue</v>
      </c>
      <c r="V1141" s="8" t="str">
        <f t="shared" si="106"/>
        <v>Tue</v>
      </c>
    </row>
    <row r="1142" spans="1:22" hidden="1" x14ac:dyDescent="0.25">
      <c r="A1142" t="s">
        <v>185</v>
      </c>
      <c r="B1142" t="s">
        <v>38</v>
      </c>
      <c r="C1142" t="s">
        <v>8</v>
      </c>
      <c r="D1142" t="s">
        <v>13</v>
      </c>
      <c r="F1142" s="5">
        <v>44139</v>
      </c>
      <c r="G1142" s="5">
        <v>44144</v>
      </c>
      <c r="H1142" s="2">
        <v>1</v>
      </c>
      <c r="I1142" s="6"/>
      <c r="J1142" s="6"/>
      <c r="K1142" s="7">
        <v>0.5</v>
      </c>
      <c r="L1142" s="7">
        <v>748.44</v>
      </c>
      <c r="M1142" t="s">
        <v>17</v>
      </c>
      <c r="N1142" s="9"/>
      <c r="O1142" s="8">
        <f t="array" ref="O1142">INDEX(TechRate,MATCH(H1142,TechNum,0))</f>
        <v>80</v>
      </c>
      <c r="P1142" s="10">
        <f>WorkOrders278[[#This Row],[Techs]]*(WorkOrders278[[#This Row],[PartsCost]]*WorkOrders278[[#This Row],[LbrHrs]])</f>
        <v>374.22</v>
      </c>
      <c r="Q1142" s="10">
        <f t="shared" si="101"/>
        <v>374.22</v>
      </c>
      <c r="R1142" s="10">
        <f t="shared" si="102"/>
        <v>748.44</v>
      </c>
      <c r="S1142" s="10">
        <f t="shared" si="103"/>
        <v>1122.6600000000001</v>
      </c>
      <c r="T1142" s="10">
        <f t="shared" si="104"/>
        <v>1122.6600000000001</v>
      </c>
      <c r="U1142" s="8" t="str">
        <f t="shared" si="105"/>
        <v>Wed</v>
      </c>
      <c r="V1142" s="8" t="str">
        <f t="shared" si="106"/>
        <v>Mon</v>
      </c>
    </row>
    <row r="1143" spans="1:22" hidden="1" x14ac:dyDescent="0.25">
      <c r="A1143" t="s">
        <v>186</v>
      </c>
      <c r="B1143" t="s">
        <v>38</v>
      </c>
      <c r="C1143" t="s">
        <v>6</v>
      </c>
      <c r="D1143" t="s">
        <v>1</v>
      </c>
      <c r="F1143" s="5">
        <v>44139</v>
      </c>
      <c r="G1143" s="5">
        <v>44152</v>
      </c>
      <c r="H1143" s="2">
        <v>1</v>
      </c>
      <c r="I1143" s="6"/>
      <c r="J1143" s="6"/>
      <c r="K1143" s="7">
        <v>1</v>
      </c>
      <c r="L1143" s="7">
        <v>86.356300000000005</v>
      </c>
      <c r="M1143" t="s">
        <v>19</v>
      </c>
      <c r="N1143" s="9"/>
      <c r="O1143" s="8">
        <f t="array" ref="O1143">INDEX(TechRate,MATCH(H1143,TechNum,0))</f>
        <v>80</v>
      </c>
      <c r="P1143" s="10">
        <f>WorkOrders278[[#This Row],[Techs]]*(WorkOrders278[[#This Row],[PartsCost]]*WorkOrders278[[#This Row],[LbrHrs]])</f>
        <v>86.356300000000005</v>
      </c>
      <c r="Q1143" s="10">
        <f t="shared" si="101"/>
        <v>86.356300000000005</v>
      </c>
      <c r="R1143" s="10">
        <f t="shared" si="102"/>
        <v>86.356300000000005</v>
      </c>
      <c r="S1143" s="10">
        <f t="shared" si="103"/>
        <v>172.71260000000001</v>
      </c>
      <c r="T1143" s="10">
        <f t="shared" si="104"/>
        <v>172.71260000000001</v>
      </c>
      <c r="U1143" s="8" t="str">
        <f t="shared" si="105"/>
        <v>Wed</v>
      </c>
      <c r="V1143" s="8" t="str">
        <f t="shared" si="106"/>
        <v>Tue</v>
      </c>
    </row>
    <row r="1144" spans="1:22" hidden="1" x14ac:dyDescent="0.25">
      <c r="A1144" t="s">
        <v>187</v>
      </c>
      <c r="B1144" t="s">
        <v>36</v>
      </c>
      <c r="C1144" t="s">
        <v>44</v>
      </c>
      <c r="D1144" t="s">
        <v>11</v>
      </c>
      <c r="F1144" s="5">
        <v>44139</v>
      </c>
      <c r="G1144" s="5">
        <v>44152</v>
      </c>
      <c r="H1144" s="2">
        <v>1</v>
      </c>
      <c r="I1144" s="6"/>
      <c r="J1144" s="6"/>
      <c r="K1144" s="7">
        <v>0.25</v>
      </c>
      <c r="L1144" s="7">
        <v>107.99550000000001</v>
      </c>
      <c r="M1144" t="s">
        <v>19</v>
      </c>
      <c r="N1144" s="9"/>
      <c r="O1144" s="8">
        <f t="array" ref="O1144">INDEX(TechRate,MATCH(H1144,TechNum,0))</f>
        <v>80</v>
      </c>
      <c r="P1144" s="10">
        <f>WorkOrders278[[#This Row],[Techs]]*(WorkOrders278[[#This Row],[PartsCost]]*WorkOrders278[[#This Row],[LbrHrs]])</f>
        <v>26.998875000000002</v>
      </c>
      <c r="Q1144" s="10">
        <f t="shared" si="101"/>
        <v>26.998875000000002</v>
      </c>
      <c r="R1144" s="10">
        <f t="shared" si="102"/>
        <v>107.99550000000001</v>
      </c>
      <c r="S1144" s="10">
        <f t="shared" si="103"/>
        <v>134.99437500000002</v>
      </c>
      <c r="T1144" s="10">
        <f t="shared" si="104"/>
        <v>134.99437500000002</v>
      </c>
      <c r="U1144" s="8" t="str">
        <f t="shared" si="105"/>
        <v>Wed</v>
      </c>
      <c r="V1144" s="8" t="str">
        <f t="shared" si="106"/>
        <v>Tue</v>
      </c>
    </row>
    <row r="1145" spans="1:22" hidden="1" x14ac:dyDescent="0.25">
      <c r="A1145" t="s">
        <v>188</v>
      </c>
      <c r="B1145" t="s">
        <v>34</v>
      </c>
      <c r="C1145" t="s">
        <v>44</v>
      </c>
      <c r="D1145" t="s">
        <v>13</v>
      </c>
      <c r="F1145" s="5">
        <v>44139</v>
      </c>
      <c r="G1145" s="5">
        <v>44159</v>
      </c>
      <c r="H1145" s="2">
        <v>2</v>
      </c>
      <c r="I1145" s="6"/>
      <c r="J1145" s="6"/>
      <c r="K1145" s="7">
        <v>0.5</v>
      </c>
      <c r="L1145" s="7">
        <v>279.31</v>
      </c>
      <c r="M1145" t="s">
        <v>17</v>
      </c>
      <c r="N1145" s="9"/>
      <c r="O1145" s="8">
        <f t="array" ref="O1145">INDEX(TechRate,MATCH(H1145,TechNum,0))</f>
        <v>140</v>
      </c>
      <c r="P1145" s="10">
        <f>WorkOrders278[[#This Row],[Techs]]*(WorkOrders278[[#This Row],[PartsCost]]*WorkOrders278[[#This Row],[LbrHrs]])</f>
        <v>279.31</v>
      </c>
      <c r="Q1145" s="10">
        <f t="shared" si="101"/>
        <v>279.31</v>
      </c>
      <c r="R1145" s="10">
        <f t="shared" si="102"/>
        <v>279.31</v>
      </c>
      <c r="S1145" s="10">
        <f t="shared" si="103"/>
        <v>558.62</v>
      </c>
      <c r="T1145" s="10">
        <f t="shared" si="104"/>
        <v>558.62</v>
      </c>
      <c r="U1145" s="8" t="str">
        <f t="shared" si="105"/>
        <v>Wed</v>
      </c>
      <c r="V1145" s="8" t="str">
        <f t="shared" si="106"/>
        <v>Tue</v>
      </c>
    </row>
    <row r="1146" spans="1:22" hidden="1" x14ac:dyDescent="0.25">
      <c r="A1146" t="s">
        <v>189</v>
      </c>
      <c r="B1146" t="s">
        <v>38</v>
      </c>
      <c r="C1146" t="s">
        <v>8</v>
      </c>
      <c r="D1146" t="s">
        <v>12</v>
      </c>
      <c r="F1146" s="5">
        <v>44139</v>
      </c>
      <c r="G1146" s="5">
        <v>44167</v>
      </c>
      <c r="H1146" s="2">
        <v>1</v>
      </c>
      <c r="I1146" s="6"/>
      <c r="J1146" s="6"/>
      <c r="K1146" s="7">
        <v>0.5</v>
      </c>
      <c r="L1146" s="7">
        <v>25.26</v>
      </c>
      <c r="M1146" t="s">
        <v>17</v>
      </c>
      <c r="N1146" s="9"/>
      <c r="O1146" s="8">
        <f t="array" ref="O1146">INDEX(TechRate,MATCH(H1146,TechNum,0))</f>
        <v>80</v>
      </c>
      <c r="P1146" s="10">
        <f>WorkOrders278[[#This Row],[Techs]]*(WorkOrders278[[#This Row],[PartsCost]]*WorkOrders278[[#This Row],[LbrHrs]])</f>
        <v>12.63</v>
      </c>
      <c r="Q1146" s="10">
        <f t="shared" si="101"/>
        <v>12.63</v>
      </c>
      <c r="R1146" s="10">
        <f t="shared" si="102"/>
        <v>25.26</v>
      </c>
      <c r="S1146" s="10">
        <f t="shared" si="103"/>
        <v>37.89</v>
      </c>
      <c r="T1146" s="10">
        <f t="shared" si="104"/>
        <v>37.89</v>
      </c>
      <c r="U1146" s="8" t="str">
        <f t="shared" si="105"/>
        <v>Wed</v>
      </c>
      <c r="V1146" s="8" t="str">
        <f t="shared" si="106"/>
        <v>Wed</v>
      </c>
    </row>
    <row r="1147" spans="1:22" hidden="1" x14ac:dyDescent="0.25">
      <c r="A1147" t="s">
        <v>190</v>
      </c>
      <c r="B1147" t="s">
        <v>34</v>
      </c>
      <c r="C1147" t="s">
        <v>44</v>
      </c>
      <c r="D1147" t="s">
        <v>13</v>
      </c>
      <c r="F1147" s="5">
        <v>44140</v>
      </c>
      <c r="G1147" s="5">
        <v>44153</v>
      </c>
      <c r="H1147" s="2">
        <v>1</v>
      </c>
      <c r="I1147" s="6"/>
      <c r="J1147" s="6"/>
      <c r="K1147" s="7">
        <v>1</v>
      </c>
      <c r="L1147" s="7">
        <v>351.02069999999998</v>
      </c>
      <c r="M1147" t="s">
        <v>18</v>
      </c>
      <c r="N1147" s="9"/>
      <c r="O1147" s="8">
        <f t="array" ref="O1147">INDEX(TechRate,MATCH(H1147,TechNum,0))</f>
        <v>80</v>
      </c>
      <c r="P1147" s="10">
        <f>WorkOrders278[[#This Row],[Techs]]*(WorkOrders278[[#This Row],[PartsCost]]*WorkOrders278[[#This Row],[LbrHrs]])</f>
        <v>351.02069999999998</v>
      </c>
      <c r="Q1147" s="10">
        <f t="shared" si="101"/>
        <v>351.02069999999998</v>
      </c>
      <c r="R1147" s="10">
        <f t="shared" si="102"/>
        <v>351.02069999999998</v>
      </c>
      <c r="S1147" s="10">
        <f t="shared" si="103"/>
        <v>702.04139999999995</v>
      </c>
      <c r="T1147" s="10">
        <f t="shared" si="104"/>
        <v>702.04139999999995</v>
      </c>
      <c r="U1147" s="8" t="str">
        <f t="shared" si="105"/>
        <v>Thu</v>
      </c>
      <c r="V1147" s="8" t="str">
        <f t="shared" si="106"/>
        <v>Wed</v>
      </c>
    </row>
    <row r="1148" spans="1:22" hidden="1" x14ac:dyDescent="0.25">
      <c r="A1148" t="s">
        <v>191</v>
      </c>
      <c r="B1148" t="s">
        <v>38</v>
      </c>
      <c r="C1148" t="s">
        <v>6</v>
      </c>
      <c r="D1148" t="s">
        <v>13</v>
      </c>
      <c r="F1148" s="5">
        <v>44140</v>
      </c>
      <c r="G1148" s="5">
        <v>44160</v>
      </c>
      <c r="H1148" s="2">
        <v>1</v>
      </c>
      <c r="I1148" s="6"/>
      <c r="J1148" s="6"/>
      <c r="K1148" s="7">
        <v>0.5</v>
      </c>
      <c r="L1148" s="7">
        <v>27.953900000000001</v>
      </c>
      <c r="M1148" t="s">
        <v>17</v>
      </c>
      <c r="N1148" s="9"/>
      <c r="O1148" s="8">
        <f t="array" ref="O1148">INDEX(TechRate,MATCH(H1148,TechNum,0))</f>
        <v>80</v>
      </c>
      <c r="P1148" s="10">
        <f>WorkOrders278[[#This Row],[Techs]]*(WorkOrders278[[#This Row],[PartsCost]]*WorkOrders278[[#This Row],[LbrHrs]])</f>
        <v>13.97695</v>
      </c>
      <c r="Q1148" s="10">
        <f t="shared" si="101"/>
        <v>13.97695</v>
      </c>
      <c r="R1148" s="10">
        <f t="shared" si="102"/>
        <v>27.953900000000001</v>
      </c>
      <c r="S1148" s="10">
        <f t="shared" si="103"/>
        <v>41.93085</v>
      </c>
      <c r="T1148" s="10">
        <f t="shared" si="104"/>
        <v>41.93085</v>
      </c>
      <c r="U1148" s="8" t="str">
        <f t="shared" si="105"/>
        <v>Thu</v>
      </c>
      <c r="V1148" s="8" t="str">
        <f t="shared" si="106"/>
        <v>Wed</v>
      </c>
    </row>
    <row r="1149" spans="1:22" hidden="1" x14ac:dyDescent="0.25">
      <c r="A1149" t="s">
        <v>192</v>
      </c>
      <c r="B1149" t="s">
        <v>35</v>
      </c>
      <c r="C1149" t="s">
        <v>9</v>
      </c>
      <c r="D1149" t="s">
        <v>12</v>
      </c>
      <c r="F1149" s="5">
        <v>44142</v>
      </c>
      <c r="G1149" s="5">
        <v>44174</v>
      </c>
      <c r="H1149" s="2">
        <v>2</v>
      </c>
      <c r="I1149" s="6"/>
      <c r="J1149" s="6"/>
      <c r="K1149" s="7">
        <v>0.75</v>
      </c>
      <c r="L1149" s="7">
        <v>62.13</v>
      </c>
      <c r="M1149" t="s">
        <v>17</v>
      </c>
      <c r="N1149" s="9"/>
      <c r="O1149" s="8">
        <f t="array" ref="O1149">INDEX(TechRate,MATCH(H1149,TechNum,0))</f>
        <v>140</v>
      </c>
      <c r="P1149" s="10">
        <f>WorkOrders278[[#This Row],[Techs]]*(WorkOrders278[[#This Row],[PartsCost]]*WorkOrders278[[#This Row],[LbrHrs]])</f>
        <v>93.195000000000007</v>
      </c>
      <c r="Q1149" s="10">
        <f t="shared" si="101"/>
        <v>93.195000000000007</v>
      </c>
      <c r="R1149" s="10">
        <f t="shared" si="102"/>
        <v>62.13</v>
      </c>
      <c r="S1149" s="10">
        <f t="shared" si="103"/>
        <v>155.32500000000002</v>
      </c>
      <c r="T1149" s="10">
        <f t="shared" si="104"/>
        <v>155.32500000000002</v>
      </c>
      <c r="U1149" s="8" t="str">
        <f t="shared" si="105"/>
        <v>Sat</v>
      </c>
      <c r="V1149" s="8" t="str">
        <f t="shared" si="106"/>
        <v>Wed</v>
      </c>
    </row>
    <row r="1150" spans="1:22" hidden="1" x14ac:dyDescent="0.25">
      <c r="A1150" t="s">
        <v>193</v>
      </c>
      <c r="B1150" t="s">
        <v>37</v>
      </c>
      <c r="C1150" t="s">
        <v>43</v>
      </c>
      <c r="D1150" t="s">
        <v>1</v>
      </c>
      <c r="F1150" s="5">
        <v>44144</v>
      </c>
      <c r="G1150" s="5">
        <v>44161</v>
      </c>
      <c r="H1150" s="2">
        <v>1</v>
      </c>
      <c r="I1150" s="6"/>
      <c r="J1150" s="6"/>
      <c r="K1150" s="7">
        <v>7</v>
      </c>
      <c r="L1150" s="7">
        <v>3396.25</v>
      </c>
      <c r="M1150" t="s">
        <v>19</v>
      </c>
      <c r="N1150" s="9"/>
      <c r="O1150" s="8">
        <f t="array" ref="O1150">INDEX(TechRate,MATCH(H1150,TechNum,0))</f>
        <v>80</v>
      </c>
      <c r="P1150" s="10">
        <f>WorkOrders278[[#This Row],[Techs]]*(WorkOrders278[[#This Row],[PartsCost]]*WorkOrders278[[#This Row],[LbrHrs]])</f>
        <v>23773.75</v>
      </c>
      <c r="Q1150" s="10">
        <f t="shared" si="101"/>
        <v>23773.75</v>
      </c>
      <c r="R1150" s="10">
        <f t="shared" si="102"/>
        <v>3396.25</v>
      </c>
      <c r="S1150" s="10">
        <f t="shared" si="103"/>
        <v>27170</v>
      </c>
      <c r="T1150" s="10">
        <f t="shared" si="104"/>
        <v>27170</v>
      </c>
      <c r="U1150" s="8" t="str">
        <f t="shared" si="105"/>
        <v>Mon</v>
      </c>
      <c r="V1150" s="8" t="str">
        <f t="shared" si="106"/>
        <v>Thu</v>
      </c>
    </row>
    <row r="1151" spans="1:22" hidden="1" x14ac:dyDescent="0.25">
      <c r="A1151" t="s">
        <v>194</v>
      </c>
      <c r="B1151" t="s">
        <v>40</v>
      </c>
      <c r="C1151" t="s">
        <v>7</v>
      </c>
      <c r="D1151" t="s">
        <v>13</v>
      </c>
      <c r="F1151" s="5">
        <v>44144</v>
      </c>
      <c r="G1151" s="5">
        <v>44258</v>
      </c>
      <c r="H1151" s="2">
        <v>2</v>
      </c>
      <c r="I1151" s="6"/>
      <c r="J1151" s="6"/>
      <c r="K1151" s="7">
        <v>0.5</v>
      </c>
      <c r="L1151" s="7">
        <v>22</v>
      </c>
      <c r="M1151" t="s">
        <v>17</v>
      </c>
      <c r="N1151" s="9"/>
      <c r="O1151" s="8">
        <f t="array" ref="O1151">INDEX(TechRate,MATCH(H1151,TechNum,0))</f>
        <v>140</v>
      </c>
      <c r="P1151" s="10">
        <f>WorkOrders278[[#This Row],[Techs]]*(WorkOrders278[[#This Row],[PartsCost]]*WorkOrders278[[#This Row],[LbrHrs]])</f>
        <v>22</v>
      </c>
      <c r="Q1151" s="10">
        <f t="shared" si="101"/>
        <v>22</v>
      </c>
      <c r="R1151" s="10">
        <f t="shared" si="102"/>
        <v>22</v>
      </c>
      <c r="S1151" s="10">
        <f t="shared" si="103"/>
        <v>44</v>
      </c>
      <c r="T1151" s="10">
        <f t="shared" si="104"/>
        <v>44</v>
      </c>
      <c r="U1151" s="8" t="str">
        <f t="shared" si="105"/>
        <v>Mon</v>
      </c>
      <c r="V1151" s="8" t="str">
        <f t="shared" si="106"/>
        <v>Wed</v>
      </c>
    </row>
    <row r="1152" spans="1:22" hidden="1" x14ac:dyDescent="0.25">
      <c r="A1152" t="s">
        <v>195</v>
      </c>
      <c r="B1152" t="s">
        <v>38</v>
      </c>
      <c r="C1152" t="s">
        <v>8</v>
      </c>
      <c r="D1152" t="s">
        <v>13</v>
      </c>
      <c r="F1152" s="5">
        <v>44145</v>
      </c>
      <c r="G1152" s="5">
        <v>44174</v>
      </c>
      <c r="H1152" s="2">
        <v>1</v>
      </c>
      <c r="I1152" s="6"/>
      <c r="J1152" s="6"/>
      <c r="K1152" s="7">
        <v>0.5</v>
      </c>
      <c r="L1152" s="7">
        <v>163.36609999999999</v>
      </c>
      <c r="M1152" t="s">
        <v>19</v>
      </c>
      <c r="N1152" s="9"/>
      <c r="O1152" s="8">
        <f t="array" ref="O1152">INDEX(TechRate,MATCH(H1152,TechNum,0))</f>
        <v>80</v>
      </c>
      <c r="P1152" s="10">
        <f>WorkOrders278[[#This Row],[Techs]]*(WorkOrders278[[#This Row],[PartsCost]]*WorkOrders278[[#This Row],[LbrHrs]])</f>
        <v>81.683049999999994</v>
      </c>
      <c r="Q1152" s="10">
        <f t="shared" si="101"/>
        <v>81.683049999999994</v>
      </c>
      <c r="R1152" s="10">
        <f t="shared" si="102"/>
        <v>163.36609999999999</v>
      </c>
      <c r="S1152" s="10">
        <f t="shared" si="103"/>
        <v>245.04915</v>
      </c>
      <c r="T1152" s="10">
        <f t="shared" si="104"/>
        <v>245.04915</v>
      </c>
      <c r="U1152" s="8" t="str">
        <f t="shared" si="105"/>
        <v>Tue</v>
      </c>
      <c r="V1152" s="8" t="str">
        <f t="shared" si="106"/>
        <v>Wed</v>
      </c>
    </row>
    <row r="1153" spans="1:22" hidden="1" x14ac:dyDescent="0.25">
      <c r="A1153" t="s">
        <v>196</v>
      </c>
      <c r="B1153" t="s">
        <v>37</v>
      </c>
      <c r="C1153" t="s">
        <v>43</v>
      </c>
      <c r="D1153" t="s">
        <v>12</v>
      </c>
      <c r="F1153" s="5">
        <v>44146</v>
      </c>
      <c r="G1153" s="5">
        <v>44160</v>
      </c>
      <c r="H1153" s="2">
        <v>1</v>
      </c>
      <c r="I1153" s="6"/>
      <c r="J1153" s="6"/>
      <c r="K1153" s="7">
        <v>0.25</v>
      </c>
      <c r="L1153" s="7">
        <v>25.407900000000001</v>
      </c>
      <c r="M1153" t="s">
        <v>17</v>
      </c>
      <c r="N1153" s="9"/>
      <c r="O1153" s="8">
        <f t="array" ref="O1153">INDEX(TechRate,MATCH(H1153,TechNum,0))</f>
        <v>80</v>
      </c>
      <c r="P1153" s="10">
        <f>WorkOrders278[[#This Row],[Techs]]*(WorkOrders278[[#This Row],[PartsCost]]*WorkOrders278[[#This Row],[LbrHrs]])</f>
        <v>6.3519750000000004</v>
      </c>
      <c r="Q1153" s="10">
        <f t="shared" si="101"/>
        <v>6.3519750000000004</v>
      </c>
      <c r="R1153" s="10">
        <f t="shared" si="102"/>
        <v>25.407900000000001</v>
      </c>
      <c r="S1153" s="10">
        <f t="shared" si="103"/>
        <v>31.759875000000001</v>
      </c>
      <c r="T1153" s="10">
        <f t="shared" si="104"/>
        <v>31.759875000000001</v>
      </c>
      <c r="U1153" s="8" t="str">
        <f t="shared" si="105"/>
        <v>Wed</v>
      </c>
      <c r="V1153" s="8" t="str">
        <f t="shared" si="106"/>
        <v>Wed</v>
      </c>
    </row>
    <row r="1154" spans="1:22" hidden="1" x14ac:dyDescent="0.25">
      <c r="A1154" t="s">
        <v>197</v>
      </c>
      <c r="B1154" t="s">
        <v>39</v>
      </c>
      <c r="C1154" t="s">
        <v>44</v>
      </c>
      <c r="D1154" t="s">
        <v>13</v>
      </c>
      <c r="F1154" s="5">
        <v>44146</v>
      </c>
      <c r="G1154" s="5">
        <v>44168</v>
      </c>
      <c r="H1154" s="2">
        <v>2</v>
      </c>
      <c r="I1154" s="6"/>
      <c r="J1154" s="6"/>
      <c r="K1154" s="7">
        <v>0.75</v>
      </c>
      <c r="L1154" s="7">
        <v>182.7</v>
      </c>
      <c r="M1154" t="s">
        <v>18</v>
      </c>
      <c r="N1154" s="9"/>
      <c r="O1154" s="8">
        <f t="array" ref="O1154">INDEX(TechRate,MATCH(H1154,TechNum,0))</f>
        <v>140</v>
      </c>
      <c r="P1154" s="10">
        <f>WorkOrders278[[#This Row],[Techs]]*(WorkOrders278[[#This Row],[PartsCost]]*WorkOrders278[[#This Row],[LbrHrs]])</f>
        <v>274.04999999999995</v>
      </c>
      <c r="Q1154" s="10">
        <f t="shared" si="101"/>
        <v>274.04999999999995</v>
      </c>
      <c r="R1154" s="10">
        <f t="shared" si="102"/>
        <v>182.7</v>
      </c>
      <c r="S1154" s="10">
        <f t="shared" si="103"/>
        <v>456.74999999999994</v>
      </c>
      <c r="T1154" s="10">
        <f t="shared" si="104"/>
        <v>456.74999999999994</v>
      </c>
      <c r="U1154" s="8" t="str">
        <f t="shared" si="105"/>
        <v>Wed</v>
      </c>
      <c r="V1154" s="8" t="str">
        <f t="shared" si="106"/>
        <v>Thu</v>
      </c>
    </row>
    <row r="1155" spans="1:22" hidden="1" x14ac:dyDescent="0.25">
      <c r="A1155" t="s">
        <v>198</v>
      </c>
      <c r="B1155" t="s">
        <v>39</v>
      </c>
      <c r="C1155" t="s">
        <v>8</v>
      </c>
      <c r="D1155" t="s">
        <v>13</v>
      </c>
      <c r="F1155" s="5">
        <v>44146</v>
      </c>
      <c r="G1155" s="5">
        <v>44165</v>
      </c>
      <c r="H1155" s="2">
        <v>1</v>
      </c>
      <c r="I1155" s="6"/>
      <c r="J1155" s="6"/>
      <c r="K1155" s="7">
        <v>0.5</v>
      </c>
      <c r="L1155" s="7">
        <v>73.508899999999997</v>
      </c>
      <c r="M1155" t="s">
        <v>18</v>
      </c>
      <c r="N1155" s="9"/>
      <c r="O1155" s="8">
        <f t="array" ref="O1155">INDEX(TechRate,MATCH(H1155,TechNum,0))</f>
        <v>80</v>
      </c>
      <c r="P1155" s="10">
        <f>WorkOrders278[[#This Row],[Techs]]*(WorkOrders278[[#This Row],[PartsCost]]*WorkOrders278[[#This Row],[LbrHrs]])</f>
        <v>36.754449999999999</v>
      </c>
      <c r="Q1155" s="10">
        <f t="shared" si="101"/>
        <v>36.754449999999999</v>
      </c>
      <c r="R1155" s="10">
        <f t="shared" si="102"/>
        <v>73.508899999999997</v>
      </c>
      <c r="S1155" s="10">
        <f t="shared" si="103"/>
        <v>110.26335</v>
      </c>
      <c r="T1155" s="10">
        <f t="shared" si="104"/>
        <v>110.26335</v>
      </c>
      <c r="U1155" s="8" t="str">
        <f t="shared" si="105"/>
        <v>Wed</v>
      </c>
      <c r="V1155" s="8" t="str">
        <f t="shared" si="106"/>
        <v>Mon</v>
      </c>
    </row>
    <row r="1156" spans="1:22" hidden="1" x14ac:dyDescent="0.25">
      <c r="A1156" t="s">
        <v>199</v>
      </c>
      <c r="B1156" t="s">
        <v>34</v>
      </c>
      <c r="C1156" t="s">
        <v>44</v>
      </c>
      <c r="D1156" t="s">
        <v>13</v>
      </c>
      <c r="E1156" t="s">
        <v>3</v>
      </c>
      <c r="F1156" s="5">
        <v>44146</v>
      </c>
      <c r="G1156" s="5">
        <v>44166</v>
      </c>
      <c r="H1156" s="2">
        <v>2</v>
      </c>
      <c r="I1156" s="6"/>
      <c r="J1156" s="6"/>
      <c r="K1156" s="7">
        <v>0.5</v>
      </c>
      <c r="L1156" s="7">
        <v>115.22490000000001</v>
      </c>
      <c r="M1156" t="s">
        <v>17</v>
      </c>
      <c r="N1156" s="9"/>
      <c r="O1156" s="8">
        <f t="array" ref="O1156">INDEX(TechRate,MATCH(H1156,TechNum,0))</f>
        <v>140</v>
      </c>
      <c r="P1156" s="10">
        <f>WorkOrders278[[#This Row],[Techs]]*(WorkOrders278[[#This Row],[PartsCost]]*WorkOrders278[[#This Row],[LbrHrs]])</f>
        <v>115.22490000000001</v>
      </c>
      <c r="Q1156" s="10">
        <f t="shared" si="101"/>
        <v>115.22490000000001</v>
      </c>
      <c r="R1156" s="10">
        <f t="shared" si="102"/>
        <v>115.22490000000001</v>
      </c>
      <c r="S1156" s="10">
        <f t="shared" si="103"/>
        <v>230.44980000000001</v>
      </c>
      <c r="T1156" s="10">
        <f t="shared" si="104"/>
        <v>230.44980000000001</v>
      </c>
      <c r="U1156" s="8" t="str">
        <f t="shared" si="105"/>
        <v>Wed</v>
      </c>
      <c r="V1156" s="8" t="str">
        <f t="shared" si="106"/>
        <v>Tue</v>
      </c>
    </row>
    <row r="1157" spans="1:22" hidden="1" x14ac:dyDescent="0.25">
      <c r="A1157" t="s">
        <v>200</v>
      </c>
      <c r="B1157" t="s">
        <v>35</v>
      </c>
      <c r="C1157" t="s">
        <v>44</v>
      </c>
      <c r="D1157" t="s">
        <v>13</v>
      </c>
      <c r="F1157" s="5">
        <v>44147</v>
      </c>
      <c r="G1157" s="5">
        <v>44154</v>
      </c>
      <c r="H1157" s="2">
        <v>2</v>
      </c>
      <c r="I1157" s="6"/>
      <c r="J1157" s="6"/>
      <c r="K1157" s="7">
        <v>0.75</v>
      </c>
      <c r="L1157" s="7">
        <v>340.45229999999998</v>
      </c>
      <c r="M1157" t="s">
        <v>18</v>
      </c>
      <c r="N1157" s="9"/>
      <c r="O1157" s="8">
        <f t="array" ref="O1157">INDEX(TechRate,MATCH(H1157,TechNum,0))</f>
        <v>140</v>
      </c>
      <c r="P1157" s="10">
        <f>WorkOrders278[[#This Row],[Techs]]*(WorkOrders278[[#This Row],[PartsCost]]*WorkOrders278[[#This Row],[LbrHrs]])</f>
        <v>510.67845</v>
      </c>
      <c r="Q1157" s="10">
        <f t="shared" si="101"/>
        <v>510.67845</v>
      </c>
      <c r="R1157" s="10">
        <f t="shared" si="102"/>
        <v>340.45229999999998</v>
      </c>
      <c r="S1157" s="10">
        <f t="shared" si="103"/>
        <v>851.13075000000003</v>
      </c>
      <c r="T1157" s="10">
        <f t="shared" si="104"/>
        <v>851.13075000000003</v>
      </c>
      <c r="U1157" s="8" t="str">
        <f t="shared" si="105"/>
        <v>Thu</v>
      </c>
      <c r="V1157" s="8" t="str">
        <f t="shared" si="106"/>
        <v>Thu</v>
      </c>
    </row>
    <row r="1158" spans="1:22" hidden="1" x14ac:dyDescent="0.25">
      <c r="A1158" t="s">
        <v>201</v>
      </c>
      <c r="B1158" t="s">
        <v>38</v>
      </c>
      <c r="C1158" t="s">
        <v>8</v>
      </c>
      <c r="D1158" t="s">
        <v>12</v>
      </c>
      <c r="F1158" s="5">
        <v>44147</v>
      </c>
      <c r="G1158" s="5">
        <v>44161</v>
      </c>
      <c r="H1158" s="2">
        <v>1</v>
      </c>
      <c r="I1158" s="6"/>
      <c r="J1158" s="6"/>
      <c r="K1158" s="7">
        <v>0.5</v>
      </c>
      <c r="L1158" s="7">
        <v>12</v>
      </c>
      <c r="M1158" t="s">
        <v>17</v>
      </c>
      <c r="N1158" s="9"/>
      <c r="O1158" s="8">
        <f t="array" ref="O1158">INDEX(TechRate,MATCH(H1158,TechNum,0))</f>
        <v>80</v>
      </c>
      <c r="P1158" s="10">
        <f>WorkOrders278[[#This Row],[Techs]]*(WorkOrders278[[#This Row],[PartsCost]]*WorkOrders278[[#This Row],[LbrHrs]])</f>
        <v>6</v>
      </c>
      <c r="Q1158" s="10">
        <f t="shared" si="101"/>
        <v>6</v>
      </c>
      <c r="R1158" s="10">
        <f t="shared" si="102"/>
        <v>12</v>
      </c>
      <c r="S1158" s="10">
        <f t="shared" si="103"/>
        <v>18</v>
      </c>
      <c r="T1158" s="10">
        <f t="shared" si="104"/>
        <v>18</v>
      </c>
      <c r="U1158" s="8" t="str">
        <f t="shared" si="105"/>
        <v>Thu</v>
      </c>
      <c r="V1158" s="8" t="str">
        <f t="shared" si="106"/>
        <v>Thu</v>
      </c>
    </row>
    <row r="1159" spans="1:22" hidden="1" x14ac:dyDescent="0.25">
      <c r="A1159" t="s">
        <v>202</v>
      </c>
      <c r="B1159" t="s">
        <v>39</v>
      </c>
      <c r="C1159" t="s">
        <v>8</v>
      </c>
      <c r="D1159" t="s">
        <v>13</v>
      </c>
      <c r="F1159" s="5">
        <v>44148</v>
      </c>
      <c r="G1159" s="5">
        <v>44159</v>
      </c>
      <c r="H1159" s="2">
        <v>1</v>
      </c>
      <c r="I1159" s="6"/>
      <c r="J1159" s="6"/>
      <c r="K1159" s="7">
        <v>0.5</v>
      </c>
      <c r="L1159" s="7">
        <v>36.754399999999997</v>
      </c>
      <c r="M1159" t="s">
        <v>17</v>
      </c>
      <c r="N1159" s="9"/>
      <c r="O1159" s="8">
        <f t="array" ref="O1159">INDEX(TechRate,MATCH(H1159,TechNum,0))</f>
        <v>80</v>
      </c>
      <c r="P1159" s="10">
        <f>WorkOrders278[[#This Row],[Techs]]*(WorkOrders278[[#This Row],[PartsCost]]*WorkOrders278[[#This Row],[LbrHrs]])</f>
        <v>18.377199999999998</v>
      </c>
      <c r="Q1159" s="10">
        <f t="shared" si="101"/>
        <v>18.377199999999998</v>
      </c>
      <c r="R1159" s="10">
        <f t="shared" si="102"/>
        <v>36.754399999999997</v>
      </c>
      <c r="S1159" s="10">
        <f t="shared" si="103"/>
        <v>55.131599999999992</v>
      </c>
      <c r="T1159" s="10">
        <f t="shared" si="104"/>
        <v>55.131599999999992</v>
      </c>
      <c r="U1159" s="8" t="str">
        <f t="shared" si="105"/>
        <v>Fri</v>
      </c>
      <c r="V1159" s="8" t="str">
        <f t="shared" si="106"/>
        <v>Tue</v>
      </c>
    </row>
    <row r="1160" spans="1:22" hidden="1" x14ac:dyDescent="0.25">
      <c r="A1160" t="s">
        <v>203</v>
      </c>
      <c r="B1160" t="s">
        <v>37</v>
      </c>
      <c r="C1160" t="s">
        <v>43</v>
      </c>
      <c r="D1160" t="s">
        <v>1</v>
      </c>
      <c r="F1160" s="5">
        <v>44149</v>
      </c>
      <c r="G1160" s="5">
        <v>44170</v>
      </c>
      <c r="H1160" s="2">
        <v>1</v>
      </c>
      <c r="I1160" s="6"/>
      <c r="J1160" s="6"/>
      <c r="K1160" s="7">
        <v>1.75</v>
      </c>
      <c r="L1160" s="7">
        <v>183.95</v>
      </c>
      <c r="M1160" t="s">
        <v>19</v>
      </c>
      <c r="N1160" s="9"/>
      <c r="O1160" s="8">
        <f t="array" ref="O1160">INDEX(TechRate,MATCH(H1160,TechNum,0))</f>
        <v>80</v>
      </c>
      <c r="P1160" s="10">
        <f>WorkOrders278[[#This Row],[Techs]]*(WorkOrders278[[#This Row],[PartsCost]]*WorkOrders278[[#This Row],[LbrHrs]])</f>
        <v>321.91249999999997</v>
      </c>
      <c r="Q1160" s="10">
        <f t="shared" si="101"/>
        <v>321.91249999999997</v>
      </c>
      <c r="R1160" s="10">
        <f t="shared" si="102"/>
        <v>183.95</v>
      </c>
      <c r="S1160" s="10">
        <f t="shared" si="103"/>
        <v>505.86249999999995</v>
      </c>
      <c r="T1160" s="10">
        <f t="shared" si="104"/>
        <v>505.86249999999995</v>
      </c>
      <c r="U1160" s="8" t="str">
        <f t="shared" si="105"/>
        <v>Sat</v>
      </c>
      <c r="V1160" s="8" t="str">
        <f t="shared" si="106"/>
        <v>Sat</v>
      </c>
    </row>
    <row r="1161" spans="1:22" hidden="1" x14ac:dyDescent="0.25">
      <c r="A1161" t="s">
        <v>204</v>
      </c>
      <c r="B1161" t="s">
        <v>38</v>
      </c>
      <c r="C1161" t="s">
        <v>8</v>
      </c>
      <c r="D1161" t="s">
        <v>12</v>
      </c>
      <c r="E1161" t="s">
        <v>3</v>
      </c>
      <c r="F1161" s="5">
        <v>44149</v>
      </c>
      <c r="G1161" s="5">
        <v>44167</v>
      </c>
      <c r="H1161" s="2">
        <v>1</v>
      </c>
      <c r="I1161" s="6"/>
      <c r="J1161" s="6"/>
      <c r="K1161" s="7">
        <v>0.25</v>
      </c>
      <c r="L1161" s="7">
        <v>26.582599999999999</v>
      </c>
      <c r="M1161" t="s">
        <v>19</v>
      </c>
      <c r="N1161" s="9"/>
      <c r="O1161" s="8">
        <f t="array" ref="O1161">INDEX(TechRate,MATCH(H1161,TechNum,0))</f>
        <v>80</v>
      </c>
      <c r="P1161" s="10">
        <f>WorkOrders278[[#This Row],[Techs]]*(WorkOrders278[[#This Row],[PartsCost]]*WorkOrders278[[#This Row],[LbrHrs]])</f>
        <v>6.6456499999999998</v>
      </c>
      <c r="Q1161" s="10">
        <f t="shared" si="101"/>
        <v>6.6456499999999998</v>
      </c>
      <c r="R1161" s="10">
        <f t="shared" si="102"/>
        <v>26.582599999999999</v>
      </c>
      <c r="S1161" s="10">
        <f t="shared" si="103"/>
        <v>33.228250000000003</v>
      </c>
      <c r="T1161" s="10">
        <f t="shared" si="104"/>
        <v>33.228250000000003</v>
      </c>
      <c r="U1161" s="8" t="str">
        <f t="shared" si="105"/>
        <v>Sat</v>
      </c>
      <c r="V1161" s="8" t="str">
        <f t="shared" si="106"/>
        <v>Wed</v>
      </c>
    </row>
    <row r="1162" spans="1:22" hidden="1" x14ac:dyDescent="0.25">
      <c r="A1162" t="s">
        <v>205</v>
      </c>
      <c r="B1162" t="s">
        <v>38</v>
      </c>
      <c r="C1162" t="s">
        <v>8</v>
      </c>
      <c r="D1162" t="s">
        <v>12</v>
      </c>
      <c r="F1162" s="5">
        <v>44151</v>
      </c>
      <c r="G1162" s="5">
        <v>44167</v>
      </c>
      <c r="H1162" s="2">
        <v>1</v>
      </c>
      <c r="I1162" s="6"/>
      <c r="J1162" s="6"/>
      <c r="K1162" s="7">
        <v>0.5</v>
      </c>
      <c r="L1162" s="7">
        <v>13.42</v>
      </c>
      <c r="M1162" t="s">
        <v>18</v>
      </c>
      <c r="N1162" s="9"/>
      <c r="O1162" s="8">
        <f t="array" ref="O1162">INDEX(TechRate,MATCH(H1162,TechNum,0))</f>
        <v>80</v>
      </c>
      <c r="P1162" s="10">
        <f>WorkOrders278[[#This Row],[Techs]]*(WorkOrders278[[#This Row],[PartsCost]]*WorkOrders278[[#This Row],[LbrHrs]])</f>
        <v>6.71</v>
      </c>
      <c r="Q1162" s="10">
        <f t="shared" si="101"/>
        <v>6.71</v>
      </c>
      <c r="R1162" s="10">
        <f t="shared" si="102"/>
        <v>13.42</v>
      </c>
      <c r="S1162" s="10">
        <f t="shared" si="103"/>
        <v>20.13</v>
      </c>
      <c r="T1162" s="10">
        <f t="shared" si="104"/>
        <v>20.13</v>
      </c>
      <c r="U1162" s="8" t="str">
        <f t="shared" si="105"/>
        <v>Mon</v>
      </c>
      <c r="V1162" s="8" t="str">
        <f t="shared" si="106"/>
        <v>Wed</v>
      </c>
    </row>
    <row r="1163" spans="1:22" hidden="1" x14ac:dyDescent="0.25">
      <c r="A1163" t="s">
        <v>206</v>
      </c>
      <c r="B1163" t="s">
        <v>38</v>
      </c>
      <c r="C1163" t="s">
        <v>8</v>
      </c>
      <c r="D1163" t="s">
        <v>1</v>
      </c>
      <c r="F1163" s="5">
        <v>44151</v>
      </c>
      <c r="G1163" s="5">
        <v>44168</v>
      </c>
      <c r="H1163" s="2">
        <v>1</v>
      </c>
      <c r="I1163" s="6"/>
      <c r="J1163" s="6"/>
      <c r="K1163" s="7">
        <v>1</v>
      </c>
      <c r="L1163" s="7">
        <v>324</v>
      </c>
      <c r="M1163" t="s">
        <v>19</v>
      </c>
      <c r="N1163" s="9"/>
      <c r="O1163" s="8">
        <f t="array" ref="O1163">INDEX(TechRate,MATCH(H1163,TechNum,0))</f>
        <v>80</v>
      </c>
      <c r="P1163" s="10">
        <f>WorkOrders278[[#This Row],[Techs]]*(WorkOrders278[[#This Row],[PartsCost]]*WorkOrders278[[#This Row],[LbrHrs]])</f>
        <v>324</v>
      </c>
      <c r="Q1163" s="10">
        <f t="shared" si="101"/>
        <v>324</v>
      </c>
      <c r="R1163" s="10">
        <f t="shared" si="102"/>
        <v>324</v>
      </c>
      <c r="S1163" s="10">
        <f t="shared" si="103"/>
        <v>648</v>
      </c>
      <c r="T1163" s="10">
        <f t="shared" si="104"/>
        <v>648</v>
      </c>
      <c r="U1163" s="8" t="str">
        <f t="shared" si="105"/>
        <v>Mon</v>
      </c>
      <c r="V1163" s="8" t="str">
        <f t="shared" si="106"/>
        <v>Thu</v>
      </c>
    </row>
    <row r="1164" spans="1:22" hidden="1" x14ac:dyDescent="0.25">
      <c r="A1164" t="s">
        <v>207</v>
      </c>
      <c r="B1164" t="s">
        <v>39</v>
      </c>
      <c r="C1164" t="s">
        <v>8</v>
      </c>
      <c r="D1164" t="s">
        <v>13</v>
      </c>
      <c r="F1164" s="5">
        <v>44152</v>
      </c>
      <c r="G1164" s="5">
        <v>44174</v>
      </c>
      <c r="H1164" s="2">
        <v>2</v>
      </c>
      <c r="I1164" s="6"/>
      <c r="J1164" s="6"/>
      <c r="K1164" s="7">
        <v>0.5</v>
      </c>
      <c r="L1164" s="7">
        <v>504.21269999999998</v>
      </c>
      <c r="M1164" t="s">
        <v>18</v>
      </c>
      <c r="N1164" s="9"/>
      <c r="O1164" s="8">
        <f t="array" ref="O1164">INDEX(TechRate,MATCH(H1164,TechNum,0))</f>
        <v>140</v>
      </c>
      <c r="P1164" s="10">
        <f>WorkOrders278[[#This Row],[Techs]]*(WorkOrders278[[#This Row],[PartsCost]]*WorkOrders278[[#This Row],[LbrHrs]])</f>
        <v>504.21269999999998</v>
      </c>
      <c r="Q1164" s="10">
        <f t="shared" si="101"/>
        <v>504.21269999999998</v>
      </c>
      <c r="R1164" s="10">
        <f t="shared" si="102"/>
        <v>504.21269999999998</v>
      </c>
      <c r="S1164" s="10">
        <f t="shared" si="103"/>
        <v>1008.4254</v>
      </c>
      <c r="T1164" s="10">
        <f t="shared" si="104"/>
        <v>1008.4254</v>
      </c>
      <c r="U1164" s="8" t="str">
        <f t="shared" si="105"/>
        <v>Tue</v>
      </c>
      <c r="V1164" s="8" t="str">
        <f t="shared" si="106"/>
        <v>Wed</v>
      </c>
    </row>
    <row r="1165" spans="1:22" hidden="1" x14ac:dyDescent="0.25">
      <c r="A1165" t="s">
        <v>208</v>
      </c>
      <c r="B1165" t="s">
        <v>34</v>
      </c>
      <c r="C1165" t="s">
        <v>8</v>
      </c>
      <c r="D1165" t="s">
        <v>12</v>
      </c>
      <c r="E1165" t="s">
        <v>3</v>
      </c>
      <c r="F1165" s="5">
        <v>44152</v>
      </c>
      <c r="G1165" s="5">
        <v>44180</v>
      </c>
      <c r="H1165" s="2">
        <v>2</v>
      </c>
      <c r="I1165" s="6"/>
      <c r="J1165" s="6"/>
      <c r="K1165" s="7">
        <v>0.5</v>
      </c>
      <c r="L1165" s="7">
        <v>338.0702</v>
      </c>
      <c r="M1165" t="s">
        <v>17</v>
      </c>
      <c r="N1165" s="9"/>
      <c r="O1165" s="8">
        <f t="array" ref="O1165">INDEX(TechRate,MATCH(H1165,TechNum,0))</f>
        <v>140</v>
      </c>
      <c r="P1165" s="10">
        <f>WorkOrders278[[#This Row],[Techs]]*(WorkOrders278[[#This Row],[PartsCost]]*WorkOrders278[[#This Row],[LbrHrs]])</f>
        <v>338.0702</v>
      </c>
      <c r="Q1165" s="10">
        <f t="shared" si="101"/>
        <v>338.0702</v>
      </c>
      <c r="R1165" s="10">
        <f t="shared" si="102"/>
        <v>338.0702</v>
      </c>
      <c r="S1165" s="10">
        <f t="shared" si="103"/>
        <v>676.1404</v>
      </c>
      <c r="T1165" s="10">
        <f t="shared" si="104"/>
        <v>676.1404</v>
      </c>
      <c r="U1165" s="8" t="str">
        <f t="shared" si="105"/>
        <v>Tue</v>
      </c>
      <c r="V1165" s="8" t="str">
        <f t="shared" si="106"/>
        <v>Tue</v>
      </c>
    </row>
    <row r="1166" spans="1:22" hidden="1" x14ac:dyDescent="0.25">
      <c r="A1166" t="s">
        <v>209</v>
      </c>
      <c r="B1166" t="s">
        <v>39</v>
      </c>
      <c r="C1166" t="s">
        <v>9</v>
      </c>
      <c r="D1166" t="s">
        <v>12</v>
      </c>
      <c r="F1166" s="5">
        <v>44153</v>
      </c>
      <c r="G1166" s="5">
        <v>44165</v>
      </c>
      <c r="H1166" s="2">
        <v>2</v>
      </c>
      <c r="I1166" s="6"/>
      <c r="J1166" s="6"/>
      <c r="K1166" s="7">
        <v>1.5</v>
      </c>
      <c r="L1166" s="7">
        <v>0.98399999999999999</v>
      </c>
      <c r="M1166" t="s">
        <v>18</v>
      </c>
      <c r="N1166" s="9"/>
      <c r="O1166" s="8">
        <f t="array" ref="O1166">INDEX(TechRate,MATCH(H1166,TechNum,0))</f>
        <v>140</v>
      </c>
      <c r="P1166" s="10">
        <f>WorkOrders278[[#This Row],[Techs]]*(WorkOrders278[[#This Row],[PartsCost]]*WorkOrders278[[#This Row],[LbrHrs]])</f>
        <v>2.952</v>
      </c>
      <c r="Q1166" s="10">
        <f t="shared" si="101"/>
        <v>2.952</v>
      </c>
      <c r="R1166" s="10">
        <f t="shared" si="102"/>
        <v>0.98399999999999999</v>
      </c>
      <c r="S1166" s="10">
        <f t="shared" si="103"/>
        <v>3.9359999999999999</v>
      </c>
      <c r="T1166" s="10">
        <f t="shared" si="104"/>
        <v>3.9359999999999999</v>
      </c>
      <c r="U1166" s="8" t="str">
        <f t="shared" si="105"/>
        <v>Wed</v>
      </c>
      <c r="V1166" s="8" t="str">
        <f t="shared" si="106"/>
        <v>Mon</v>
      </c>
    </row>
    <row r="1167" spans="1:22" hidden="1" x14ac:dyDescent="0.25">
      <c r="A1167" t="s">
        <v>210</v>
      </c>
      <c r="B1167" t="s">
        <v>39</v>
      </c>
      <c r="C1167" t="s">
        <v>8</v>
      </c>
      <c r="D1167" t="s">
        <v>12</v>
      </c>
      <c r="F1167" s="5">
        <v>44153</v>
      </c>
      <c r="G1167" s="5">
        <v>44165</v>
      </c>
      <c r="H1167" s="2">
        <v>1</v>
      </c>
      <c r="I1167" s="6"/>
      <c r="J1167" s="6"/>
      <c r="K1167" s="7">
        <v>0.5</v>
      </c>
      <c r="L1167" s="7">
        <v>14.88</v>
      </c>
      <c r="M1167" t="s">
        <v>17</v>
      </c>
      <c r="N1167" s="9"/>
      <c r="O1167" s="8">
        <f t="array" ref="O1167">INDEX(TechRate,MATCH(H1167,TechNum,0))</f>
        <v>80</v>
      </c>
      <c r="P1167" s="10">
        <f>WorkOrders278[[#This Row],[Techs]]*(WorkOrders278[[#This Row],[PartsCost]]*WorkOrders278[[#This Row],[LbrHrs]])</f>
        <v>7.44</v>
      </c>
      <c r="Q1167" s="10">
        <f t="shared" si="101"/>
        <v>7.44</v>
      </c>
      <c r="R1167" s="10">
        <f t="shared" si="102"/>
        <v>14.88</v>
      </c>
      <c r="S1167" s="10">
        <f t="shared" si="103"/>
        <v>22.32</v>
      </c>
      <c r="T1167" s="10">
        <f t="shared" si="104"/>
        <v>22.32</v>
      </c>
      <c r="U1167" s="8" t="str">
        <f t="shared" si="105"/>
        <v>Wed</v>
      </c>
      <c r="V1167" s="8" t="str">
        <f t="shared" si="106"/>
        <v>Mon</v>
      </c>
    </row>
    <row r="1168" spans="1:22" hidden="1" x14ac:dyDescent="0.25">
      <c r="A1168" t="s">
        <v>211</v>
      </c>
      <c r="B1168" t="s">
        <v>37</v>
      </c>
      <c r="C1168" t="s">
        <v>43</v>
      </c>
      <c r="D1168" t="s">
        <v>12</v>
      </c>
      <c r="F1168" s="5">
        <v>44154</v>
      </c>
      <c r="G1168" s="5">
        <v>44165</v>
      </c>
      <c r="H1168" s="2">
        <v>1</v>
      </c>
      <c r="I1168" s="6"/>
      <c r="J1168" s="6"/>
      <c r="K1168" s="7">
        <v>0.5</v>
      </c>
      <c r="L1168" s="7">
        <v>81.900000000000006</v>
      </c>
      <c r="M1168" t="s">
        <v>17</v>
      </c>
      <c r="N1168" s="9"/>
      <c r="O1168" s="8">
        <f t="array" ref="O1168">INDEX(TechRate,MATCH(H1168,TechNum,0))</f>
        <v>80</v>
      </c>
      <c r="P1168" s="10">
        <f>WorkOrders278[[#This Row],[Techs]]*(WorkOrders278[[#This Row],[PartsCost]]*WorkOrders278[[#This Row],[LbrHrs]])</f>
        <v>40.950000000000003</v>
      </c>
      <c r="Q1168" s="10">
        <f t="shared" si="101"/>
        <v>40.950000000000003</v>
      </c>
      <c r="R1168" s="10">
        <f t="shared" si="102"/>
        <v>81.900000000000006</v>
      </c>
      <c r="S1168" s="10">
        <f t="shared" si="103"/>
        <v>122.85000000000001</v>
      </c>
      <c r="T1168" s="10">
        <f t="shared" si="104"/>
        <v>122.85000000000001</v>
      </c>
      <c r="U1168" s="8" t="str">
        <f t="shared" si="105"/>
        <v>Thu</v>
      </c>
      <c r="V1168" s="8" t="str">
        <f t="shared" si="106"/>
        <v>Mon</v>
      </c>
    </row>
    <row r="1169" spans="1:22" hidden="1" x14ac:dyDescent="0.25">
      <c r="A1169" t="s">
        <v>212</v>
      </c>
      <c r="B1169" t="s">
        <v>35</v>
      </c>
      <c r="C1169" t="s">
        <v>9</v>
      </c>
      <c r="D1169" t="s">
        <v>12</v>
      </c>
      <c r="F1169" s="5">
        <v>44154</v>
      </c>
      <c r="G1169" s="5">
        <v>44168</v>
      </c>
      <c r="H1169" s="2">
        <v>2</v>
      </c>
      <c r="I1169" s="6"/>
      <c r="J1169" s="6"/>
      <c r="K1169" s="7">
        <v>0.25</v>
      </c>
      <c r="L1169" s="7">
        <v>21.33</v>
      </c>
      <c r="M1169" t="s">
        <v>17</v>
      </c>
      <c r="N1169" s="9"/>
      <c r="O1169" s="8">
        <f t="array" ref="O1169">INDEX(TechRate,MATCH(H1169,TechNum,0))</f>
        <v>140</v>
      </c>
      <c r="P1169" s="10">
        <f>WorkOrders278[[#This Row],[Techs]]*(WorkOrders278[[#This Row],[PartsCost]]*WorkOrders278[[#This Row],[LbrHrs]])</f>
        <v>10.664999999999999</v>
      </c>
      <c r="Q1169" s="10">
        <f t="shared" si="101"/>
        <v>10.664999999999999</v>
      </c>
      <c r="R1169" s="10">
        <f t="shared" si="102"/>
        <v>21.33</v>
      </c>
      <c r="S1169" s="10">
        <f t="shared" si="103"/>
        <v>31.994999999999997</v>
      </c>
      <c r="T1169" s="10">
        <f t="shared" si="104"/>
        <v>31.994999999999997</v>
      </c>
      <c r="U1169" s="8" t="str">
        <f t="shared" si="105"/>
        <v>Thu</v>
      </c>
      <c r="V1169" s="8" t="str">
        <f t="shared" si="106"/>
        <v>Thu</v>
      </c>
    </row>
    <row r="1170" spans="1:22" hidden="1" x14ac:dyDescent="0.25">
      <c r="A1170" t="s">
        <v>213</v>
      </c>
      <c r="B1170" t="s">
        <v>34</v>
      </c>
      <c r="C1170" t="s">
        <v>8</v>
      </c>
      <c r="D1170" t="s">
        <v>12</v>
      </c>
      <c r="F1170" s="5">
        <v>44154</v>
      </c>
      <c r="G1170" s="5">
        <v>44168</v>
      </c>
      <c r="H1170" s="2">
        <v>1</v>
      </c>
      <c r="I1170" s="6"/>
      <c r="J1170" s="6"/>
      <c r="K1170" s="7">
        <v>0.25</v>
      </c>
      <c r="L1170" s="7">
        <v>120</v>
      </c>
      <c r="M1170" t="s">
        <v>19</v>
      </c>
      <c r="N1170" s="9"/>
      <c r="O1170" s="8">
        <f t="array" ref="O1170">INDEX(TechRate,MATCH(H1170,TechNum,0))</f>
        <v>80</v>
      </c>
      <c r="P1170" s="10">
        <f>WorkOrders278[[#This Row],[Techs]]*(WorkOrders278[[#This Row],[PartsCost]]*WorkOrders278[[#This Row],[LbrHrs]])</f>
        <v>30</v>
      </c>
      <c r="Q1170" s="10">
        <f t="shared" si="101"/>
        <v>30</v>
      </c>
      <c r="R1170" s="10">
        <f t="shared" si="102"/>
        <v>120</v>
      </c>
      <c r="S1170" s="10">
        <f t="shared" si="103"/>
        <v>150</v>
      </c>
      <c r="T1170" s="10">
        <f t="shared" si="104"/>
        <v>150</v>
      </c>
      <c r="U1170" s="8" t="str">
        <f t="shared" si="105"/>
        <v>Thu</v>
      </c>
      <c r="V1170" s="8" t="str">
        <f t="shared" si="106"/>
        <v>Thu</v>
      </c>
    </row>
    <row r="1171" spans="1:22" hidden="1" x14ac:dyDescent="0.25">
      <c r="A1171" t="s">
        <v>214</v>
      </c>
      <c r="B1171" t="s">
        <v>35</v>
      </c>
      <c r="C1171" t="s">
        <v>6</v>
      </c>
      <c r="D1171" t="s">
        <v>13</v>
      </c>
      <c r="F1171" s="5">
        <v>44154</v>
      </c>
      <c r="G1171" s="5">
        <v>44182</v>
      </c>
      <c r="H1171" s="2">
        <v>2</v>
      </c>
      <c r="I1171" s="6"/>
      <c r="J1171" s="6"/>
      <c r="K1171" s="7">
        <v>0.5</v>
      </c>
      <c r="L1171" s="7">
        <v>1579.4</v>
      </c>
      <c r="M1171" t="s">
        <v>17</v>
      </c>
      <c r="N1171" s="9"/>
      <c r="O1171" s="8">
        <f t="array" ref="O1171">INDEX(TechRate,MATCH(H1171,TechNum,0))</f>
        <v>140</v>
      </c>
      <c r="P1171" s="10">
        <f>WorkOrders278[[#This Row],[Techs]]*(WorkOrders278[[#This Row],[PartsCost]]*WorkOrders278[[#This Row],[LbrHrs]])</f>
        <v>1579.4</v>
      </c>
      <c r="Q1171" s="10">
        <f t="shared" si="101"/>
        <v>1579.4</v>
      </c>
      <c r="R1171" s="10">
        <f t="shared" si="102"/>
        <v>1579.4</v>
      </c>
      <c r="S1171" s="10">
        <f t="shared" si="103"/>
        <v>3158.8</v>
      </c>
      <c r="T1171" s="10">
        <f t="shared" si="104"/>
        <v>3158.8</v>
      </c>
      <c r="U1171" s="8" t="str">
        <f t="shared" si="105"/>
        <v>Thu</v>
      </c>
      <c r="V1171" s="8" t="str">
        <f t="shared" si="106"/>
        <v>Thu</v>
      </c>
    </row>
    <row r="1172" spans="1:22" hidden="1" x14ac:dyDescent="0.25">
      <c r="A1172" t="s">
        <v>215</v>
      </c>
      <c r="B1172" t="s">
        <v>37</v>
      </c>
      <c r="C1172" t="s">
        <v>8</v>
      </c>
      <c r="D1172" t="s">
        <v>13</v>
      </c>
      <c r="F1172" s="5">
        <v>44156</v>
      </c>
      <c r="G1172" s="5">
        <v>44165</v>
      </c>
      <c r="H1172" s="2">
        <v>2</v>
      </c>
      <c r="I1172" s="6"/>
      <c r="J1172" s="6"/>
      <c r="K1172" s="7">
        <v>0.5</v>
      </c>
      <c r="L1172" s="7">
        <v>174.18029999999999</v>
      </c>
      <c r="M1172" t="s">
        <v>18</v>
      </c>
      <c r="N1172" s="9"/>
      <c r="O1172" s="8">
        <f t="array" ref="O1172">INDEX(TechRate,MATCH(H1172,TechNum,0))</f>
        <v>140</v>
      </c>
      <c r="P1172" s="10">
        <f>WorkOrders278[[#This Row],[Techs]]*(WorkOrders278[[#This Row],[PartsCost]]*WorkOrders278[[#This Row],[LbrHrs]])</f>
        <v>174.18029999999999</v>
      </c>
      <c r="Q1172" s="10">
        <f t="shared" si="101"/>
        <v>174.18029999999999</v>
      </c>
      <c r="R1172" s="10">
        <f t="shared" si="102"/>
        <v>174.18029999999999</v>
      </c>
      <c r="S1172" s="10">
        <f t="shared" si="103"/>
        <v>348.36059999999998</v>
      </c>
      <c r="T1172" s="10">
        <f t="shared" si="104"/>
        <v>348.36059999999998</v>
      </c>
      <c r="U1172" s="8" t="str">
        <f t="shared" si="105"/>
        <v>Sat</v>
      </c>
      <c r="V1172" s="8" t="str">
        <f t="shared" si="106"/>
        <v>Mon</v>
      </c>
    </row>
    <row r="1173" spans="1:22" hidden="1" x14ac:dyDescent="0.25">
      <c r="A1173" t="s">
        <v>216</v>
      </c>
      <c r="B1173" t="s">
        <v>34</v>
      </c>
      <c r="C1173" t="s">
        <v>9</v>
      </c>
      <c r="D1173" t="s">
        <v>13</v>
      </c>
      <c r="F1173" s="5">
        <v>44158</v>
      </c>
      <c r="G1173" s="5">
        <v>44172</v>
      </c>
      <c r="H1173" s="2">
        <v>1</v>
      </c>
      <c r="I1173" s="6"/>
      <c r="J1173" s="6"/>
      <c r="K1173" s="7">
        <v>0.75</v>
      </c>
      <c r="L1173" s="7">
        <v>20</v>
      </c>
      <c r="M1173" t="s">
        <v>17</v>
      </c>
      <c r="N1173" s="9"/>
      <c r="O1173" s="8">
        <f t="array" ref="O1173">INDEX(TechRate,MATCH(H1173,TechNum,0))</f>
        <v>80</v>
      </c>
      <c r="P1173" s="10">
        <f>WorkOrders278[[#This Row],[Techs]]*(WorkOrders278[[#This Row],[PartsCost]]*WorkOrders278[[#This Row],[LbrHrs]])</f>
        <v>15</v>
      </c>
      <c r="Q1173" s="10">
        <f t="shared" si="101"/>
        <v>15</v>
      </c>
      <c r="R1173" s="10">
        <f t="shared" si="102"/>
        <v>20</v>
      </c>
      <c r="S1173" s="10">
        <f t="shared" si="103"/>
        <v>35</v>
      </c>
      <c r="T1173" s="10">
        <f t="shared" si="104"/>
        <v>35</v>
      </c>
      <c r="U1173" s="8" t="str">
        <f t="shared" si="105"/>
        <v>Mon</v>
      </c>
      <c r="V1173" s="8" t="str">
        <f t="shared" si="106"/>
        <v>Mon</v>
      </c>
    </row>
    <row r="1174" spans="1:22" hidden="1" x14ac:dyDescent="0.25">
      <c r="A1174" t="s">
        <v>217</v>
      </c>
      <c r="B1174" t="s">
        <v>35</v>
      </c>
      <c r="C1174" t="s">
        <v>8</v>
      </c>
      <c r="D1174" t="s">
        <v>1</v>
      </c>
      <c r="F1174" s="5">
        <v>44158</v>
      </c>
      <c r="G1174" s="5">
        <v>44201</v>
      </c>
      <c r="H1174" s="2">
        <v>1</v>
      </c>
      <c r="I1174" s="6"/>
      <c r="J1174" s="6"/>
      <c r="K1174" s="7">
        <v>2.5</v>
      </c>
      <c r="L1174" s="7">
        <v>689.15409999999997</v>
      </c>
      <c r="M1174" t="s">
        <v>19</v>
      </c>
      <c r="N1174" s="9"/>
      <c r="O1174" s="8">
        <f t="array" ref="O1174">INDEX(TechRate,MATCH(H1174,TechNum,0))</f>
        <v>80</v>
      </c>
      <c r="P1174" s="10">
        <f>WorkOrders278[[#This Row],[Techs]]*(WorkOrders278[[#This Row],[PartsCost]]*WorkOrders278[[#This Row],[LbrHrs]])</f>
        <v>1722.8852499999998</v>
      </c>
      <c r="Q1174" s="10">
        <f t="shared" si="101"/>
        <v>1722.8852499999998</v>
      </c>
      <c r="R1174" s="10">
        <f t="shared" si="102"/>
        <v>689.15409999999997</v>
      </c>
      <c r="S1174" s="10">
        <f t="shared" si="103"/>
        <v>2412.03935</v>
      </c>
      <c r="T1174" s="10">
        <f t="shared" si="104"/>
        <v>2412.03935</v>
      </c>
      <c r="U1174" s="8" t="str">
        <f t="shared" si="105"/>
        <v>Mon</v>
      </c>
      <c r="V1174" s="8" t="str">
        <f t="shared" si="106"/>
        <v>Tue</v>
      </c>
    </row>
    <row r="1175" spans="1:22" hidden="1" x14ac:dyDescent="0.25">
      <c r="A1175" t="s">
        <v>218</v>
      </c>
      <c r="B1175" t="s">
        <v>39</v>
      </c>
      <c r="C1175" t="s">
        <v>6</v>
      </c>
      <c r="D1175" t="s">
        <v>12</v>
      </c>
      <c r="F1175" s="5">
        <v>44158</v>
      </c>
      <c r="G1175" s="5">
        <v>44203</v>
      </c>
      <c r="H1175" s="2">
        <v>1</v>
      </c>
      <c r="I1175" s="6"/>
      <c r="J1175" s="6"/>
      <c r="K1175" s="7">
        <v>0.25</v>
      </c>
      <c r="L1175" s="7">
        <v>156</v>
      </c>
      <c r="M1175" t="s">
        <v>17</v>
      </c>
      <c r="N1175" s="9"/>
      <c r="O1175" s="8">
        <f t="array" ref="O1175">INDEX(TechRate,MATCH(H1175,TechNum,0))</f>
        <v>80</v>
      </c>
      <c r="P1175" s="10">
        <f>WorkOrders278[[#This Row],[Techs]]*(WorkOrders278[[#This Row],[PartsCost]]*WorkOrders278[[#This Row],[LbrHrs]])</f>
        <v>39</v>
      </c>
      <c r="Q1175" s="10">
        <f t="shared" si="101"/>
        <v>39</v>
      </c>
      <c r="R1175" s="10">
        <f t="shared" si="102"/>
        <v>156</v>
      </c>
      <c r="S1175" s="10">
        <f t="shared" si="103"/>
        <v>195</v>
      </c>
      <c r="T1175" s="10">
        <f t="shared" si="104"/>
        <v>195</v>
      </c>
      <c r="U1175" s="8" t="str">
        <f t="shared" si="105"/>
        <v>Mon</v>
      </c>
      <c r="V1175" s="8" t="str">
        <f t="shared" si="106"/>
        <v>Thu</v>
      </c>
    </row>
    <row r="1176" spans="1:22" hidden="1" x14ac:dyDescent="0.25">
      <c r="A1176" t="s">
        <v>219</v>
      </c>
      <c r="B1176" t="s">
        <v>37</v>
      </c>
      <c r="C1176" t="s">
        <v>43</v>
      </c>
      <c r="D1176" t="s">
        <v>12</v>
      </c>
      <c r="F1176" s="5">
        <v>44158</v>
      </c>
      <c r="G1176" s="5">
        <v>44212</v>
      </c>
      <c r="H1176" s="2">
        <v>1</v>
      </c>
      <c r="I1176" s="6"/>
      <c r="J1176" s="6"/>
      <c r="K1176" s="7">
        <v>0.25</v>
      </c>
      <c r="L1176" s="7">
        <v>45.734099999999998</v>
      </c>
      <c r="M1176" t="s">
        <v>17</v>
      </c>
      <c r="N1176" s="9"/>
      <c r="O1176" s="8">
        <f t="array" ref="O1176">INDEX(TechRate,MATCH(H1176,TechNum,0))</f>
        <v>80</v>
      </c>
      <c r="P1176" s="10">
        <f>WorkOrders278[[#This Row],[Techs]]*(WorkOrders278[[#This Row],[PartsCost]]*WorkOrders278[[#This Row],[LbrHrs]])</f>
        <v>11.433524999999999</v>
      </c>
      <c r="Q1176" s="10">
        <f t="shared" si="101"/>
        <v>11.433524999999999</v>
      </c>
      <c r="R1176" s="10">
        <f t="shared" si="102"/>
        <v>45.734099999999998</v>
      </c>
      <c r="S1176" s="10">
        <f t="shared" si="103"/>
        <v>57.167625000000001</v>
      </c>
      <c r="T1176" s="10">
        <f t="shared" si="104"/>
        <v>57.167625000000001</v>
      </c>
      <c r="U1176" s="8" t="str">
        <f t="shared" si="105"/>
        <v>Mon</v>
      </c>
      <c r="V1176" s="8" t="str">
        <f t="shared" si="106"/>
        <v>Sat</v>
      </c>
    </row>
    <row r="1177" spans="1:22" hidden="1" x14ac:dyDescent="0.25">
      <c r="A1177" t="s">
        <v>220</v>
      </c>
      <c r="B1177" t="s">
        <v>40</v>
      </c>
      <c r="C1177" t="s">
        <v>7</v>
      </c>
      <c r="D1177" t="s">
        <v>13</v>
      </c>
      <c r="F1177" s="5">
        <v>44158</v>
      </c>
      <c r="G1177" s="5">
        <v>44236</v>
      </c>
      <c r="H1177" s="2">
        <v>2</v>
      </c>
      <c r="I1177" s="6"/>
      <c r="J1177" s="6"/>
      <c r="K1177" s="7">
        <v>0.5</v>
      </c>
      <c r="L1177" s="7">
        <v>204.28399999999999</v>
      </c>
      <c r="M1177" t="s">
        <v>17</v>
      </c>
      <c r="N1177" s="9"/>
      <c r="O1177" s="8">
        <f t="array" ref="O1177">INDEX(TechRate,MATCH(H1177,TechNum,0))</f>
        <v>140</v>
      </c>
      <c r="P1177" s="10">
        <f>WorkOrders278[[#This Row],[Techs]]*(WorkOrders278[[#This Row],[PartsCost]]*WorkOrders278[[#This Row],[LbrHrs]])</f>
        <v>204.28399999999999</v>
      </c>
      <c r="Q1177" s="10">
        <f t="shared" si="101"/>
        <v>204.28399999999999</v>
      </c>
      <c r="R1177" s="10">
        <f t="shared" si="102"/>
        <v>204.28399999999999</v>
      </c>
      <c r="S1177" s="10">
        <f t="shared" si="103"/>
        <v>408.56799999999998</v>
      </c>
      <c r="T1177" s="10">
        <f t="shared" si="104"/>
        <v>408.56799999999998</v>
      </c>
      <c r="U1177" s="8" t="str">
        <f t="shared" si="105"/>
        <v>Mon</v>
      </c>
      <c r="V1177" s="8" t="str">
        <f t="shared" si="106"/>
        <v>Tue</v>
      </c>
    </row>
    <row r="1178" spans="1:22" hidden="1" x14ac:dyDescent="0.25">
      <c r="A1178" t="s">
        <v>221</v>
      </c>
      <c r="B1178" t="s">
        <v>35</v>
      </c>
      <c r="C1178" t="s">
        <v>8</v>
      </c>
      <c r="D1178" t="s">
        <v>11</v>
      </c>
      <c r="E1178" t="s">
        <v>3</v>
      </c>
      <c r="F1178" s="5">
        <v>44159</v>
      </c>
      <c r="G1178" s="5">
        <v>44161</v>
      </c>
      <c r="H1178" s="2">
        <v>1</v>
      </c>
      <c r="I1178" s="6"/>
      <c r="J1178" s="6"/>
      <c r="K1178" s="7">
        <v>0.25</v>
      </c>
      <c r="L1178" s="7">
        <v>21.33</v>
      </c>
      <c r="M1178" t="s">
        <v>17</v>
      </c>
      <c r="N1178" s="9"/>
      <c r="O1178" s="8">
        <f t="array" ref="O1178">INDEX(TechRate,MATCH(H1178,TechNum,0))</f>
        <v>80</v>
      </c>
      <c r="P1178" s="10">
        <f>WorkOrders278[[#This Row],[Techs]]*(WorkOrders278[[#This Row],[PartsCost]]*WorkOrders278[[#This Row],[LbrHrs]])</f>
        <v>5.3324999999999996</v>
      </c>
      <c r="Q1178" s="10">
        <f t="shared" si="101"/>
        <v>5.3324999999999996</v>
      </c>
      <c r="R1178" s="10">
        <f t="shared" si="102"/>
        <v>21.33</v>
      </c>
      <c r="S1178" s="10">
        <f t="shared" si="103"/>
        <v>26.662499999999998</v>
      </c>
      <c r="T1178" s="10">
        <f t="shared" si="104"/>
        <v>26.662499999999998</v>
      </c>
      <c r="U1178" s="8" t="str">
        <f t="shared" si="105"/>
        <v>Tue</v>
      </c>
      <c r="V1178" s="8" t="str">
        <f t="shared" si="106"/>
        <v>Thu</v>
      </c>
    </row>
    <row r="1179" spans="1:22" hidden="1" x14ac:dyDescent="0.25">
      <c r="A1179" t="s">
        <v>222</v>
      </c>
      <c r="B1179" t="s">
        <v>39</v>
      </c>
      <c r="C1179" t="s">
        <v>8</v>
      </c>
      <c r="D1179" t="s">
        <v>13</v>
      </c>
      <c r="F1179" s="5">
        <v>44159</v>
      </c>
      <c r="G1179" s="5">
        <v>44168</v>
      </c>
      <c r="H1179" s="2">
        <v>1</v>
      </c>
      <c r="I1179" s="6"/>
      <c r="J1179" s="6"/>
      <c r="K1179" s="7">
        <v>0.5</v>
      </c>
      <c r="L1179" s="7">
        <v>34.08</v>
      </c>
      <c r="M1179" t="s">
        <v>19</v>
      </c>
      <c r="N1179" s="9"/>
      <c r="O1179" s="8">
        <f t="array" ref="O1179">INDEX(TechRate,MATCH(H1179,TechNum,0))</f>
        <v>80</v>
      </c>
      <c r="P1179" s="10">
        <f>WorkOrders278[[#This Row],[Techs]]*(WorkOrders278[[#This Row],[PartsCost]]*WorkOrders278[[#This Row],[LbrHrs]])</f>
        <v>17.04</v>
      </c>
      <c r="Q1179" s="10">
        <f t="shared" si="101"/>
        <v>17.04</v>
      </c>
      <c r="R1179" s="10">
        <f t="shared" si="102"/>
        <v>34.08</v>
      </c>
      <c r="S1179" s="10">
        <f t="shared" si="103"/>
        <v>51.12</v>
      </c>
      <c r="T1179" s="10">
        <f t="shared" si="104"/>
        <v>51.12</v>
      </c>
      <c r="U1179" s="8" t="str">
        <f t="shared" si="105"/>
        <v>Tue</v>
      </c>
      <c r="V1179" s="8" t="str">
        <f t="shared" si="106"/>
        <v>Thu</v>
      </c>
    </row>
    <row r="1180" spans="1:22" hidden="1" x14ac:dyDescent="0.25">
      <c r="A1180" t="s">
        <v>223</v>
      </c>
      <c r="B1180" t="s">
        <v>35</v>
      </c>
      <c r="C1180" t="s">
        <v>6</v>
      </c>
      <c r="D1180" t="s">
        <v>13</v>
      </c>
      <c r="F1180" s="5">
        <v>44159</v>
      </c>
      <c r="G1180" s="5">
        <v>44168</v>
      </c>
      <c r="H1180" s="2">
        <v>2</v>
      </c>
      <c r="I1180" s="6"/>
      <c r="J1180" s="6"/>
      <c r="K1180" s="7">
        <v>0.75</v>
      </c>
      <c r="L1180" s="7">
        <v>212.0085</v>
      </c>
      <c r="M1180" t="s">
        <v>17</v>
      </c>
      <c r="N1180" s="9"/>
      <c r="O1180" s="8">
        <f t="array" ref="O1180">INDEX(TechRate,MATCH(H1180,TechNum,0))</f>
        <v>140</v>
      </c>
      <c r="P1180" s="10">
        <f>WorkOrders278[[#This Row],[Techs]]*(WorkOrders278[[#This Row],[PartsCost]]*WorkOrders278[[#This Row],[LbrHrs]])</f>
        <v>318.01274999999998</v>
      </c>
      <c r="Q1180" s="10">
        <f t="shared" si="101"/>
        <v>318.01274999999998</v>
      </c>
      <c r="R1180" s="10">
        <f t="shared" si="102"/>
        <v>212.0085</v>
      </c>
      <c r="S1180" s="10">
        <f t="shared" si="103"/>
        <v>530.02125000000001</v>
      </c>
      <c r="T1180" s="10">
        <f t="shared" si="104"/>
        <v>530.02125000000001</v>
      </c>
      <c r="U1180" s="8" t="str">
        <f t="shared" si="105"/>
        <v>Tue</v>
      </c>
      <c r="V1180" s="8" t="str">
        <f t="shared" si="106"/>
        <v>Thu</v>
      </c>
    </row>
    <row r="1181" spans="1:22" hidden="1" x14ac:dyDescent="0.25">
      <c r="A1181" t="s">
        <v>224</v>
      </c>
      <c r="B1181" t="s">
        <v>35</v>
      </c>
      <c r="C1181" t="s">
        <v>8</v>
      </c>
      <c r="D1181" t="s">
        <v>2</v>
      </c>
      <c r="F1181" s="5">
        <v>44159</v>
      </c>
      <c r="G1181" s="5">
        <v>44172</v>
      </c>
      <c r="H1181" s="2">
        <v>1</v>
      </c>
      <c r="I1181" s="6"/>
      <c r="J1181" s="6"/>
      <c r="K1181" s="7">
        <v>1</v>
      </c>
      <c r="L1181" s="7">
        <v>341.2672</v>
      </c>
      <c r="M1181" t="s">
        <v>18</v>
      </c>
      <c r="N1181" s="9"/>
      <c r="O1181" s="8">
        <f t="array" ref="O1181">INDEX(TechRate,MATCH(H1181,TechNum,0))</f>
        <v>80</v>
      </c>
      <c r="P1181" s="10">
        <f>WorkOrders278[[#This Row],[Techs]]*(WorkOrders278[[#This Row],[PartsCost]]*WorkOrders278[[#This Row],[LbrHrs]])</f>
        <v>341.2672</v>
      </c>
      <c r="Q1181" s="10">
        <f t="shared" si="101"/>
        <v>341.2672</v>
      </c>
      <c r="R1181" s="10">
        <f t="shared" si="102"/>
        <v>341.2672</v>
      </c>
      <c r="S1181" s="10">
        <f t="shared" si="103"/>
        <v>682.53440000000001</v>
      </c>
      <c r="T1181" s="10">
        <f t="shared" si="104"/>
        <v>682.53440000000001</v>
      </c>
      <c r="U1181" s="8" t="str">
        <f t="shared" si="105"/>
        <v>Tue</v>
      </c>
      <c r="V1181" s="8" t="str">
        <f t="shared" si="106"/>
        <v>Mon</v>
      </c>
    </row>
    <row r="1182" spans="1:22" hidden="1" x14ac:dyDescent="0.25">
      <c r="A1182" t="s">
        <v>225</v>
      </c>
      <c r="B1182" t="s">
        <v>34</v>
      </c>
      <c r="C1182" t="s">
        <v>44</v>
      </c>
      <c r="D1182" t="s">
        <v>13</v>
      </c>
      <c r="F1182" s="5">
        <v>44159</v>
      </c>
      <c r="G1182" s="5">
        <v>44245</v>
      </c>
      <c r="H1182" s="2">
        <v>1</v>
      </c>
      <c r="I1182" s="6"/>
      <c r="J1182" s="6"/>
      <c r="K1182" s="7">
        <v>0.5</v>
      </c>
      <c r="L1182" s="7">
        <v>25.773599999999998</v>
      </c>
      <c r="M1182" t="s">
        <v>17</v>
      </c>
      <c r="N1182" s="9"/>
      <c r="O1182" s="8">
        <f t="array" ref="O1182">INDEX(TechRate,MATCH(H1182,TechNum,0))</f>
        <v>80</v>
      </c>
      <c r="P1182" s="10">
        <f>WorkOrders278[[#This Row],[Techs]]*(WorkOrders278[[#This Row],[PartsCost]]*WorkOrders278[[#This Row],[LbrHrs]])</f>
        <v>12.886799999999999</v>
      </c>
      <c r="Q1182" s="10">
        <f t="shared" si="101"/>
        <v>12.886799999999999</v>
      </c>
      <c r="R1182" s="10">
        <f t="shared" si="102"/>
        <v>25.773599999999998</v>
      </c>
      <c r="S1182" s="10">
        <f t="shared" si="103"/>
        <v>38.660399999999996</v>
      </c>
      <c r="T1182" s="10">
        <f t="shared" si="104"/>
        <v>38.660399999999996</v>
      </c>
      <c r="U1182" s="8" t="str">
        <f t="shared" si="105"/>
        <v>Tue</v>
      </c>
      <c r="V1182" s="8" t="str">
        <f t="shared" si="106"/>
        <v>Thu</v>
      </c>
    </row>
    <row r="1183" spans="1:22" hidden="1" x14ac:dyDescent="0.25">
      <c r="A1183" t="s">
        <v>226</v>
      </c>
      <c r="B1183" t="s">
        <v>39</v>
      </c>
      <c r="C1183" t="s">
        <v>8</v>
      </c>
      <c r="D1183" t="s">
        <v>12</v>
      </c>
      <c r="E1183" t="s">
        <v>3</v>
      </c>
      <c r="F1183" s="5">
        <v>44160</v>
      </c>
      <c r="G1183" s="5">
        <v>44172</v>
      </c>
      <c r="H1183" s="2">
        <v>1</v>
      </c>
      <c r="I1183" s="6"/>
      <c r="J1183" s="6"/>
      <c r="K1183" s="7">
        <v>0.5</v>
      </c>
      <c r="L1183" s="7">
        <v>133.36609999999999</v>
      </c>
      <c r="M1183" t="s">
        <v>17</v>
      </c>
      <c r="N1183" s="9"/>
      <c r="O1183" s="8">
        <f t="array" ref="O1183">INDEX(TechRate,MATCH(H1183,TechNum,0))</f>
        <v>80</v>
      </c>
      <c r="P1183" s="10">
        <f>WorkOrders278[[#This Row],[Techs]]*(WorkOrders278[[#This Row],[PartsCost]]*WorkOrders278[[#This Row],[LbrHrs]])</f>
        <v>66.683049999999994</v>
      </c>
      <c r="Q1183" s="10">
        <f t="shared" si="101"/>
        <v>66.683049999999994</v>
      </c>
      <c r="R1183" s="10">
        <f t="shared" si="102"/>
        <v>133.36609999999999</v>
      </c>
      <c r="S1183" s="10">
        <f t="shared" si="103"/>
        <v>200.04915</v>
      </c>
      <c r="T1183" s="10">
        <f t="shared" si="104"/>
        <v>200.04915</v>
      </c>
      <c r="U1183" s="8" t="str">
        <f t="shared" si="105"/>
        <v>Wed</v>
      </c>
      <c r="V1183" s="8" t="str">
        <f t="shared" si="106"/>
        <v>Mon</v>
      </c>
    </row>
    <row r="1184" spans="1:22" hidden="1" x14ac:dyDescent="0.25">
      <c r="A1184" t="s">
        <v>227</v>
      </c>
      <c r="B1184" t="s">
        <v>38</v>
      </c>
      <c r="C1184" t="s">
        <v>8</v>
      </c>
      <c r="D1184" t="s">
        <v>12</v>
      </c>
      <c r="F1184" s="5">
        <v>44160</v>
      </c>
      <c r="G1184" s="5">
        <v>44200</v>
      </c>
      <c r="H1184" s="2">
        <v>1</v>
      </c>
      <c r="I1184" s="6"/>
      <c r="J1184" s="6"/>
      <c r="K1184" s="7">
        <v>0.5</v>
      </c>
      <c r="L1184" s="7">
        <v>66.864900000000006</v>
      </c>
      <c r="M1184" t="s">
        <v>17</v>
      </c>
      <c r="N1184" s="9"/>
      <c r="O1184" s="8">
        <f t="array" ref="O1184">INDEX(TechRate,MATCH(H1184,TechNum,0))</f>
        <v>80</v>
      </c>
      <c r="P1184" s="10">
        <f>WorkOrders278[[#This Row],[Techs]]*(WorkOrders278[[#This Row],[PartsCost]]*WorkOrders278[[#This Row],[LbrHrs]])</f>
        <v>33.432450000000003</v>
      </c>
      <c r="Q1184" s="10">
        <f t="shared" si="101"/>
        <v>33.432450000000003</v>
      </c>
      <c r="R1184" s="10">
        <f t="shared" si="102"/>
        <v>66.864900000000006</v>
      </c>
      <c r="S1184" s="10">
        <f t="shared" si="103"/>
        <v>100.29735000000001</v>
      </c>
      <c r="T1184" s="10">
        <f t="shared" si="104"/>
        <v>100.29735000000001</v>
      </c>
      <c r="U1184" s="8" t="str">
        <f t="shared" si="105"/>
        <v>Wed</v>
      </c>
      <c r="V1184" s="8" t="str">
        <f t="shared" si="106"/>
        <v>Mon</v>
      </c>
    </row>
    <row r="1185" spans="1:22" hidden="1" x14ac:dyDescent="0.25">
      <c r="A1185" t="s">
        <v>228</v>
      </c>
      <c r="B1185" t="s">
        <v>38</v>
      </c>
      <c r="C1185" t="s">
        <v>8</v>
      </c>
      <c r="D1185" t="s">
        <v>12</v>
      </c>
      <c r="F1185" s="5">
        <v>44160</v>
      </c>
      <c r="G1185" s="5">
        <v>44200</v>
      </c>
      <c r="H1185" s="2">
        <v>1</v>
      </c>
      <c r="I1185" s="6"/>
      <c r="J1185" s="6"/>
      <c r="K1185" s="7">
        <v>0.75</v>
      </c>
      <c r="L1185" s="7">
        <v>94.26</v>
      </c>
      <c r="M1185" t="s">
        <v>19</v>
      </c>
      <c r="N1185" s="9"/>
      <c r="O1185" s="8">
        <f t="array" ref="O1185">INDEX(TechRate,MATCH(H1185,TechNum,0))</f>
        <v>80</v>
      </c>
      <c r="P1185" s="10">
        <f>WorkOrders278[[#This Row],[Techs]]*(WorkOrders278[[#This Row],[PartsCost]]*WorkOrders278[[#This Row],[LbrHrs]])</f>
        <v>70.695000000000007</v>
      </c>
      <c r="Q1185" s="10">
        <f t="shared" si="101"/>
        <v>70.695000000000007</v>
      </c>
      <c r="R1185" s="10">
        <f t="shared" si="102"/>
        <v>94.26</v>
      </c>
      <c r="S1185" s="10">
        <f t="shared" si="103"/>
        <v>164.95500000000001</v>
      </c>
      <c r="T1185" s="10">
        <f t="shared" si="104"/>
        <v>164.95500000000001</v>
      </c>
      <c r="U1185" s="8" t="str">
        <f t="shared" si="105"/>
        <v>Wed</v>
      </c>
      <c r="V1185" s="8" t="str">
        <f t="shared" si="106"/>
        <v>Mon</v>
      </c>
    </row>
    <row r="1186" spans="1:22" hidden="1" x14ac:dyDescent="0.25">
      <c r="A1186" t="s">
        <v>229</v>
      </c>
      <c r="B1186" t="s">
        <v>38</v>
      </c>
      <c r="C1186" t="s">
        <v>8</v>
      </c>
      <c r="D1186" t="s">
        <v>12</v>
      </c>
      <c r="F1186" s="5">
        <v>44160</v>
      </c>
      <c r="G1186" s="5">
        <v>44200</v>
      </c>
      <c r="H1186" s="2">
        <v>1</v>
      </c>
      <c r="I1186" s="6"/>
      <c r="J1186" s="6"/>
      <c r="K1186" s="7">
        <v>0.25</v>
      </c>
      <c r="L1186" s="7">
        <v>120</v>
      </c>
      <c r="M1186" t="s">
        <v>18</v>
      </c>
      <c r="N1186" s="9"/>
      <c r="O1186" s="8">
        <f t="array" ref="O1186">INDEX(TechRate,MATCH(H1186,TechNum,0))</f>
        <v>80</v>
      </c>
      <c r="P1186" s="10">
        <f>WorkOrders278[[#This Row],[Techs]]*(WorkOrders278[[#This Row],[PartsCost]]*WorkOrders278[[#This Row],[LbrHrs]])</f>
        <v>30</v>
      </c>
      <c r="Q1186" s="10">
        <f t="shared" si="101"/>
        <v>30</v>
      </c>
      <c r="R1186" s="10">
        <f t="shared" si="102"/>
        <v>120</v>
      </c>
      <c r="S1186" s="10">
        <f t="shared" si="103"/>
        <v>150</v>
      </c>
      <c r="T1186" s="10">
        <f t="shared" si="104"/>
        <v>150</v>
      </c>
      <c r="U1186" s="8" t="str">
        <f t="shared" si="105"/>
        <v>Wed</v>
      </c>
      <c r="V1186" s="8" t="str">
        <f t="shared" si="106"/>
        <v>Mon</v>
      </c>
    </row>
    <row r="1187" spans="1:22" hidden="1" x14ac:dyDescent="0.25">
      <c r="A1187" t="s">
        <v>230</v>
      </c>
      <c r="B1187" t="s">
        <v>38</v>
      </c>
      <c r="C1187" t="s">
        <v>8</v>
      </c>
      <c r="D1187" t="s">
        <v>11</v>
      </c>
      <c r="F1187" s="5">
        <v>44161</v>
      </c>
      <c r="G1187" s="5">
        <v>44167</v>
      </c>
      <c r="H1187" s="2">
        <v>1</v>
      </c>
      <c r="I1187" s="6"/>
      <c r="J1187" s="6"/>
      <c r="K1187" s="7">
        <v>0.25</v>
      </c>
      <c r="L1187" s="7">
        <v>120</v>
      </c>
      <c r="M1187" t="s">
        <v>17</v>
      </c>
      <c r="N1187" s="9"/>
      <c r="O1187" s="8">
        <f t="array" ref="O1187">INDEX(TechRate,MATCH(H1187,TechNum,0))</f>
        <v>80</v>
      </c>
      <c r="P1187" s="10">
        <f>WorkOrders278[[#This Row],[Techs]]*(WorkOrders278[[#This Row],[PartsCost]]*WorkOrders278[[#This Row],[LbrHrs]])</f>
        <v>30</v>
      </c>
      <c r="Q1187" s="10">
        <f t="shared" si="101"/>
        <v>30</v>
      </c>
      <c r="R1187" s="10">
        <f t="shared" si="102"/>
        <v>120</v>
      </c>
      <c r="S1187" s="10">
        <f t="shared" si="103"/>
        <v>150</v>
      </c>
      <c r="T1187" s="10">
        <f t="shared" si="104"/>
        <v>150</v>
      </c>
      <c r="U1187" s="8" t="str">
        <f t="shared" si="105"/>
        <v>Thu</v>
      </c>
      <c r="V1187" s="8" t="str">
        <f t="shared" si="106"/>
        <v>Wed</v>
      </c>
    </row>
    <row r="1188" spans="1:22" hidden="1" x14ac:dyDescent="0.25">
      <c r="A1188" t="s">
        <v>231</v>
      </c>
      <c r="B1188" t="s">
        <v>35</v>
      </c>
      <c r="C1188" t="s">
        <v>9</v>
      </c>
      <c r="D1188" t="s">
        <v>11</v>
      </c>
      <c r="E1188" t="s">
        <v>3</v>
      </c>
      <c r="F1188" s="5">
        <v>44161</v>
      </c>
      <c r="G1188" s="5">
        <v>44168</v>
      </c>
      <c r="H1188" s="2">
        <v>1</v>
      </c>
      <c r="I1188" s="6"/>
      <c r="J1188" s="6"/>
      <c r="K1188" s="7">
        <v>0.25</v>
      </c>
      <c r="L1188" s="7">
        <v>45.99</v>
      </c>
      <c r="M1188" t="s">
        <v>19</v>
      </c>
      <c r="N1188" s="9"/>
      <c r="O1188" s="8">
        <f t="array" ref="O1188">INDEX(TechRate,MATCH(H1188,TechNum,0))</f>
        <v>80</v>
      </c>
      <c r="P1188" s="10">
        <f>WorkOrders278[[#This Row],[Techs]]*(WorkOrders278[[#This Row],[PartsCost]]*WorkOrders278[[#This Row],[LbrHrs]])</f>
        <v>11.4975</v>
      </c>
      <c r="Q1188" s="10">
        <f t="shared" si="101"/>
        <v>11.4975</v>
      </c>
      <c r="R1188" s="10">
        <f t="shared" si="102"/>
        <v>45.99</v>
      </c>
      <c r="S1188" s="10">
        <f t="shared" si="103"/>
        <v>57.487500000000004</v>
      </c>
      <c r="T1188" s="10">
        <f t="shared" si="104"/>
        <v>57.487500000000004</v>
      </c>
      <c r="U1188" s="8" t="str">
        <f t="shared" si="105"/>
        <v>Thu</v>
      </c>
      <c r="V1188" s="8" t="str">
        <f t="shared" si="106"/>
        <v>Thu</v>
      </c>
    </row>
    <row r="1189" spans="1:22" hidden="1" x14ac:dyDescent="0.25">
      <c r="A1189" t="s">
        <v>232</v>
      </c>
      <c r="B1189" t="s">
        <v>39</v>
      </c>
      <c r="C1189" t="s">
        <v>9</v>
      </c>
      <c r="D1189" t="s">
        <v>12</v>
      </c>
      <c r="F1189" s="5">
        <v>44161</v>
      </c>
      <c r="G1189" s="5">
        <v>44175</v>
      </c>
      <c r="H1189" s="2">
        <v>1</v>
      </c>
      <c r="I1189" s="6"/>
      <c r="J1189" s="6"/>
      <c r="K1189" s="7">
        <v>0.5</v>
      </c>
      <c r="L1189" s="7">
        <v>33</v>
      </c>
      <c r="M1189" t="s">
        <v>18</v>
      </c>
      <c r="N1189" s="9"/>
      <c r="O1189" s="8">
        <f t="array" ref="O1189">INDEX(TechRate,MATCH(H1189,TechNum,0))</f>
        <v>80</v>
      </c>
      <c r="P1189" s="10">
        <f>WorkOrders278[[#This Row],[Techs]]*(WorkOrders278[[#This Row],[PartsCost]]*WorkOrders278[[#This Row],[LbrHrs]])</f>
        <v>16.5</v>
      </c>
      <c r="Q1189" s="10">
        <f t="shared" si="101"/>
        <v>16.5</v>
      </c>
      <c r="R1189" s="10">
        <f t="shared" si="102"/>
        <v>33</v>
      </c>
      <c r="S1189" s="10">
        <f t="shared" si="103"/>
        <v>49.5</v>
      </c>
      <c r="T1189" s="10">
        <f t="shared" si="104"/>
        <v>49.5</v>
      </c>
      <c r="U1189" s="8" t="str">
        <f t="shared" si="105"/>
        <v>Thu</v>
      </c>
      <c r="V1189" s="8" t="str">
        <f t="shared" si="106"/>
        <v>Thu</v>
      </c>
    </row>
    <row r="1190" spans="1:22" hidden="1" x14ac:dyDescent="0.25">
      <c r="A1190" t="s">
        <v>233</v>
      </c>
      <c r="B1190" t="s">
        <v>35</v>
      </c>
      <c r="C1190" t="s">
        <v>6</v>
      </c>
      <c r="D1190" t="s">
        <v>12</v>
      </c>
      <c r="F1190" s="5">
        <v>44161</v>
      </c>
      <c r="G1190" s="5">
        <v>44207</v>
      </c>
      <c r="H1190" s="2">
        <v>1</v>
      </c>
      <c r="I1190" s="6"/>
      <c r="J1190" s="6"/>
      <c r="K1190" s="7">
        <v>0.25</v>
      </c>
      <c r="L1190" s="7">
        <v>21.33</v>
      </c>
      <c r="M1190" t="s">
        <v>18</v>
      </c>
      <c r="N1190" s="9"/>
      <c r="O1190" s="8">
        <f t="array" ref="O1190">INDEX(TechRate,MATCH(H1190,TechNum,0))</f>
        <v>80</v>
      </c>
      <c r="P1190" s="10">
        <f>WorkOrders278[[#This Row],[Techs]]*(WorkOrders278[[#This Row],[PartsCost]]*WorkOrders278[[#This Row],[LbrHrs]])</f>
        <v>5.3324999999999996</v>
      </c>
      <c r="Q1190" s="10">
        <f t="shared" si="101"/>
        <v>5.3324999999999996</v>
      </c>
      <c r="R1190" s="10">
        <f t="shared" si="102"/>
        <v>21.33</v>
      </c>
      <c r="S1190" s="10">
        <f t="shared" si="103"/>
        <v>26.662499999999998</v>
      </c>
      <c r="T1190" s="10">
        <f t="shared" si="104"/>
        <v>26.662499999999998</v>
      </c>
      <c r="U1190" s="8" t="str">
        <f t="shared" si="105"/>
        <v>Thu</v>
      </c>
      <c r="V1190" s="8" t="str">
        <f t="shared" si="106"/>
        <v>Mon</v>
      </c>
    </row>
    <row r="1191" spans="1:22" hidden="1" x14ac:dyDescent="0.25">
      <c r="A1191" t="s">
        <v>234</v>
      </c>
      <c r="B1191" t="s">
        <v>35</v>
      </c>
      <c r="C1191" t="s">
        <v>44</v>
      </c>
      <c r="D1191" t="s">
        <v>11</v>
      </c>
      <c r="E1191" t="s">
        <v>3</v>
      </c>
      <c r="F1191" s="5">
        <v>44161</v>
      </c>
      <c r="G1191" s="5">
        <v>44244</v>
      </c>
      <c r="H1191" s="2">
        <v>1</v>
      </c>
      <c r="I1191" s="6"/>
      <c r="J1191" s="6"/>
      <c r="K1191" s="7">
        <v>0.25</v>
      </c>
      <c r="L1191" s="7">
        <v>37.26</v>
      </c>
      <c r="M1191" t="s">
        <v>17</v>
      </c>
      <c r="N1191" s="9"/>
      <c r="O1191" s="8">
        <f t="array" ref="O1191">INDEX(TechRate,MATCH(H1191,TechNum,0))</f>
        <v>80</v>
      </c>
      <c r="P1191" s="10">
        <f>WorkOrders278[[#This Row],[Techs]]*(WorkOrders278[[#This Row],[PartsCost]]*WorkOrders278[[#This Row],[LbrHrs]])</f>
        <v>9.3149999999999995</v>
      </c>
      <c r="Q1191" s="10">
        <f t="shared" si="101"/>
        <v>9.3149999999999995</v>
      </c>
      <c r="R1191" s="10">
        <f t="shared" si="102"/>
        <v>37.26</v>
      </c>
      <c r="S1191" s="10">
        <f t="shared" si="103"/>
        <v>46.574999999999996</v>
      </c>
      <c r="T1191" s="10">
        <f t="shared" si="104"/>
        <v>46.574999999999996</v>
      </c>
      <c r="U1191" s="8" t="str">
        <f t="shared" si="105"/>
        <v>Thu</v>
      </c>
      <c r="V1191" s="8" t="str">
        <f t="shared" si="106"/>
        <v>Wed</v>
      </c>
    </row>
    <row r="1192" spans="1:22" hidden="1" x14ac:dyDescent="0.25">
      <c r="A1192" t="s">
        <v>235</v>
      </c>
      <c r="B1192" t="s">
        <v>39</v>
      </c>
      <c r="C1192" t="s">
        <v>8</v>
      </c>
      <c r="D1192" t="s">
        <v>13</v>
      </c>
      <c r="F1192" s="5">
        <v>44162</v>
      </c>
      <c r="G1192" s="5">
        <v>44187</v>
      </c>
      <c r="H1192" s="2">
        <v>1</v>
      </c>
      <c r="I1192" s="6"/>
      <c r="J1192" s="6"/>
      <c r="K1192" s="7">
        <v>1</v>
      </c>
      <c r="L1192" s="7">
        <v>81.885000000000005</v>
      </c>
      <c r="M1192" t="s">
        <v>18</v>
      </c>
      <c r="N1192" s="9"/>
      <c r="O1192" s="8">
        <f t="array" ref="O1192">INDEX(TechRate,MATCH(H1192,TechNum,0))</f>
        <v>80</v>
      </c>
      <c r="P1192" s="10">
        <f>WorkOrders278[[#This Row],[Techs]]*(WorkOrders278[[#This Row],[PartsCost]]*WorkOrders278[[#This Row],[LbrHrs]])</f>
        <v>81.885000000000005</v>
      </c>
      <c r="Q1192" s="10">
        <f t="shared" si="101"/>
        <v>81.885000000000005</v>
      </c>
      <c r="R1192" s="10">
        <f t="shared" si="102"/>
        <v>81.885000000000005</v>
      </c>
      <c r="S1192" s="10">
        <f t="shared" si="103"/>
        <v>163.77000000000001</v>
      </c>
      <c r="T1192" s="10">
        <f t="shared" si="104"/>
        <v>163.77000000000001</v>
      </c>
      <c r="U1192" s="8" t="str">
        <f t="shared" si="105"/>
        <v>Fri</v>
      </c>
      <c r="V1192" s="8" t="str">
        <f t="shared" si="106"/>
        <v>Tue</v>
      </c>
    </row>
    <row r="1193" spans="1:22" hidden="1" x14ac:dyDescent="0.25">
      <c r="A1193" t="s">
        <v>236</v>
      </c>
      <c r="B1193" t="s">
        <v>34</v>
      </c>
      <c r="C1193" t="s">
        <v>8</v>
      </c>
      <c r="D1193" t="s">
        <v>11</v>
      </c>
      <c r="E1193" t="s">
        <v>3</v>
      </c>
      <c r="F1193" s="5">
        <v>44165</v>
      </c>
      <c r="G1193" s="5">
        <v>44173</v>
      </c>
      <c r="H1193" s="2">
        <v>1</v>
      </c>
      <c r="I1193" s="6"/>
      <c r="J1193" s="6"/>
      <c r="K1193" s="7">
        <v>0.25</v>
      </c>
      <c r="L1193" s="7">
        <v>10.103199999999999</v>
      </c>
      <c r="M1193" t="s">
        <v>18</v>
      </c>
      <c r="N1193" s="9"/>
      <c r="O1193" s="8">
        <f t="array" ref="O1193">INDEX(TechRate,MATCH(H1193,TechNum,0))</f>
        <v>80</v>
      </c>
      <c r="P1193" s="10">
        <f>WorkOrders278[[#This Row],[Techs]]*(WorkOrders278[[#This Row],[PartsCost]]*WorkOrders278[[#This Row],[LbrHrs]])</f>
        <v>2.5257999999999998</v>
      </c>
      <c r="Q1193" s="10">
        <f t="shared" si="101"/>
        <v>2.5257999999999998</v>
      </c>
      <c r="R1193" s="10">
        <f t="shared" si="102"/>
        <v>10.103199999999999</v>
      </c>
      <c r="S1193" s="10">
        <f t="shared" si="103"/>
        <v>12.629</v>
      </c>
      <c r="T1193" s="10">
        <f t="shared" si="104"/>
        <v>12.629</v>
      </c>
      <c r="U1193" s="8" t="str">
        <f t="shared" si="105"/>
        <v>Mon</v>
      </c>
      <c r="V1193" s="8" t="str">
        <f t="shared" si="106"/>
        <v>Tue</v>
      </c>
    </row>
    <row r="1194" spans="1:22" hidden="1" x14ac:dyDescent="0.25">
      <c r="A1194" t="s">
        <v>237</v>
      </c>
      <c r="B1194" t="s">
        <v>39</v>
      </c>
      <c r="C1194" t="s">
        <v>8</v>
      </c>
      <c r="D1194" t="s">
        <v>11</v>
      </c>
      <c r="F1194" s="5">
        <v>44165</v>
      </c>
      <c r="G1194" s="5">
        <v>44173</v>
      </c>
      <c r="H1194" s="2">
        <v>1</v>
      </c>
      <c r="I1194" s="6"/>
      <c r="J1194" s="6"/>
      <c r="K1194" s="7">
        <v>0.25</v>
      </c>
      <c r="L1194" s="7">
        <v>17.88</v>
      </c>
      <c r="M1194" t="s">
        <v>17</v>
      </c>
      <c r="N1194" s="9"/>
      <c r="O1194" s="8">
        <f t="array" ref="O1194">INDEX(TechRate,MATCH(H1194,TechNum,0))</f>
        <v>80</v>
      </c>
      <c r="P1194" s="10">
        <f>WorkOrders278[[#This Row],[Techs]]*(WorkOrders278[[#This Row],[PartsCost]]*WorkOrders278[[#This Row],[LbrHrs]])</f>
        <v>4.47</v>
      </c>
      <c r="Q1194" s="10">
        <f t="shared" si="101"/>
        <v>4.47</v>
      </c>
      <c r="R1194" s="10">
        <f t="shared" si="102"/>
        <v>17.88</v>
      </c>
      <c r="S1194" s="10">
        <f t="shared" si="103"/>
        <v>22.349999999999998</v>
      </c>
      <c r="T1194" s="10">
        <f t="shared" si="104"/>
        <v>22.349999999999998</v>
      </c>
      <c r="U1194" s="8" t="str">
        <f t="shared" si="105"/>
        <v>Mon</v>
      </c>
      <c r="V1194" s="8" t="str">
        <f t="shared" si="106"/>
        <v>Tue</v>
      </c>
    </row>
    <row r="1195" spans="1:22" hidden="1" x14ac:dyDescent="0.25">
      <c r="A1195" t="s">
        <v>238</v>
      </c>
      <c r="B1195" t="s">
        <v>41</v>
      </c>
      <c r="C1195" t="s">
        <v>6</v>
      </c>
      <c r="D1195" t="s">
        <v>2</v>
      </c>
      <c r="F1195" s="5">
        <v>44165</v>
      </c>
      <c r="G1195" s="5">
        <v>44173</v>
      </c>
      <c r="H1195" s="2">
        <v>2</v>
      </c>
      <c r="I1195" s="6"/>
      <c r="J1195" s="6"/>
      <c r="K1195" s="7">
        <v>2.75</v>
      </c>
      <c r="L1195" s="7">
        <v>1204.6415</v>
      </c>
      <c r="M1195" t="s">
        <v>18</v>
      </c>
      <c r="N1195" s="9"/>
      <c r="O1195" s="8">
        <f t="array" ref="O1195">INDEX(TechRate,MATCH(H1195,TechNum,0))</f>
        <v>140</v>
      </c>
      <c r="P1195" s="10">
        <f>WorkOrders278[[#This Row],[Techs]]*(WorkOrders278[[#This Row],[PartsCost]]*WorkOrders278[[#This Row],[LbrHrs]])</f>
        <v>6625.5282499999994</v>
      </c>
      <c r="Q1195" s="10">
        <f t="shared" si="101"/>
        <v>6625.5282499999994</v>
      </c>
      <c r="R1195" s="10">
        <f t="shared" si="102"/>
        <v>1204.6415</v>
      </c>
      <c r="S1195" s="10">
        <f t="shared" si="103"/>
        <v>7830.1697499999991</v>
      </c>
      <c r="T1195" s="10">
        <f t="shared" si="104"/>
        <v>7830.1697499999991</v>
      </c>
      <c r="U1195" s="8" t="str">
        <f t="shared" si="105"/>
        <v>Mon</v>
      </c>
      <c r="V1195" s="8" t="str">
        <f t="shared" si="106"/>
        <v>Tue</v>
      </c>
    </row>
    <row r="1196" spans="1:22" hidden="1" x14ac:dyDescent="0.25">
      <c r="A1196" t="s">
        <v>239</v>
      </c>
      <c r="B1196" t="s">
        <v>41</v>
      </c>
      <c r="C1196" t="s">
        <v>9</v>
      </c>
      <c r="D1196" t="s">
        <v>2</v>
      </c>
      <c r="F1196" s="5">
        <v>44165</v>
      </c>
      <c r="G1196" s="5">
        <v>44182</v>
      </c>
      <c r="H1196" s="2">
        <v>2</v>
      </c>
      <c r="I1196" s="6"/>
      <c r="J1196" s="6"/>
      <c r="K1196" s="7">
        <v>3</v>
      </c>
      <c r="L1196" s="7">
        <v>111</v>
      </c>
      <c r="M1196" t="s">
        <v>18</v>
      </c>
      <c r="N1196" s="9"/>
      <c r="O1196" s="8">
        <f t="array" ref="O1196">INDEX(TechRate,MATCH(H1196,TechNum,0))</f>
        <v>140</v>
      </c>
      <c r="P1196" s="10">
        <f>WorkOrders278[[#This Row],[Techs]]*(WorkOrders278[[#This Row],[PartsCost]]*WorkOrders278[[#This Row],[LbrHrs]])</f>
        <v>666</v>
      </c>
      <c r="Q1196" s="10">
        <f t="shared" ref="Q1196:Q1259" si="107">IF(I1196="Yes",0,P1196)</f>
        <v>666</v>
      </c>
      <c r="R1196" s="10">
        <f t="shared" ref="R1196:R1259" si="108">IF(J1196="Yes",0,L1196)</f>
        <v>111</v>
      </c>
      <c r="S1196" s="10">
        <f t="shared" ref="S1196:S1259" si="109">SUM(L1196,P1196)</f>
        <v>777</v>
      </c>
      <c r="T1196" s="10">
        <f t="shared" ref="T1196:T1259" si="110">SUM(Q1196,R1196)</f>
        <v>777</v>
      </c>
      <c r="U1196" s="8" t="str">
        <f t="shared" ref="U1196:U1259" si="111">TEXT(F1196,"ddd")</f>
        <v>Mon</v>
      </c>
      <c r="V1196" s="8" t="str">
        <f t="shared" ref="V1196:V1259" si="112">TEXT(G1196,"ddd")</f>
        <v>Thu</v>
      </c>
    </row>
    <row r="1197" spans="1:22" hidden="1" x14ac:dyDescent="0.25">
      <c r="A1197" t="s">
        <v>240</v>
      </c>
      <c r="B1197" t="s">
        <v>38</v>
      </c>
      <c r="C1197" t="s">
        <v>8</v>
      </c>
      <c r="D1197" t="s">
        <v>12</v>
      </c>
      <c r="F1197" s="5">
        <v>44165</v>
      </c>
      <c r="G1197" s="5">
        <v>44200</v>
      </c>
      <c r="H1197" s="2">
        <v>1</v>
      </c>
      <c r="I1197" s="6"/>
      <c r="J1197" s="6"/>
      <c r="K1197" s="7">
        <v>0.25</v>
      </c>
      <c r="L1197" s="7">
        <v>21.21</v>
      </c>
      <c r="M1197" t="s">
        <v>19</v>
      </c>
      <c r="N1197" s="9"/>
      <c r="O1197" s="8">
        <f t="array" ref="O1197">INDEX(TechRate,MATCH(H1197,TechNum,0))</f>
        <v>80</v>
      </c>
      <c r="P1197" s="10">
        <f>WorkOrders278[[#This Row],[Techs]]*(WorkOrders278[[#This Row],[PartsCost]]*WorkOrders278[[#This Row],[LbrHrs]])</f>
        <v>5.3025000000000002</v>
      </c>
      <c r="Q1197" s="10">
        <f t="shared" si="107"/>
        <v>5.3025000000000002</v>
      </c>
      <c r="R1197" s="10">
        <f t="shared" si="108"/>
        <v>21.21</v>
      </c>
      <c r="S1197" s="10">
        <f t="shared" si="109"/>
        <v>26.512500000000003</v>
      </c>
      <c r="T1197" s="10">
        <f t="shared" si="110"/>
        <v>26.512500000000003</v>
      </c>
      <c r="U1197" s="8" t="str">
        <f t="shared" si="111"/>
        <v>Mon</v>
      </c>
      <c r="V1197" s="8" t="str">
        <f t="shared" si="112"/>
        <v>Mon</v>
      </c>
    </row>
    <row r="1198" spans="1:22" hidden="1" x14ac:dyDescent="0.25">
      <c r="A1198" t="s">
        <v>241</v>
      </c>
      <c r="B1198" t="s">
        <v>41</v>
      </c>
      <c r="C1198" t="s">
        <v>7</v>
      </c>
      <c r="D1198" t="s">
        <v>12</v>
      </c>
      <c r="F1198" s="5">
        <v>44165</v>
      </c>
      <c r="G1198" s="5">
        <v>44252</v>
      </c>
      <c r="H1198" s="2">
        <v>2</v>
      </c>
      <c r="I1198" s="6"/>
      <c r="J1198" s="6"/>
      <c r="K1198" s="7">
        <v>0.5</v>
      </c>
      <c r="L1198" s="7">
        <v>158.31389999999999</v>
      </c>
      <c r="M1198" t="s">
        <v>18</v>
      </c>
      <c r="N1198" s="9"/>
      <c r="O1198" s="8">
        <f t="array" ref="O1198">INDEX(TechRate,MATCH(H1198,TechNum,0))</f>
        <v>140</v>
      </c>
      <c r="P1198" s="10">
        <f>WorkOrders278[[#This Row],[Techs]]*(WorkOrders278[[#This Row],[PartsCost]]*WorkOrders278[[#This Row],[LbrHrs]])</f>
        <v>158.31389999999999</v>
      </c>
      <c r="Q1198" s="10">
        <f t="shared" si="107"/>
        <v>158.31389999999999</v>
      </c>
      <c r="R1198" s="10">
        <f t="shared" si="108"/>
        <v>158.31389999999999</v>
      </c>
      <c r="S1198" s="10">
        <f t="shared" si="109"/>
        <v>316.62779999999998</v>
      </c>
      <c r="T1198" s="10">
        <f t="shared" si="110"/>
        <v>316.62779999999998</v>
      </c>
      <c r="U1198" s="8" t="str">
        <f t="shared" si="111"/>
        <v>Mon</v>
      </c>
      <c r="V1198" s="8" t="str">
        <f t="shared" si="112"/>
        <v>Thu</v>
      </c>
    </row>
    <row r="1199" spans="1:22" hidden="1" x14ac:dyDescent="0.25">
      <c r="A1199" t="s">
        <v>242</v>
      </c>
      <c r="B1199" t="s">
        <v>39</v>
      </c>
      <c r="C1199" t="s">
        <v>9</v>
      </c>
      <c r="D1199" t="s">
        <v>12</v>
      </c>
      <c r="F1199" s="5">
        <v>44166</v>
      </c>
      <c r="G1199" s="5">
        <v>44207</v>
      </c>
      <c r="H1199" s="2">
        <v>1</v>
      </c>
      <c r="I1199" s="6"/>
      <c r="J1199" s="6"/>
      <c r="K1199" s="7">
        <v>0.5</v>
      </c>
      <c r="L1199" s="7">
        <v>36.754399999999997</v>
      </c>
      <c r="M1199" t="s">
        <v>18</v>
      </c>
      <c r="N1199" s="9"/>
      <c r="O1199" s="8">
        <f t="array" ref="O1199">INDEX(TechRate,MATCH(H1199,TechNum,0))</f>
        <v>80</v>
      </c>
      <c r="P1199" s="10">
        <f>WorkOrders278[[#This Row],[Techs]]*(WorkOrders278[[#This Row],[PartsCost]]*WorkOrders278[[#This Row],[LbrHrs]])</f>
        <v>18.377199999999998</v>
      </c>
      <c r="Q1199" s="10">
        <f t="shared" si="107"/>
        <v>18.377199999999998</v>
      </c>
      <c r="R1199" s="10">
        <f t="shared" si="108"/>
        <v>36.754399999999997</v>
      </c>
      <c r="S1199" s="10">
        <f t="shared" si="109"/>
        <v>55.131599999999992</v>
      </c>
      <c r="T1199" s="10">
        <f t="shared" si="110"/>
        <v>55.131599999999992</v>
      </c>
      <c r="U1199" s="8" t="str">
        <f t="shared" si="111"/>
        <v>Tue</v>
      </c>
      <c r="V1199" s="8" t="str">
        <f t="shared" si="112"/>
        <v>Mon</v>
      </c>
    </row>
    <row r="1200" spans="1:22" hidden="1" x14ac:dyDescent="0.25">
      <c r="A1200" t="s">
        <v>243</v>
      </c>
      <c r="B1200" t="s">
        <v>36</v>
      </c>
      <c r="C1200" t="s">
        <v>7</v>
      </c>
      <c r="D1200" t="s">
        <v>13</v>
      </c>
      <c r="F1200" s="5">
        <v>44166</v>
      </c>
      <c r="G1200" s="5">
        <v>44320</v>
      </c>
      <c r="H1200" s="2">
        <v>2</v>
      </c>
      <c r="I1200" s="6"/>
      <c r="J1200" s="6"/>
      <c r="K1200" s="7">
        <v>0.5</v>
      </c>
      <c r="L1200" s="7">
        <v>242.07</v>
      </c>
      <c r="M1200" t="s">
        <v>18</v>
      </c>
      <c r="N1200" s="9"/>
      <c r="O1200" s="8">
        <f t="array" ref="O1200">INDEX(TechRate,MATCH(H1200,TechNum,0))</f>
        <v>140</v>
      </c>
      <c r="P1200" s="10">
        <f>WorkOrders278[[#This Row],[Techs]]*(WorkOrders278[[#This Row],[PartsCost]]*WorkOrders278[[#This Row],[LbrHrs]])</f>
        <v>242.07</v>
      </c>
      <c r="Q1200" s="10">
        <f t="shared" si="107"/>
        <v>242.07</v>
      </c>
      <c r="R1200" s="10">
        <f t="shared" si="108"/>
        <v>242.07</v>
      </c>
      <c r="S1200" s="10">
        <f t="shared" si="109"/>
        <v>484.14</v>
      </c>
      <c r="T1200" s="10">
        <f t="shared" si="110"/>
        <v>484.14</v>
      </c>
      <c r="U1200" s="8" t="str">
        <f t="shared" si="111"/>
        <v>Tue</v>
      </c>
      <c r="V1200" s="8" t="str">
        <f t="shared" si="112"/>
        <v>Tue</v>
      </c>
    </row>
    <row r="1201" spans="1:22" hidden="1" x14ac:dyDescent="0.25">
      <c r="A1201" t="s">
        <v>244</v>
      </c>
      <c r="B1201" t="s">
        <v>35</v>
      </c>
      <c r="C1201" t="s">
        <v>8</v>
      </c>
      <c r="D1201" t="s">
        <v>12</v>
      </c>
      <c r="F1201" s="5">
        <v>44167</v>
      </c>
      <c r="G1201" s="5">
        <v>44182</v>
      </c>
      <c r="H1201" s="2">
        <v>1</v>
      </c>
      <c r="I1201" s="6"/>
      <c r="J1201" s="6"/>
      <c r="K1201" s="7">
        <v>0.5</v>
      </c>
      <c r="L1201" s="7">
        <v>30</v>
      </c>
      <c r="M1201" t="s">
        <v>18</v>
      </c>
      <c r="N1201" s="9"/>
      <c r="O1201" s="8">
        <f t="array" ref="O1201">INDEX(TechRate,MATCH(H1201,TechNum,0))</f>
        <v>80</v>
      </c>
      <c r="P1201" s="10">
        <f>WorkOrders278[[#This Row],[Techs]]*(WorkOrders278[[#This Row],[PartsCost]]*WorkOrders278[[#This Row],[LbrHrs]])</f>
        <v>15</v>
      </c>
      <c r="Q1201" s="10">
        <f t="shared" si="107"/>
        <v>15</v>
      </c>
      <c r="R1201" s="10">
        <f t="shared" si="108"/>
        <v>30</v>
      </c>
      <c r="S1201" s="10">
        <f t="shared" si="109"/>
        <v>45</v>
      </c>
      <c r="T1201" s="10">
        <f t="shared" si="110"/>
        <v>45</v>
      </c>
      <c r="U1201" s="8" t="str">
        <f t="shared" si="111"/>
        <v>Wed</v>
      </c>
      <c r="V1201" s="8" t="str">
        <f t="shared" si="112"/>
        <v>Thu</v>
      </c>
    </row>
    <row r="1202" spans="1:22" hidden="1" x14ac:dyDescent="0.25">
      <c r="A1202" t="s">
        <v>245</v>
      </c>
      <c r="B1202" t="s">
        <v>35</v>
      </c>
      <c r="C1202" t="s">
        <v>8</v>
      </c>
      <c r="D1202" t="s">
        <v>12</v>
      </c>
      <c r="E1202" t="s">
        <v>3</v>
      </c>
      <c r="F1202" s="5">
        <v>44167</v>
      </c>
      <c r="G1202" s="5">
        <v>44180</v>
      </c>
      <c r="H1202" s="2">
        <v>1</v>
      </c>
      <c r="I1202" s="6"/>
      <c r="J1202" s="6"/>
      <c r="K1202" s="7">
        <v>0.5</v>
      </c>
      <c r="L1202" s="7">
        <v>52.8994</v>
      </c>
      <c r="M1202" t="s">
        <v>18</v>
      </c>
      <c r="N1202" s="9"/>
      <c r="O1202" s="8">
        <f t="array" ref="O1202">INDEX(TechRate,MATCH(H1202,TechNum,0))</f>
        <v>80</v>
      </c>
      <c r="P1202" s="10">
        <f>WorkOrders278[[#This Row],[Techs]]*(WorkOrders278[[#This Row],[PartsCost]]*WorkOrders278[[#This Row],[LbrHrs]])</f>
        <v>26.4497</v>
      </c>
      <c r="Q1202" s="10">
        <f t="shared" si="107"/>
        <v>26.4497</v>
      </c>
      <c r="R1202" s="10">
        <f t="shared" si="108"/>
        <v>52.8994</v>
      </c>
      <c r="S1202" s="10">
        <f t="shared" si="109"/>
        <v>79.349099999999993</v>
      </c>
      <c r="T1202" s="10">
        <f t="shared" si="110"/>
        <v>79.349099999999993</v>
      </c>
      <c r="U1202" s="8" t="str">
        <f t="shared" si="111"/>
        <v>Wed</v>
      </c>
      <c r="V1202" s="8" t="str">
        <f t="shared" si="112"/>
        <v>Tue</v>
      </c>
    </row>
    <row r="1203" spans="1:22" hidden="1" x14ac:dyDescent="0.25">
      <c r="A1203" t="s">
        <v>246</v>
      </c>
      <c r="B1203" t="s">
        <v>35</v>
      </c>
      <c r="C1203" t="s">
        <v>44</v>
      </c>
      <c r="D1203" t="s">
        <v>11</v>
      </c>
      <c r="E1203" t="s">
        <v>3</v>
      </c>
      <c r="F1203" s="5">
        <v>44167</v>
      </c>
      <c r="G1203" s="5">
        <v>44182</v>
      </c>
      <c r="H1203" s="2">
        <v>1</v>
      </c>
      <c r="I1203" s="6"/>
      <c r="J1203" s="6"/>
      <c r="K1203" s="7">
        <v>0.25</v>
      </c>
      <c r="L1203" s="7">
        <v>36.754399999999997</v>
      </c>
      <c r="M1203" t="s">
        <v>17</v>
      </c>
      <c r="N1203" s="9"/>
      <c r="O1203" s="8">
        <f t="array" ref="O1203">INDEX(TechRate,MATCH(H1203,TechNum,0))</f>
        <v>80</v>
      </c>
      <c r="P1203" s="10">
        <f>WorkOrders278[[#This Row],[Techs]]*(WorkOrders278[[#This Row],[PartsCost]]*WorkOrders278[[#This Row],[LbrHrs]])</f>
        <v>9.1885999999999992</v>
      </c>
      <c r="Q1203" s="10">
        <f t="shared" si="107"/>
        <v>9.1885999999999992</v>
      </c>
      <c r="R1203" s="10">
        <f t="shared" si="108"/>
        <v>36.754399999999997</v>
      </c>
      <c r="S1203" s="10">
        <f t="shared" si="109"/>
        <v>45.942999999999998</v>
      </c>
      <c r="T1203" s="10">
        <f t="shared" si="110"/>
        <v>45.942999999999998</v>
      </c>
      <c r="U1203" s="8" t="str">
        <f t="shared" si="111"/>
        <v>Wed</v>
      </c>
      <c r="V1203" s="8" t="str">
        <f t="shared" si="112"/>
        <v>Thu</v>
      </c>
    </row>
    <row r="1204" spans="1:22" hidden="1" x14ac:dyDescent="0.25">
      <c r="A1204" t="s">
        <v>247</v>
      </c>
      <c r="B1204" t="s">
        <v>39</v>
      </c>
      <c r="C1204" t="s">
        <v>6</v>
      </c>
      <c r="D1204" t="s">
        <v>11</v>
      </c>
      <c r="F1204" s="5">
        <v>44167</v>
      </c>
      <c r="G1204" s="5">
        <v>44203</v>
      </c>
      <c r="H1204" s="2">
        <v>1</v>
      </c>
      <c r="I1204" s="6"/>
      <c r="J1204" s="6"/>
      <c r="K1204" s="7">
        <v>0.25</v>
      </c>
      <c r="L1204" s="7">
        <v>45.237400000000001</v>
      </c>
      <c r="M1204" t="s">
        <v>18</v>
      </c>
      <c r="N1204" s="9"/>
      <c r="O1204" s="8">
        <f t="array" ref="O1204">INDEX(TechRate,MATCH(H1204,TechNum,0))</f>
        <v>80</v>
      </c>
      <c r="P1204" s="10">
        <f>WorkOrders278[[#This Row],[Techs]]*(WorkOrders278[[#This Row],[PartsCost]]*WorkOrders278[[#This Row],[LbrHrs]])</f>
        <v>11.30935</v>
      </c>
      <c r="Q1204" s="10">
        <f t="shared" si="107"/>
        <v>11.30935</v>
      </c>
      <c r="R1204" s="10">
        <f t="shared" si="108"/>
        <v>45.237400000000001</v>
      </c>
      <c r="S1204" s="10">
        <f t="shared" si="109"/>
        <v>56.546750000000003</v>
      </c>
      <c r="T1204" s="10">
        <f t="shared" si="110"/>
        <v>56.546750000000003</v>
      </c>
      <c r="U1204" s="8" t="str">
        <f t="shared" si="111"/>
        <v>Wed</v>
      </c>
      <c r="V1204" s="8" t="str">
        <f t="shared" si="112"/>
        <v>Thu</v>
      </c>
    </row>
    <row r="1205" spans="1:22" hidden="1" x14ac:dyDescent="0.25">
      <c r="A1205" t="s">
        <v>248</v>
      </c>
      <c r="B1205" t="s">
        <v>35</v>
      </c>
      <c r="C1205" t="s">
        <v>44</v>
      </c>
      <c r="D1205" t="s">
        <v>13</v>
      </c>
      <c r="E1205" t="s">
        <v>3</v>
      </c>
      <c r="F1205" s="5">
        <v>44167</v>
      </c>
      <c r="G1205" s="5">
        <v>44223</v>
      </c>
      <c r="H1205" s="2">
        <v>1</v>
      </c>
      <c r="I1205" s="6"/>
      <c r="J1205" s="6"/>
      <c r="K1205" s="7">
        <v>0.75</v>
      </c>
      <c r="L1205" s="7">
        <v>42.66</v>
      </c>
      <c r="M1205" t="s">
        <v>17</v>
      </c>
      <c r="N1205" s="9"/>
      <c r="O1205" s="8">
        <f t="array" ref="O1205">INDEX(TechRate,MATCH(H1205,TechNum,0))</f>
        <v>80</v>
      </c>
      <c r="P1205" s="10">
        <f>WorkOrders278[[#This Row],[Techs]]*(WorkOrders278[[#This Row],[PartsCost]]*WorkOrders278[[#This Row],[LbrHrs]])</f>
        <v>31.994999999999997</v>
      </c>
      <c r="Q1205" s="10">
        <f t="shared" si="107"/>
        <v>31.994999999999997</v>
      </c>
      <c r="R1205" s="10">
        <f t="shared" si="108"/>
        <v>42.66</v>
      </c>
      <c r="S1205" s="10">
        <f t="shared" si="109"/>
        <v>74.655000000000001</v>
      </c>
      <c r="T1205" s="10">
        <f t="shared" si="110"/>
        <v>74.655000000000001</v>
      </c>
      <c r="U1205" s="8" t="str">
        <f t="shared" si="111"/>
        <v>Wed</v>
      </c>
      <c r="V1205" s="8" t="str">
        <f t="shared" si="112"/>
        <v>Wed</v>
      </c>
    </row>
    <row r="1206" spans="1:22" hidden="1" x14ac:dyDescent="0.25">
      <c r="A1206" t="s">
        <v>249</v>
      </c>
      <c r="B1206" t="s">
        <v>36</v>
      </c>
      <c r="C1206" t="s">
        <v>7</v>
      </c>
      <c r="D1206" t="s">
        <v>13</v>
      </c>
      <c r="F1206" s="5">
        <v>44167</v>
      </c>
      <c r="G1206" s="5">
        <v>44242</v>
      </c>
      <c r="H1206" s="2">
        <v>2</v>
      </c>
      <c r="I1206" s="6"/>
      <c r="J1206" s="6"/>
      <c r="K1206" s="7">
        <v>1</v>
      </c>
      <c r="L1206" s="7">
        <v>226</v>
      </c>
      <c r="M1206" t="s">
        <v>17</v>
      </c>
      <c r="N1206" s="9"/>
      <c r="O1206" s="8">
        <f t="array" ref="O1206">INDEX(TechRate,MATCH(H1206,TechNum,0))</f>
        <v>140</v>
      </c>
      <c r="P1206" s="10">
        <f>WorkOrders278[[#This Row],[Techs]]*(WorkOrders278[[#This Row],[PartsCost]]*WorkOrders278[[#This Row],[LbrHrs]])</f>
        <v>452</v>
      </c>
      <c r="Q1206" s="10">
        <f t="shared" si="107"/>
        <v>452</v>
      </c>
      <c r="R1206" s="10">
        <f t="shared" si="108"/>
        <v>226</v>
      </c>
      <c r="S1206" s="10">
        <f t="shared" si="109"/>
        <v>678</v>
      </c>
      <c r="T1206" s="10">
        <f t="shared" si="110"/>
        <v>678</v>
      </c>
      <c r="U1206" s="8" t="str">
        <f t="shared" si="111"/>
        <v>Wed</v>
      </c>
      <c r="V1206" s="8" t="str">
        <f t="shared" si="112"/>
        <v>Mon</v>
      </c>
    </row>
    <row r="1207" spans="1:22" hidden="1" x14ac:dyDescent="0.25">
      <c r="A1207" t="s">
        <v>250</v>
      </c>
      <c r="B1207" t="s">
        <v>37</v>
      </c>
      <c r="C1207" t="s">
        <v>6</v>
      </c>
      <c r="D1207" t="s">
        <v>12</v>
      </c>
      <c r="F1207" s="5">
        <v>44168</v>
      </c>
      <c r="G1207" s="5">
        <v>44202</v>
      </c>
      <c r="H1207" s="2">
        <v>2</v>
      </c>
      <c r="I1207" s="6"/>
      <c r="J1207" s="6"/>
      <c r="K1207" s="7">
        <v>0.5</v>
      </c>
      <c r="L1207" s="7">
        <v>45.237400000000001</v>
      </c>
      <c r="M1207" t="s">
        <v>17</v>
      </c>
      <c r="N1207" s="9"/>
      <c r="O1207" s="8">
        <f t="array" ref="O1207">INDEX(TechRate,MATCH(H1207,TechNum,0))</f>
        <v>140</v>
      </c>
      <c r="P1207" s="10">
        <f>WorkOrders278[[#This Row],[Techs]]*(WorkOrders278[[#This Row],[PartsCost]]*WorkOrders278[[#This Row],[LbrHrs]])</f>
        <v>45.237400000000001</v>
      </c>
      <c r="Q1207" s="10">
        <f t="shared" si="107"/>
        <v>45.237400000000001</v>
      </c>
      <c r="R1207" s="10">
        <f t="shared" si="108"/>
        <v>45.237400000000001</v>
      </c>
      <c r="S1207" s="10">
        <f t="shared" si="109"/>
        <v>90.474800000000002</v>
      </c>
      <c r="T1207" s="10">
        <f t="shared" si="110"/>
        <v>90.474800000000002</v>
      </c>
      <c r="U1207" s="8" t="str">
        <f t="shared" si="111"/>
        <v>Thu</v>
      </c>
      <c r="V1207" s="8" t="str">
        <f t="shared" si="112"/>
        <v>Wed</v>
      </c>
    </row>
    <row r="1208" spans="1:22" hidden="1" x14ac:dyDescent="0.25">
      <c r="A1208" t="s">
        <v>251</v>
      </c>
      <c r="B1208" t="s">
        <v>35</v>
      </c>
      <c r="C1208" t="s">
        <v>9</v>
      </c>
      <c r="D1208" t="s">
        <v>11</v>
      </c>
      <c r="E1208" t="s">
        <v>3</v>
      </c>
      <c r="F1208" s="5">
        <v>44168</v>
      </c>
      <c r="G1208" s="5">
        <v>44221</v>
      </c>
      <c r="H1208" s="2">
        <v>1</v>
      </c>
      <c r="I1208" s="6"/>
      <c r="J1208" s="6"/>
      <c r="K1208" s="7">
        <v>0.25</v>
      </c>
      <c r="L1208" s="7">
        <v>36.972099999999998</v>
      </c>
      <c r="M1208" t="s">
        <v>18</v>
      </c>
      <c r="N1208" s="9"/>
      <c r="O1208" s="8">
        <f t="array" ref="O1208">INDEX(TechRate,MATCH(H1208,TechNum,0))</f>
        <v>80</v>
      </c>
      <c r="P1208" s="10">
        <f>WorkOrders278[[#This Row],[Techs]]*(WorkOrders278[[#This Row],[PartsCost]]*WorkOrders278[[#This Row],[LbrHrs]])</f>
        <v>9.2430249999999994</v>
      </c>
      <c r="Q1208" s="10">
        <f t="shared" si="107"/>
        <v>9.2430249999999994</v>
      </c>
      <c r="R1208" s="10">
        <f t="shared" si="108"/>
        <v>36.972099999999998</v>
      </c>
      <c r="S1208" s="10">
        <f t="shared" si="109"/>
        <v>46.215125</v>
      </c>
      <c r="T1208" s="10">
        <f t="shared" si="110"/>
        <v>46.215125</v>
      </c>
      <c r="U1208" s="8" t="str">
        <f t="shared" si="111"/>
        <v>Thu</v>
      </c>
      <c r="V1208" s="8" t="str">
        <f t="shared" si="112"/>
        <v>Mon</v>
      </c>
    </row>
    <row r="1209" spans="1:22" hidden="1" x14ac:dyDescent="0.25">
      <c r="A1209" t="s">
        <v>252</v>
      </c>
      <c r="B1209" t="s">
        <v>37</v>
      </c>
      <c r="C1209" t="s">
        <v>43</v>
      </c>
      <c r="D1209" t="s">
        <v>12</v>
      </c>
      <c r="F1209" s="5">
        <v>44170</v>
      </c>
      <c r="G1209" s="5">
        <v>44188</v>
      </c>
      <c r="H1209" s="2">
        <v>1</v>
      </c>
      <c r="I1209" s="6"/>
      <c r="J1209" s="6"/>
      <c r="K1209" s="7">
        <v>0.5</v>
      </c>
      <c r="L1209" s="7">
        <v>138.5667</v>
      </c>
      <c r="M1209" t="s">
        <v>17</v>
      </c>
      <c r="N1209" s="9"/>
      <c r="O1209" s="8">
        <f t="array" ref="O1209">INDEX(TechRate,MATCH(H1209,TechNum,0))</f>
        <v>80</v>
      </c>
      <c r="P1209" s="10">
        <f>WorkOrders278[[#This Row],[Techs]]*(WorkOrders278[[#This Row],[PartsCost]]*WorkOrders278[[#This Row],[LbrHrs]])</f>
        <v>69.283349999999999</v>
      </c>
      <c r="Q1209" s="10">
        <f t="shared" si="107"/>
        <v>69.283349999999999</v>
      </c>
      <c r="R1209" s="10">
        <f t="shared" si="108"/>
        <v>138.5667</v>
      </c>
      <c r="S1209" s="10">
        <f t="shared" si="109"/>
        <v>207.85005000000001</v>
      </c>
      <c r="T1209" s="10">
        <f t="shared" si="110"/>
        <v>207.85005000000001</v>
      </c>
      <c r="U1209" s="8" t="str">
        <f t="shared" si="111"/>
        <v>Sat</v>
      </c>
      <c r="V1209" s="8" t="str">
        <f t="shared" si="112"/>
        <v>Wed</v>
      </c>
    </row>
    <row r="1210" spans="1:22" hidden="1" x14ac:dyDescent="0.25">
      <c r="A1210" t="s">
        <v>253</v>
      </c>
      <c r="B1210" t="s">
        <v>37</v>
      </c>
      <c r="C1210" t="s">
        <v>43</v>
      </c>
      <c r="D1210" t="s">
        <v>11</v>
      </c>
      <c r="F1210" s="5">
        <v>44170</v>
      </c>
      <c r="G1210" s="5">
        <v>44202</v>
      </c>
      <c r="H1210" s="2">
        <v>1</v>
      </c>
      <c r="I1210" s="6"/>
      <c r="J1210" s="6"/>
      <c r="K1210" s="7">
        <v>0.25</v>
      </c>
      <c r="L1210" s="7">
        <v>126.5641</v>
      </c>
      <c r="M1210" t="s">
        <v>17</v>
      </c>
      <c r="N1210" s="9"/>
      <c r="O1210" s="8">
        <f t="array" ref="O1210">INDEX(TechRate,MATCH(H1210,TechNum,0))</f>
        <v>80</v>
      </c>
      <c r="P1210" s="10">
        <f>WorkOrders278[[#This Row],[Techs]]*(WorkOrders278[[#This Row],[PartsCost]]*WorkOrders278[[#This Row],[LbrHrs]])</f>
        <v>31.641024999999999</v>
      </c>
      <c r="Q1210" s="10">
        <f t="shared" si="107"/>
        <v>31.641024999999999</v>
      </c>
      <c r="R1210" s="10">
        <f t="shared" si="108"/>
        <v>126.5641</v>
      </c>
      <c r="S1210" s="10">
        <f t="shared" si="109"/>
        <v>158.20512500000001</v>
      </c>
      <c r="T1210" s="10">
        <f t="shared" si="110"/>
        <v>158.20512500000001</v>
      </c>
      <c r="U1210" s="8" t="str">
        <f t="shared" si="111"/>
        <v>Sat</v>
      </c>
      <c r="V1210" s="8" t="str">
        <f t="shared" si="112"/>
        <v>Wed</v>
      </c>
    </row>
    <row r="1211" spans="1:22" hidden="1" x14ac:dyDescent="0.25">
      <c r="A1211" t="s">
        <v>254</v>
      </c>
      <c r="B1211" t="s">
        <v>38</v>
      </c>
      <c r="C1211" t="s">
        <v>9</v>
      </c>
      <c r="D1211" t="s">
        <v>1</v>
      </c>
      <c r="F1211" s="5">
        <v>44172</v>
      </c>
      <c r="G1211" s="5">
        <v>44201</v>
      </c>
      <c r="H1211" s="2">
        <v>2</v>
      </c>
      <c r="I1211" s="6"/>
      <c r="J1211" s="6"/>
      <c r="K1211" s="7">
        <v>1</v>
      </c>
      <c r="L1211" s="7">
        <v>51.45</v>
      </c>
      <c r="M1211" t="s">
        <v>19</v>
      </c>
      <c r="N1211" s="9"/>
      <c r="O1211" s="8">
        <f t="array" ref="O1211">INDEX(TechRate,MATCH(H1211,TechNum,0))</f>
        <v>140</v>
      </c>
      <c r="P1211" s="10">
        <f>WorkOrders278[[#This Row],[Techs]]*(WorkOrders278[[#This Row],[PartsCost]]*WorkOrders278[[#This Row],[LbrHrs]])</f>
        <v>102.9</v>
      </c>
      <c r="Q1211" s="10">
        <f t="shared" si="107"/>
        <v>102.9</v>
      </c>
      <c r="R1211" s="10">
        <f t="shared" si="108"/>
        <v>51.45</v>
      </c>
      <c r="S1211" s="10">
        <f t="shared" si="109"/>
        <v>154.35000000000002</v>
      </c>
      <c r="T1211" s="10">
        <f t="shared" si="110"/>
        <v>154.35000000000002</v>
      </c>
      <c r="U1211" s="8" t="str">
        <f t="shared" si="111"/>
        <v>Mon</v>
      </c>
      <c r="V1211" s="8" t="str">
        <f t="shared" si="112"/>
        <v>Tue</v>
      </c>
    </row>
    <row r="1212" spans="1:22" hidden="1" x14ac:dyDescent="0.25">
      <c r="A1212" t="s">
        <v>255</v>
      </c>
      <c r="B1212" t="s">
        <v>37</v>
      </c>
      <c r="C1212" t="s">
        <v>43</v>
      </c>
      <c r="D1212" t="s">
        <v>11</v>
      </c>
      <c r="F1212" s="5">
        <v>44172</v>
      </c>
      <c r="G1212" s="5">
        <v>44203</v>
      </c>
      <c r="H1212" s="2">
        <v>1</v>
      </c>
      <c r="I1212" s="6"/>
      <c r="J1212" s="6"/>
      <c r="K1212" s="7">
        <v>0.25</v>
      </c>
      <c r="L1212" s="7">
        <v>227.93719999999999</v>
      </c>
      <c r="M1212" t="s">
        <v>17</v>
      </c>
      <c r="N1212" s="9"/>
      <c r="O1212" s="8">
        <f t="array" ref="O1212">INDEX(TechRate,MATCH(H1212,TechNum,0))</f>
        <v>80</v>
      </c>
      <c r="P1212" s="10">
        <f>WorkOrders278[[#This Row],[Techs]]*(WorkOrders278[[#This Row],[PartsCost]]*WorkOrders278[[#This Row],[LbrHrs]])</f>
        <v>56.984299999999998</v>
      </c>
      <c r="Q1212" s="10">
        <f t="shared" si="107"/>
        <v>56.984299999999998</v>
      </c>
      <c r="R1212" s="10">
        <f t="shared" si="108"/>
        <v>227.93719999999999</v>
      </c>
      <c r="S1212" s="10">
        <f t="shared" si="109"/>
        <v>284.92149999999998</v>
      </c>
      <c r="T1212" s="10">
        <f t="shared" si="110"/>
        <v>284.92149999999998</v>
      </c>
      <c r="U1212" s="8" t="str">
        <f t="shared" si="111"/>
        <v>Mon</v>
      </c>
      <c r="V1212" s="8" t="str">
        <f t="shared" si="112"/>
        <v>Thu</v>
      </c>
    </row>
    <row r="1213" spans="1:22" hidden="1" x14ac:dyDescent="0.25">
      <c r="A1213" t="s">
        <v>256</v>
      </c>
      <c r="B1213" t="s">
        <v>35</v>
      </c>
      <c r="C1213" t="s">
        <v>6</v>
      </c>
      <c r="D1213" t="s">
        <v>13</v>
      </c>
      <c r="F1213" s="5">
        <v>44172</v>
      </c>
      <c r="G1213" s="5">
        <v>44207</v>
      </c>
      <c r="H1213" s="2">
        <v>1</v>
      </c>
      <c r="I1213" s="6"/>
      <c r="J1213" s="6"/>
      <c r="K1213" s="7">
        <v>0.5</v>
      </c>
      <c r="L1213" s="7">
        <v>367.71109999999999</v>
      </c>
      <c r="M1213" t="s">
        <v>19</v>
      </c>
      <c r="N1213" s="9"/>
      <c r="O1213" s="8">
        <f t="array" ref="O1213">INDEX(TechRate,MATCH(H1213,TechNum,0))</f>
        <v>80</v>
      </c>
      <c r="P1213" s="10">
        <f>WorkOrders278[[#This Row],[Techs]]*(WorkOrders278[[#This Row],[PartsCost]]*WorkOrders278[[#This Row],[LbrHrs]])</f>
        <v>183.85554999999999</v>
      </c>
      <c r="Q1213" s="10">
        <f t="shared" si="107"/>
        <v>183.85554999999999</v>
      </c>
      <c r="R1213" s="10">
        <f t="shared" si="108"/>
        <v>367.71109999999999</v>
      </c>
      <c r="S1213" s="10">
        <f t="shared" si="109"/>
        <v>551.56664999999998</v>
      </c>
      <c r="T1213" s="10">
        <f t="shared" si="110"/>
        <v>551.56664999999998</v>
      </c>
      <c r="U1213" s="8" t="str">
        <f t="shared" si="111"/>
        <v>Mon</v>
      </c>
      <c r="V1213" s="8" t="str">
        <f t="shared" si="112"/>
        <v>Mon</v>
      </c>
    </row>
    <row r="1214" spans="1:22" hidden="1" x14ac:dyDescent="0.25">
      <c r="A1214" t="s">
        <v>257</v>
      </c>
      <c r="B1214" t="s">
        <v>36</v>
      </c>
      <c r="C1214" t="s">
        <v>8</v>
      </c>
      <c r="D1214" t="s">
        <v>13</v>
      </c>
      <c r="F1214" s="5">
        <v>44172</v>
      </c>
      <c r="G1214" s="5">
        <v>44208</v>
      </c>
      <c r="H1214" s="2">
        <v>2</v>
      </c>
      <c r="I1214" s="6"/>
      <c r="J1214" s="6"/>
      <c r="K1214" s="7">
        <v>1.25</v>
      </c>
      <c r="L1214" s="7">
        <v>637.53</v>
      </c>
      <c r="M1214" t="s">
        <v>17</v>
      </c>
      <c r="N1214" s="9"/>
      <c r="O1214" s="8">
        <f t="array" ref="O1214">INDEX(TechRate,MATCH(H1214,TechNum,0))</f>
        <v>140</v>
      </c>
      <c r="P1214" s="10">
        <f>WorkOrders278[[#This Row],[Techs]]*(WorkOrders278[[#This Row],[PartsCost]]*WorkOrders278[[#This Row],[LbrHrs]])</f>
        <v>1593.8249999999998</v>
      </c>
      <c r="Q1214" s="10">
        <f t="shared" si="107"/>
        <v>1593.8249999999998</v>
      </c>
      <c r="R1214" s="10">
        <f t="shared" si="108"/>
        <v>637.53</v>
      </c>
      <c r="S1214" s="10">
        <f t="shared" si="109"/>
        <v>2231.3549999999996</v>
      </c>
      <c r="T1214" s="10">
        <f t="shared" si="110"/>
        <v>2231.3549999999996</v>
      </c>
      <c r="U1214" s="8" t="str">
        <f t="shared" si="111"/>
        <v>Mon</v>
      </c>
      <c r="V1214" s="8" t="str">
        <f t="shared" si="112"/>
        <v>Tue</v>
      </c>
    </row>
    <row r="1215" spans="1:22" hidden="1" x14ac:dyDescent="0.25">
      <c r="A1215" t="s">
        <v>258</v>
      </c>
      <c r="B1215" t="s">
        <v>34</v>
      </c>
      <c r="C1215" t="s">
        <v>8</v>
      </c>
      <c r="D1215" t="s">
        <v>13</v>
      </c>
      <c r="F1215" s="5">
        <v>44173</v>
      </c>
      <c r="G1215" s="5">
        <v>44180</v>
      </c>
      <c r="H1215" s="2">
        <v>2</v>
      </c>
      <c r="I1215" s="6"/>
      <c r="J1215" s="6"/>
      <c r="K1215" s="7">
        <v>3</v>
      </c>
      <c r="L1215" s="7">
        <v>21.33</v>
      </c>
      <c r="M1215" t="s">
        <v>17</v>
      </c>
      <c r="N1215" s="9"/>
      <c r="O1215" s="8">
        <f t="array" ref="O1215">INDEX(TechRate,MATCH(H1215,TechNum,0))</f>
        <v>140</v>
      </c>
      <c r="P1215" s="10">
        <f>WorkOrders278[[#This Row],[Techs]]*(WorkOrders278[[#This Row],[PartsCost]]*WorkOrders278[[#This Row],[LbrHrs]])</f>
        <v>127.97999999999999</v>
      </c>
      <c r="Q1215" s="10">
        <f t="shared" si="107"/>
        <v>127.97999999999999</v>
      </c>
      <c r="R1215" s="10">
        <f t="shared" si="108"/>
        <v>21.33</v>
      </c>
      <c r="S1215" s="10">
        <f t="shared" si="109"/>
        <v>149.31</v>
      </c>
      <c r="T1215" s="10">
        <f t="shared" si="110"/>
        <v>149.31</v>
      </c>
      <c r="U1215" s="8" t="str">
        <f t="shared" si="111"/>
        <v>Tue</v>
      </c>
      <c r="V1215" s="8" t="str">
        <f t="shared" si="112"/>
        <v>Tue</v>
      </c>
    </row>
    <row r="1216" spans="1:22" hidden="1" x14ac:dyDescent="0.25">
      <c r="A1216" t="s">
        <v>259</v>
      </c>
      <c r="B1216" t="s">
        <v>38</v>
      </c>
      <c r="C1216" t="s">
        <v>44</v>
      </c>
      <c r="D1216" t="s">
        <v>13</v>
      </c>
      <c r="F1216" s="5">
        <v>44173</v>
      </c>
      <c r="G1216" s="5">
        <v>44181</v>
      </c>
      <c r="H1216" s="2">
        <v>2</v>
      </c>
      <c r="I1216" s="6"/>
      <c r="J1216" s="6"/>
      <c r="K1216" s="7">
        <v>1.5</v>
      </c>
      <c r="L1216" s="7">
        <v>318.72519999999997</v>
      </c>
      <c r="M1216" t="s">
        <v>17</v>
      </c>
      <c r="N1216" s="9"/>
      <c r="O1216" s="8">
        <f t="array" ref="O1216">INDEX(TechRate,MATCH(H1216,TechNum,0))</f>
        <v>140</v>
      </c>
      <c r="P1216" s="10">
        <f>WorkOrders278[[#This Row],[Techs]]*(WorkOrders278[[#This Row],[PartsCost]]*WorkOrders278[[#This Row],[LbrHrs]])</f>
        <v>956.17559999999992</v>
      </c>
      <c r="Q1216" s="10">
        <f t="shared" si="107"/>
        <v>956.17559999999992</v>
      </c>
      <c r="R1216" s="10">
        <f t="shared" si="108"/>
        <v>318.72519999999997</v>
      </c>
      <c r="S1216" s="10">
        <f t="shared" si="109"/>
        <v>1274.9007999999999</v>
      </c>
      <c r="T1216" s="10">
        <f t="shared" si="110"/>
        <v>1274.9007999999999</v>
      </c>
      <c r="U1216" s="8" t="str">
        <f t="shared" si="111"/>
        <v>Tue</v>
      </c>
      <c r="V1216" s="8" t="str">
        <f t="shared" si="112"/>
        <v>Wed</v>
      </c>
    </row>
    <row r="1217" spans="1:22" hidden="1" x14ac:dyDescent="0.25">
      <c r="A1217" t="s">
        <v>260</v>
      </c>
      <c r="B1217" t="s">
        <v>35</v>
      </c>
      <c r="C1217" t="s">
        <v>44</v>
      </c>
      <c r="D1217" t="s">
        <v>13</v>
      </c>
      <c r="E1217" t="s">
        <v>3</v>
      </c>
      <c r="F1217" s="5">
        <v>44173</v>
      </c>
      <c r="G1217" s="5">
        <v>44239</v>
      </c>
      <c r="H1217" s="2">
        <v>2</v>
      </c>
      <c r="I1217" s="6"/>
      <c r="J1217" s="6"/>
      <c r="K1217" s="7">
        <v>0.75</v>
      </c>
      <c r="L1217" s="7">
        <v>35.450000000000003</v>
      </c>
      <c r="M1217" t="s">
        <v>17</v>
      </c>
      <c r="N1217" s="9"/>
      <c r="O1217" s="8">
        <f t="array" ref="O1217">INDEX(TechRate,MATCH(H1217,TechNum,0))</f>
        <v>140</v>
      </c>
      <c r="P1217" s="10">
        <f>WorkOrders278[[#This Row],[Techs]]*(WorkOrders278[[#This Row],[PartsCost]]*WorkOrders278[[#This Row],[LbrHrs]])</f>
        <v>53.175000000000004</v>
      </c>
      <c r="Q1217" s="10">
        <f t="shared" si="107"/>
        <v>53.175000000000004</v>
      </c>
      <c r="R1217" s="10">
        <f t="shared" si="108"/>
        <v>35.450000000000003</v>
      </c>
      <c r="S1217" s="10">
        <f t="shared" si="109"/>
        <v>88.625</v>
      </c>
      <c r="T1217" s="10">
        <f t="shared" si="110"/>
        <v>88.625</v>
      </c>
      <c r="U1217" s="8" t="str">
        <f t="shared" si="111"/>
        <v>Tue</v>
      </c>
      <c r="V1217" s="8" t="str">
        <f t="shared" si="112"/>
        <v>Fri</v>
      </c>
    </row>
    <row r="1218" spans="1:22" hidden="1" x14ac:dyDescent="0.25">
      <c r="A1218" t="s">
        <v>261</v>
      </c>
      <c r="B1218" t="s">
        <v>37</v>
      </c>
      <c r="C1218" t="s">
        <v>43</v>
      </c>
      <c r="D1218" t="s">
        <v>1</v>
      </c>
      <c r="F1218" s="5">
        <v>44174</v>
      </c>
      <c r="G1218" s="5">
        <v>44182</v>
      </c>
      <c r="H1218" s="2">
        <v>1</v>
      </c>
      <c r="I1218" s="6"/>
      <c r="J1218" s="6"/>
      <c r="K1218" s="7">
        <v>1.75</v>
      </c>
      <c r="L1218" s="7">
        <v>131.30000000000001</v>
      </c>
      <c r="M1218" t="s">
        <v>19</v>
      </c>
      <c r="N1218" s="9"/>
      <c r="O1218" s="8">
        <f t="array" ref="O1218">INDEX(TechRate,MATCH(H1218,TechNum,0))</f>
        <v>80</v>
      </c>
      <c r="P1218" s="10">
        <f>WorkOrders278[[#This Row],[Techs]]*(WorkOrders278[[#This Row],[PartsCost]]*WorkOrders278[[#This Row],[LbrHrs]])</f>
        <v>229.77500000000003</v>
      </c>
      <c r="Q1218" s="10">
        <f t="shared" si="107"/>
        <v>229.77500000000003</v>
      </c>
      <c r="R1218" s="10">
        <f t="shared" si="108"/>
        <v>131.30000000000001</v>
      </c>
      <c r="S1218" s="10">
        <f t="shared" si="109"/>
        <v>361.07500000000005</v>
      </c>
      <c r="T1218" s="10">
        <f t="shared" si="110"/>
        <v>361.07500000000005</v>
      </c>
      <c r="U1218" s="8" t="str">
        <f t="shared" si="111"/>
        <v>Wed</v>
      </c>
      <c r="V1218" s="8" t="str">
        <f t="shared" si="112"/>
        <v>Thu</v>
      </c>
    </row>
    <row r="1219" spans="1:22" hidden="1" x14ac:dyDescent="0.25">
      <c r="A1219" t="s">
        <v>262</v>
      </c>
      <c r="B1219" t="s">
        <v>35</v>
      </c>
      <c r="C1219" t="s">
        <v>44</v>
      </c>
      <c r="D1219" t="s">
        <v>11</v>
      </c>
      <c r="F1219" s="5">
        <v>44174</v>
      </c>
      <c r="G1219" s="5">
        <v>44207</v>
      </c>
      <c r="H1219" s="2">
        <v>1</v>
      </c>
      <c r="I1219" s="6"/>
      <c r="J1219" s="6"/>
      <c r="K1219" s="7">
        <v>0.25</v>
      </c>
      <c r="L1219" s="7">
        <v>37.262799999999999</v>
      </c>
      <c r="M1219" t="s">
        <v>18</v>
      </c>
      <c r="N1219" s="9"/>
      <c r="O1219" s="8">
        <f t="array" ref="O1219">INDEX(TechRate,MATCH(H1219,TechNum,0))</f>
        <v>80</v>
      </c>
      <c r="P1219" s="10">
        <f>WorkOrders278[[#This Row],[Techs]]*(WorkOrders278[[#This Row],[PartsCost]]*WorkOrders278[[#This Row],[LbrHrs]])</f>
        <v>9.3156999999999996</v>
      </c>
      <c r="Q1219" s="10">
        <f t="shared" si="107"/>
        <v>9.3156999999999996</v>
      </c>
      <c r="R1219" s="10">
        <f t="shared" si="108"/>
        <v>37.262799999999999</v>
      </c>
      <c r="S1219" s="10">
        <f t="shared" si="109"/>
        <v>46.578499999999998</v>
      </c>
      <c r="T1219" s="10">
        <f t="shared" si="110"/>
        <v>46.578499999999998</v>
      </c>
      <c r="U1219" s="8" t="str">
        <f t="shared" si="111"/>
        <v>Wed</v>
      </c>
      <c r="V1219" s="8" t="str">
        <f t="shared" si="112"/>
        <v>Mon</v>
      </c>
    </row>
    <row r="1220" spans="1:22" hidden="1" x14ac:dyDescent="0.25">
      <c r="A1220" t="s">
        <v>263</v>
      </c>
      <c r="B1220" t="s">
        <v>41</v>
      </c>
      <c r="C1220" t="s">
        <v>6</v>
      </c>
      <c r="D1220" t="s">
        <v>1</v>
      </c>
      <c r="F1220" s="5">
        <v>44174</v>
      </c>
      <c r="G1220" s="5">
        <v>44208</v>
      </c>
      <c r="H1220" s="2">
        <v>2</v>
      </c>
      <c r="I1220" s="6"/>
      <c r="J1220" s="6"/>
      <c r="K1220" s="7">
        <v>3</v>
      </c>
      <c r="L1220" s="7">
        <v>1193.7465999999999</v>
      </c>
      <c r="M1220" t="s">
        <v>18</v>
      </c>
      <c r="N1220" s="9"/>
      <c r="O1220" s="8">
        <f t="array" ref="O1220">INDEX(TechRate,MATCH(H1220,TechNum,0))</f>
        <v>140</v>
      </c>
      <c r="P1220" s="10">
        <f>WorkOrders278[[#This Row],[Techs]]*(WorkOrders278[[#This Row],[PartsCost]]*WorkOrders278[[#This Row],[LbrHrs]])</f>
        <v>7162.4795999999997</v>
      </c>
      <c r="Q1220" s="10">
        <f t="shared" si="107"/>
        <v>7162.4795999999997</v>
      </c>
      <c r="R1220" s="10">
        <f t="shared" si="108"/>
        <v>1193.7465999999999</v>
      </c>
      <c r="S1220" s="10">
        <f t="shared" si="109"/>
        <v>8356.2261999999992</v>
      </c>
      <c r="T1220" s="10">
        <f t="shared" si="110"/>
        <v>8356.2261999999992</v>
      </c>
      <c r="U1220" s="8" t="str">
        <f t="shared" si="111"/>
        <v>Wed</v>
      </c>
      <c r="V1220" s="8" t="str">
        <f t="shared" si="112"/>
        <v>Tue</v>
      </c>
    </row>
    <row r="1221" spans="1:22" hidden="1" x14ac:dyDescent="0.25">
      <c r="A1221" t="s">
        <v>264</v>
      </c>
      <c r="B1221" t="s">
        <v>39</v>
      </c>
      <c r="C1221" t="s">
        <v>6</v>
      </c>
      <c r="D1221" t="s">
        <v>13</v>
      </c>
      <c r="E1221" t="s">
        <v>3</v>
      </c>
      <c r="F1221" s="5">
        <v>44175</v>
      </c>
      <c r="G1221" s="5">
        <v>44179</v>
      </c>
      <c r="H1221" s="2">
        <v>1</v>
      </c>
      <c r="I1221" s="6"/>
      <c r="J1221" s="6"/>
      <c r="K1221" s="7">
        <v>0.5</v>
      </c>
      <c r="L1221" s="7">
        <v>250.42240000000001</v>
      </c>
      <c r="M1221" t="s">
        <v>18</v>
      </c>
      <c r="N1221" s="9"/>
      <c r="O1221" s="8">
        <f t="array" ref="O1221">INDEX(TechRate,MATCH(H1221,TechNum,0))</f>
        <v>80</v>
      </c>
      <c r="P1221" s="10">
        <f>WorkOrders278[[#This Row],[Techs]]*(WorkOrders278[[#This Row],[PartsCost]]*WorkOrders278[[#This Row],[LbrHrs]])</f>
        <v>125.21120000000001</v>
      </c>
      <c r="Q1221" s="10">
        <f t="shared" si="107"/>
        <v>125.21120000000001</v>
      </c>
      <c r="R1221" s="10">
        <f t="shared" si="108"/>
        <v>250.42240000000001</v>
      </c>
      <c r="S1221" s="10">
        <f t="shared" si="109"/>
        <v>375.6336</v>
      </c>
      <c r="T1221" s="10">
        <f t="shared" si="110"/>
        <v>375.6336</v>
      </c>
      <c r="U1221" s="8" t="str">
        <f t="shared" si="111"/>
        <v>Thu</v>
      </c>
      <c r="V1221" s="8" t="str">
        <f t="shared" si="112"/>
        <v>Mon</v>
      </c>
    </row>
    <row r="1222" spans="1:22" hidden="1" x14ac:dyDescent="0.25">
      <c r="A1222" t="s">
        <v>265</v>
      </c>
      <c r="B1222" t="s">
        <v>37</v>
      </c>
      <c r="C1222" t="s">
        <v>43</v>
      </c>
      <c r="D1222" t="s">
        <v>11</v>
      </c>
      <c r="F1222" s="5">
        <v>44175</v>
      </c>
      <c r="G1222" s="5">
        <v>44203</v>
      </c>
      <c r="H1222" s="2">
        <v>1</v>
      </c>
      <c r="I1222" s="6"/>
      <c r="J1222" s="6"/>
      <c r="K1222" s="7">
        <v>0.25</v>
      </c>
      <c r="L1222" s="7">
        <v>67.703999999999994</v>
      </c>
      <c r="M1222" t="s">
        <v>19</v>
      </c>
      <c r="N1222" s="9"/>
      <c r="O1222" s="8">
        <f t="array" ref="O1222">INDEX(TechRate,MATCH(H1222,TechNum,0))</f>
        <v>80</v>
      </c>
      <c r="P1222" s="10">
        <f>WorkOrders278[[#This Row],[Techs]]*(WorkOrders278[[#This Row],[PartsCost]]*WorkOrders278[[#This Row],[LbrHrs]])</f>
        <v>16.925999999999998</v>
      </c>
      <c r="Q1222" s="10">
        <f t="shared" si="107"/>
        <v>16.925999999999998</v>
      </c>
      <c r="R1222" s="10">
        <f t="shared" si="108"/>
        <v>67.703999999999994</v>
      </c>
      <c r="S1222" s="10">
        <f t="shared" si="109"/>
        <v>84.63</v>
      </c>
      <c r="T1222" s="10">
        <f t="shared" si="110"/>
        <v>84.63</v>
      </c>
      <c r="U1222" s="8" t="str">
        <f t="shared" si="111"/>
        <v>Thu</v>
      </c>
      <c r="V1222" s="8" t="str">
        <f t="shared" si="112"/>
        <v>Thu</v>
      </c>
    </row>
    <row r="1223" spans="1:22" hidden="1" x14ac:dyDescent="0.25">
      <c r="A1223" t="s">
        <v>266</v>
      </c>
      <c r="B1223" t="s">
        <v>34</v>
      </c>
      <c r="C1223" t="s">
        <v>9</v>
      </c>
      <c r="D1223" t="s">
        <v>1</v>
      </c>
      <c r="F1223" s="5">
        <v>44175</v>
      </c>
      <c r="G1223" s="5">
        <v>44203</v>
      </c>
      <c r="H1223" s="2">
        <v>2</v>
      </c>
      <c r="I1223" s="6"/>
      <c r="J1223" s="6"/>
      <c r="K1223" s="7">
        <v>1.25</v>
      </c>
      <c r="L1223" s="7">
        <v>58.238999999999997</v>
      </c>
      <c r="M1223" t="s">
        <v>17</v>
      </c>
      <c r="N1223" s="9"/>
      <c r="O1223" s="8">
        <f t="array" ref="O1223">INDEX(TechRate,MATCH(H1223,TechNum,0))</f>
        <v>140</v>
      </c>
      <c r="P1223" s="10">
        <f>WorkOrders278[[#This Row],[Techs]]*(WorkOrders278[[#This Row],[PartsCost]]*WorkOrders278[[#This Row],[LbrHrs]])</f>
        <v>145.5975</v>
      </c>
      <c r="Q1223" s="10">
        <f t="shared" si="107"/>
        <v>145.5975</v>
      </c>
      <c r="R1223" s="10">
        <f t="shared" si="108"/>
        <v>58.238999999999997</v>
      </c>
      <c r="S1223" s="10">
        <f t="shared" si="109"/>
        <v>203.8365</v>
      </c>
      <c r="T1223" s="10">
        <f t="shared" si="110"/>
        <v>203.8365</v>
      </c>
      <c r="U1223" s="8" t="str">
        <f t="shared" si="111"/>
        <v>Thu</v>
      </c>
      <c r="V1223" s="8" t="str">
        <f t="shared" si="112"/>
        <v>Thu</v>
      </c>
    </row>
    <row r="1224" spans="1:22" hidden="1" x14ac:dyDescent="0.25">
      <c r="A1224" t="s">
        <v>267</v>
      </c>
      <c r="B1224" t="s">
        <v>38</v>
      </c>
      <c r="C1224" t="s">
        <v>43</v>
      </c>
      <c r="D1224" t="s">
        <v>12</v>
      </c>
      <c r="F1224" s="5">
        <v>44175</v>
      </c>
      <c r="G1224" s="5">
        <v>44210</v>
      </c>
      <c r="H1224" s="2">
        <v>1</v>
      </c>
      <c r="I1224" s="6"/>
      <c r="J1224" s="6"/>
      <c r="K1224" s="7">
        <v>0.5</v>
      </c>
      <c r="L1224" s="7">
        <v>32.226999999999997</v>
      </c>
      <c r="M1224" t="s">
        <v>19</v>
      </c>
      <c r="N1224" s="9"/>
      <c r="O1224" s="8">
        <f t="array" ref="O1224">INDEX(TechRate,MATCH(H1224,TechNum,0))</f>
        <v>80</v>
      </c>
      <c r="P1224" s="10">
        <f>WorkOrders278[[#This Row],[Techs]]*(WorkOrders278[[#This Row],[PartsCost]]*WorkOrders278[[#This Row],[LbrHrs]])</f>
        <v>16.113499999999998</v>
      </c>
      <c r="Q1224" s="10">
        <f t="shared" si="107"/>
        <v>16.113499999999998</v>
      </c>
      <c r="R1224" s="10">
        <f t="shared" si="108"/>
        <v>32.226999999999997</v>
      </c>
      <c r="S1224" s="10">
        <f t="shared" si="109"/>
        <v>48.340499999999992</v>
      </c>
      <c r="T1224" s="10">
        <f t="shared" si="110"/>
        <v>48.340499999999992</v>
      </c>
      <c r="U1224" s="8" t="str">
        <f t="shared" si="111"/>
        <v>Thu</v>
      </c>
      <c r="V1224" s="8" t="str">
        <f t="shared" si="112"/>
        <v>Thu</v>
      </c>
    </row>
    <row r="1225" spans="1:22" hidden="1" x14ac:dyDescent="0.25">
      <c r="A1225" t="s">
        <v>268</v>
      </c>
      <c r="B1225" t="s">
        <v>34</v>
      </c>
      <c r="C1225" t="s">
        <v>8</v>
      </c>
      <c r="D1225" t="s">
        <v>13</v>
      </c>
      <c r="F1225" s="5">
        <v>44175</v>
      </c>
      <c r="G1225" s="5">
        <v>44219</v>
      </c>
      <c r="H1225" s="2">
        <v>1</v>
      </c>
      <c r="I1225" s="6"/>
      <c r="J1225" s="6"/>
      <c r="K1225" s="7">
        <v>2.25</v>
      </c>
      <c r="L1225" s="7">
        <v>180</v>
      </c>
      <c r="M1225" t="s">
        <v>17</v>
      </c>
      <c r="N1225" s="9"/>
      <c r="O1225" s="8">
        <f t="array" ref="O1225">INDEX(TechRate,MATCH(H1225,TechNum,0))</f>
        <v>80</v>
      </c>
      <c r="P1225" s="10">
        <f>WorkOrders278[[#This Row],[Techs]]*(WorkOrders278[[#This Row],[PartsCost]]*WorkOrders278[[#This Row],[LbrHrs]])</f>
        <v>405</v>
      </c>
      <c r="Q1225" s="10">
        <f t="shared" si="107"/>
        <v>405</v>
      </c>
      <c r="R1225" s="10">
        <f t="shared" si="108"/>
        <v>180</v>
      </c>
      <c r="S1225" s="10">
        <f t="shared" si="109"/>
        <v>585</v>
      </c>
      <c r="T1225" s="10">
        <f t="shared" si="110"/>
        <v>585</v>
      </c>
      <c r="U1225" s="8" t="str">
        <f t="shared" si="111"/>
        <v>Thu</v>
      </c>
      <c r="V1225" s="8" t="str">
        <f t="shared" si="112"/>
        <v>Sat</v>
      </c>
    </row>
    <row r="1226" spans="1:22" hidden="1" x14ac:dyDescent="0.25">
      <c r="A1226" t="s">
        <v>269</v>
      </c>
      <c r="B1226" t="s">
        <v>38</v>
      </c>
      <c r="C1226" t="s">
        <v>8</v>
      </c>
      <c r="D1226" t="s">
        <v>12</v>
      </c>
      <c r="E1226" t="s">
        <v>3</v>
      </c>
      <c r="F1226" s="5">
        <v>44177</v>
      </c>
      <c r="G1226" s="5">
        <v>44224</v>
      </c>
      <c r="H1226" s="2">
        <v>1</v>
      </c>
      <c r="I1226" s="6"/>
      <c r="J1226" s="6"/>
      <c r="K1226" s="7">
        <v>1</v>
      </c>
      <c r="L1226" s="7">
        <v>337.9237</v>
      </c>
      <c r="M1226" t="s">
        <v>17</v>
      </c>
      <c r="N1226" s="9"/>
      <c r="O1226" s="8">
        <f t="array" ref="O1226">INDEX(TechRate,MATCH(H1226,TechNum,0))</f>
        <v>80</v>
      </c>
      <c r="P1226" s="10">
        <f>WorkOrders278[[#This Row],[Techs]]*(WorkOrders278[[#This Row],[PartsCost]]*WorkOrders278[[#This Row],[LbrHrs]])</f>
        <v>337.9237</v>
      </c>
      <c r="Q1226" s="10">
        <f t="shared" si="107"/>
        <v>337.9237</v>
      </c>
      <c r="R1226" s="10">
        <f t="shared" si="108"/>
        <v>337.9237</v>
      </c>
      <c r="S1226" s="10">
        <f t="shared" si="109"/>
        <v>675.84739999999999</v>
      </c>
      <c r="T1226" s="10">
        <f t="shared" si="110"/>
        <v>675.84739999999999</v>
      </c>
      <c r="U1226" s="8" t="str">
        <f t="shared" si="111"/>
        <v>Sat</v>
      </c>
      <c r="V1226" s="8" t="str">
        <f t="shared" si="112"/>
        <v>Thu</v>
      </c>
    </row>
    <row r="1227" spans="1:22" hidden="1" x14ac:dyDescent="0.25">
      <c r="A1227" t="s">
        <v>270</v>
      </c>
      <c r="B1227" t="s">
        <v>35</v>
      </c>
      <c r="C1227" t="s">
        <v>6</v>
      </c>
      <c r="D1227" t="s">
        <v>12</v>
      </c>
      <c r="E1227" t="s">
        <v>3</v>
      </c>
      <c r="F1227" s="5">
        <v>44179</v>
      </c>
      <c r="G1227" s="5">
        <v>44180</v>
      </c>
      <c r="H1227" s="2">
        <v>1</v>
      </c>
      <c r="I1227" s="6"/>
      <c r="J1227" s="6"/>
      <c r="K1227" s="7">
        <v>0.75</v>
      </c>
      <c r="L1227" s="7">
        <v>63.99</v>
      </c>
      <c r="M1227" t="s">
        <v>17</v>
      </c>
      <c r="N1227" s="9"/>
      <c r="O1227" s="8">
        <f t="array" ref="O1227">INDEX(TechRate,MATCH(H1227,TechNum,0))</f>
        <v>80</v>
      </c>
      <c r="P1227" s="10">
        <f>WorkOrders278[[#This Row],[Techs]]*(WorkOrders278[[#This Row],[PartsCost]]*WorkOrders278[[#This Row],[LbrHrs]])</f>
        <v>47.9925</v>
      </c>
      <c r="Q1227" s="10">
        <f t="shared" si="107"/>
        <v>47.9925</v>
      </c>
      <c r="R1227" s="10">
        <f t="shared" si="108"/>
        <v>63.99</v>
      </c>
      <c r="S1227" s="10">
        <f t="shared" si="109"/>
        <v>111.9825</v>
      </c>
      <c r="T1227" s="10">
        <f t="shared" si="110"/>
        <v>111.9825</v>
      </c>
      <c r="U1227" s="8" t="str">
        <f t="shared" si="111"/>
        <v>Mon</v>
      </c>
      <c r="V1227" s="8" t="str">
        <f t="shared" si="112"/>
        <v>Tue</v>
      </c>
    </row>
    <row r="1228" spans="1:22" hidden="1" x14ac:dyDescent="0.25">
      <c r="A1228" t="s">
        <v>271</v>
      </c>
      <c r="B1228" t="s">
        <v>38</v>
      </c>
      <c r="C1228" t="s">
        <v>8</v>
      </c>
      <c r="D1228" t="s">
        <v>12</v>
      </c>
      <c r="F1228" s="5">
        <v>44179</v>
      </c>
      <c r="G1228" s="5">
        <v>44181</v>
      </c>
      <c r="H1228" s="2">
        <v>1</v>
      </c>
      <c r="I1228" s="6"/>
      <c r="J1228" s="6"/>
      <c r="K1228" s="7">
        <v>0.5</v>
      </c>
      <c r="L1228" s="7">
        <v>145.88999999999999</v>
      </c>
      <c r="M1228" t="s">
        <v>19</v>
      </c>
      <c r="N1228" s="9"/>
      <c r="O1228" s="8">
        <f t="array" ref="O1228">INDEX(TechRate,MATCH(H1228,TechNum,0))</f>
        <v>80</v>
      </c>
      <c r="P1228" s="10">
        <f>WorkOrders278[[#This Row],[Techs]]*(WorkOrders278[[#This Row],[PartsCost]]*WorkOrders278[[#This Row],[LbrHrs]])</f>
        <v>72.944999999999993</v>
      </c>
      <c r="Q1228" s="10">
        <f t="shared" si="107"/>
        <v>72.944999999999993</v>
      </c>
      <c r="R1228" s="10">
        <f t="shared" si="108"/>
        <v>145.88999999999999</v>
      </c>
      <c r="S1228" s="10">
        <f t="shared" si="109"/>
        <v>218.83499999999998</v>
      </c>
      <c r="T1228" s="10">
        <f t="shared" si="110"/>
        <v>218.83499999999998</v>
      </c>
      <c r="U1228" s="8" t="str">
        <f t="shared" si="111"/>
        <v>Mon</v>
      </c>
      <c r="V1228" s="8" t="str">
        <f t="shared" si="112"/>
        <v>Wed</v>
      </c>
    </row>
    <row r="1229" spans="1:22" hidden="1" x14ac:dyDescent="0.25">
      <c r="A1229" t="s">
        <v>272</v>
      </c>
      <c r="B1229" t="s">
        <v>38</v>
      </c>
      <c r="C1229" t="s">
        <v>8</v>
      </c>
      <c r="D1229" t="s">
        <v>11</v>
      </c>
      <c r="F1229" s="5">
        <v>44179</v>
      </c>
      <c r="G1229" s="5">
        <v>44200</v>
      </c>
      <c r="H1229" s="2">
        <v>1</v>
      </c>
      <c r="I1229" s="6"/>
      <c r="J1229" s="6"/>
      <c r="K1229" s="7">
        <v>0.25</v>
      </c>
      <c r="L1229" s="7">
        <v>30</v>
      </c>
      <c r="M1229" t="s">
        <v>19</v>
      </c>
      <c r="N1229" s="9"/>
      <c r="O1229" s="8">
        <f t="array" ref="O1229">INDEX(TechRate,MATCH(H1229,TechNum,0))</f>
        <v>80</v>
      </c>
      <c r="P1229" s="10">
        <f>WorkOrders278[[#This Row],[Techs]]*(WorkOrders278[[#This Row],[PartsCost]]*WorkOrders278[[#This Row],[LbrHrs]])</f>
        <v>7.5</v>
      </c>
      <c r="Q1229" s="10">
        <f t="shared" si="107"/>
        <v>7.5</v>
      </c>
      <c r="R1229" s="10">
        <f t="shared" si="108"/>
        <v>30</v>
      </c>
      <c r="S1229" s="10">
        <f t="shared" si="109"/>
        <v>37.5</v>
      </c>
      <c r="T1229" s="10">
        <f t="shared" si="110"/>
        <v>37.5</v>
      </c>
      <c r="U1229" s="8" t="str">
        <f t="shared" si="111"/>
        <v>Mon</v>
      </c>
      <c r="V1229" s="8" t="str">
        <f t="shared" si="112"/>
        <v>Mon</v>
      </c>
    </row>
    <row r="1230" spans="1:22" hidden="1" x14ac:dyDescent="0.25">
      <c r="A1230" t="s">
        <v>273</v>
      </c>
      <c r="B1230" t="s">
        <v>38</v>
      </c>
      <c r="C1230" t="s">
        <v>8</v>
      </c>
      <c r="D1230" t="s">
        <v>13</v>
      </c>
      <c r="F1230" s="5">
        <v>44179</v>
      </c>
      <c r="G1230" s="5">
        <v>44200</v>
      </c>
      <c r="H1230" s="2">
        <v>1</v>
      </c>
      <c r="I1230" s="6"/>
      <c r="J1230" s="6"/>
      <c r="K1230" s="7">
        <v>0.5</v>
      </c>
      <c r="L1230" s="7">
        <v>57.098199999999999</v>
      </c>
      <c r="M1230" t="s">
        <v>17</v>
      </c>
      <c r="N1230" s="9"/>
      <c r="O1230" s="8">
        <f t="array" ref="O1230">INDEX(TechRate,MATCH(H1230,TechNum,0))</f>
        <v>80</v>
      </c>
      <c r="P1230" s="10">
        <f>WorkOrders278[[#This Row],[Techs]]*(WorkOrders278[[#This Row],[PartsCost]]*WorkOrders278[[#This Row],[LbrHrs]])</f>
        <v>28.549099999999999</v>
      </c>
      <c r="Q1230" s="10">
        <f t="shared" si="107"/>
        <v>28.549099999999999</v>
      </c>
      <c r="R1230" s="10">
        <f t="shared" si="108"/>
        <v>57.098199999999999</v>
      </c>
      <c r="S1230" s="10">
        <f t="shared" si="109"/>
        <v>85.647300000000001</v>
      </c>
      <c r="T1230" s="10">
        <f t="shared" si="110"/>
        <v>85.647300000000001</v>
      </c>
      <c r="U1230" s="8" t="str">
        <f t="shared" si="111"/>
        <v>Mon</v>
      </c>
      <c r="V1230" s="8" t="str">
        <f t="shared" si="112"/>
        <v>Mon</v>
      </c>
    </row>
    <row r="1231" spans="1:22" hidden="1" x14ac:dyDescent="0.25">
      <c r="A1231" t="s">
        <v>274</v>
      </c>
      <c r="B1231" t="s">
        <v>36</v>
      </c>
      <c r="C1231" t="s">
        <v>8</v>
      </c>
      <c r="D1231" t="s">
        <v>1</v>
      </c>
      <c r="F1231" s="5">
        <v>44179</v>
      </c>
      <c r="G1231" s="5">
        <v>44209</v>
      </c>
      <c r="H1231" s="2">
        <v>2</v>
      </c>
      <c r="I1231" s="6"/>
      <c r="J1231" s="6"/>
      <c r="K1231" s="7">
        <v>3.5</v>
      </c>
      <c r="L1231" s="7">
        <v>262.44</v>
      </c>
      <c r="M1231" t="s">
        <v>17</v>
      </c>
      <c r="N1231" s="9"/>
      <c r="O1231" s="8">
        <f t="array" ref="O1231">INDEX(TechRate,MATCH(H1231,TechNum,0))</f>
        <v>140</v>
      </c>
      <c r="P1231" s="10">
        <f>WorkOrders278[[#This Row],[Techs]]*(WorkOrders278[[#This Row],[PartsCost]]*WorkOrders278[[#This Row],[LbrHrs]])</f>
        <v>1837.08</v>
      </c>
      <c r="Q1231" s="10">
        <f t="shared" si="107"/>
        <v>1837.08</v>
      </c>
      <c r="R1231" s="10">
        <f t="shared" si="108"/>
        <v>262.44</v>
      </c>
      <c r="S1231" s="10">
        <f t="shared" si="109"/>
        <v>2099.52</v>
      </c>
      <c r="T1231" s="10">
        <f t="shared" si="110"/>
        <v>2099.52</v>
      </c>
      <c r="U1231" s="8" t="str">
        <f t="shared" si="111"/>
        <v>Mon</v>
      </c>
      <c r="V1231" s="8" t="str">
        <f t="shared" si="112"/>
        <v>Wed</v>
      </c>
    </row>
    <row r="1232" spans="1:22" hidden="1" x14ac:dyDescent="0.25">
      <c r="A1232" t="s">
        <v>275</v>
      </c>
      <c r="B1232" t="s">
        <v>38</v>
      </c>
      <c r="C1232" t="s">
        <v>8</v>
      </c>
      <c r="D1232" t="s">
        <v>12</v>
      </c>
      <c r="F1232" s="5">
        <v>44179</v>
      </c>
      <c r="G1232" s="5">
        <v>44215</v>
      </c>
      <c r="H1232" s="2">
        <v>1</v>
      </c>
      <c r="I1232" s="6"/>
      <c r="J1232" s="6"/>
      <c r="K1232" s="7">
        <v>0.5</v>
      </c>
      <c r="L1232" s="7">
        <v>21.33</v>
      </c>
      <c r="M1232" t="s">
        <v>19</v>
      </c>
      <c r="N1232" s="9"/>
      <c r="O1232" s="8">
        <f t="array" ref="O1232">INDEX(TechRate,MATCH(H1232,TechNum,0))</f>
        <v>80</v>
      </c>
      <c r="P1232" s="10">
        <f>WorkOrders278[[#This Row],[Techs]]*(WorkOrders278[[#This Row],[PartsCost]]*WorkOrders278[[#This Row],[LbrHrs]])</f>
        <v>10.664999999999999</v>
      </c>
      <c r="Q1232" s="10">
        <f t="shared" si="107"/>
        <v>10.664999999999999</v>
      </c>
      <c r="R1232" s="10">
        <f t="shared" si="108"/>
        <v>21.33</v>
      </c>
      <c r="S1232" s="10">
        <f t="shared" si="109"/>
        <v>31.994999999999997</v>
      </c>
      <c r="T1232" s="10">
        <f t="shared" si="110"/>
        <v>31.994999999999997</v>
      </c>
      <c r="U1232" s="8" t="str">
        <f t="shared" si="111"/>
        <v>Mon</v>
      </c>
      <c r="V1232" s="8" t="str">
        <f t="shared" si="112"/>
        <v>Tue</v>
      </c>
    </row>
    <row r="1233" spans="1:22" hidden="1" x14ac:dyDescent="0.25">
      <c r="A1233" t="s">
        <v>276</v>
      </c>
      <c r="B1233" t="s">
        <v>37</v>
      </c>
      <c r="C1233" t="s">
        <v>43</v>
      </c>
      <c r="D1233" t="s">
        <v>2</v>
      </c>
      <c r="F1233" s="5">
        <v>44179</v>
      </c>
      <c r="G1233" s="5">
        <v>44320</v>
      </c>
      <c r="H1233" s="2">
        <v>1</v>
      </c>
      <c r="I1233" s="6"/>
      <c r="J1233" s="6"/>
      <c r="K1233" s="7">
        <v>4</v>
      </c>
      <c r="L1233" s="7">
        <v>1769.625</v>
      </c>
      <c r="M1233" t="s">
        <v>19</v>
      </c>
      <c r="N1233" s="9"/>
      <c r="O1233" s="8">
        <f t="array" ref="O1233">INDEX(TechRate,MATCH(H1233,TechNum,0))</f>
        <v>80</v>
      </c>
      <c r="P1233" s="10">
        <f>WorkOrders278[[#This Row],[Techs]]*(WorkOrders278[[#This Row],[PartsCost]]*WorkOrders278[[#This Row],[LbrHrs]])</f>
        <v>7078.5</v>
      </c>
      <c r="Q1233" s="10">
        <f t="shared" si="107"/>
        <v>7078.5</v>
      </c>
      <c r="R1233" s="10">
        <f t="shared" si="108"/>
        <v>1769.625</v>
      </c>
      <c r="S1233" s="10">
        <f t="shared" si="109"/>
        <v>8848.125</v>
      </c>
      <c r="T1233" s="10">
        <f t="shared" si="110"/>
        <v>8848.125</v>
      </c>
      <c r="U1233" s="8" t="str">
        <f t="shared" si="111"/>
        <v>Mon</v>
      </c>
      <c r="V1233" s="8" t="str">
        <f t="shared" si="112"/>
        <v>Tue</v>
      </c>
    </row>
    <row r="1234" spans="1:22" hidden="1" x14ac:dyDescent="0.25">
      <c r="A1234" t="s">
        <v>277</v>
      </c>
      <c r="B1234" t="s">
        <v>37</v>
      </c>
      <c r="C1234" t="s">
        <v>43</v>
      </c>
      <c r="D1234" t="s">
        <v>13</v>
      </c>
      <c r="F1234" s="5">
        <v>44180</v>
      </c>
      <c r="G1234" s="5">
        <v>44209</v>
      </c>
      <c r="H1234" s="2">
        <v>1</v>
      </c>
      <c r="I1234" s="6"/>
      <c r="J1234" s="6"/>
      <c r="K1234" s="7">
        <v>0.75</v>
      </c>
      <c r="L1234" s="7">
        <v>82.875</v>
      </c>
      <c r="M1234" t="s">
        <v>19</v>
      </c>
      <c r="N1234" s="9"/>
      <c r="O1234" s="8">
        <f t="array" ref="O1234">INDEX(TechRate,MATCH(H1234,TechNum,0))</f>
        <v>80</v>
      </c>
      <c r="P1234" s="10">
        <f>WorkOrders278[[#This Row],[Techs]]*(WorkOrders278[[#This Row],[PartsCost]]*WorkOrders278[[#This Row],[LbrHrs]])</f>
        <v>62.15625</v>
      </c>
      <c r="Q1234" s="10">
        <f t="shared" si="107"/>
        <v>62.15625</v>
      </c>
      <c r="R1234" s="10">
        <f t="shared" si="108"/>
        <v>82.875</v>
      </c>
      <c r="S1234" s="10">
        <f t="shared" si="109"/>
        <v>145.03125</v>
      </c>
      <c r="T1234" s="10">
        <f t="shared" si="110"/>
        <v>145.03125</v>
      </c>
      <c r="U1234" s="8" t="str">
        <f t="shared" si="111"/>
        <v>Tue</v>
      </c>
      <c r="V1234" s="8" t="str">
        <f t="shared" si="112"/>
        <v>Wed</v>
      </c>
    </row>
    <row r="1235" spans="1:22" hidden="1" x14ac:dyDescent="0.25">
      <c r="A1235" t="s">
        <v>278</v>
      </c>
      <c r="B1235" t="s">
        <v>34</v>
      </c>
      <c r="C1235" t="s">
        <v>6</v>
      </c>
      <c r="D1235" t="s">
        <v>12</v>
      </c>
      <c r="F1235" s="5">
        <v>44180</v>
      </c>
      <c r="G1235" s="5">
        <v>44221</v>
      </c>
      <c r="H1235" s="2">
        <v>2</v>
      </c>
      <c r="I1235" s="6"/>
      <c r="J1235" s="6"/>
      <c r="K1235" s="7">
        <v>0.75</v>
      </c>
      <c r="L1235" s="7">
        <v>2294</v>
      </c>
      <c r="M1235" t="s">
        <v>17</v>
      </c>
      <c r="N1235" s="9"/>
      <c r="O1235" s="8">
        <f t="array" ref="O1235">INDEX(TechRate,MATCH(H1235,TechNum,0))</f>
        <v>140</v>
      </c>
      <c r="P1235" s="10">
        <f>WorkOrders278[[#This Row],[Techs]]*(WorkOrders278[[#This Row],[PartsCost]]*WorkOrders278[[#This Row],[LbrHrs]])</f>
        <v>3441</v>
      </c>
      <c r="Q1235" s="10">
        <f t="shared" si="107"/>
        <v>3441</v>
      </c>
      <c r="R1235" s="10">
        <f t="shared" si="108"/>
        <v>2294</v>
      </c>
      <c r="S1235" s="10">
        <f t="shared" si="109"/>
        <v>5735</v>
      </c>
      <c r="T1235" s="10">
        <f t="shared" si="110"/>
        <v>5735</v>
      </c>
      <c r="U1235" s="8" t="str">
        <f t="shared" si="111"/>
        <v>Tue</v>
      </c>
      <c r="V1235" s="8" t="str">
        <f t="shared" si="112"/>
        <v>Mon</v>
      </c>
    </row>
    <row r="1236" spans="1:22" hidden="1" x14ac:dyDescent="0.25">
      <c r="A1236" t="s">
        <v>279</v>
      </c>
      <c r="B1236" t="s">
        <v>39</v>
      </c>
      <c r="C1236" t="s">
        <v>8</v>
      </c>
      <c r="D1236" t="s">
        <v>12</v>
      </c>
      <c r="F1236" s="5">
        <v>44181</v>
      </c>
      <c r="G1236" s="5">
        <v>44188</v>
      </c>
      <c r="H1236" s="2">
        <v>1</v>
      </c>
      <c r="I1236" s="6"/>
      <c r="J1236" s="6"/>
      <c r="K1236" s="7">
        <v>1</v>
      </c>
      <c r="L1236" s="7">
        <v>348.7432</v>
      </c>
      <c r="M1236" t="s">
        <v>17</v>
      </c>
      <c r="N1236" s="9"/>
      <c r="O1236" s="8">
        <f t="array" ref="O1236">INDEX(TechRate,MATCH(H1236,TechNum,0))</f>
        <v>80</v>
      </c>
      <c r="P1236" s="10">
        <f>WorkOrders278[[#This Row],[Techs]]*(WorkOrders278[[#This Row],[PartsCost]]*WorkOrders278[[#This Row],[LbrHrs]])</f>
        <v>348.7432</v>
      </c>
      <c r="Q1236" s="10">
        <f t="shared" si="107"/>
        <v>348.7432</v>
      </c>
      <c r="R1236" s="10">
        <f t="shared" si="108"/>
        <v>348.7432</v>
      </c>
      <c r="S1236" s="10">
        <f t="shared" si="109"/>
        <v>697.4864</v>
      </c>
      <c r="T1236" s="10">
        <f t="shared" si="110"/>
        <v>697.4864</v>
      </c>
      <c r="U1236" s="8" t="str">
        <f t="shared" si="111"/>
        <v>Wed</v>
      </c>
      <c r="V1236" s="8" t="str">
        <f t="shared" si="112"/>
        <v>Wed</v>
      </c>
    </row>
    <row r="1237" spans="1:22" hidden="1" x14ac:dyDescent="0.25">
      <c r="A1237" t="s">
        <v>280</v>
      </c>
      <c r="B1237" t="s">
        <v>37</v>
      </c>
      <c r="C1237" t="s">
        <v>43</v>
      </c>
      <c r="D1237" t="s">
        <v>12</v>
      </c>
      <c r="F1237" s="5">
        <v>44181</v>
      </c>
      <c r="G1237" s="5">
        <v>44210</v>
      </c>
      <c r="H1237" s="2">
        <v>1</v>
      </c>
      <c r="I1237" s="6"/>
      <c r="J1237" s="6"/>
      <c r="K1237" s="7">
        <v>0.25</v>
      </c>
      <c r="L1237" s="7">
        <v>140.4</v>
      </c>
      <c r="M1237" t="s">
        <v>17</v>
      </c>
      <c r="N1237" s="9"/>
      <c r="O1237" s="8">
        <f t="array" ref="O1237">INDEX(TechRate,MATCH(H1237,TechNum,0))</f>
        <v>80</v>
      </c>
      <c r="P1237" s="10">
        <f>WorkOrders278[[#This Row],[Techs]]*(WorkOrders278[[#This Row],[PartsCost]]*WorkOrders278[[#This Row],[LbrHrs]])</f>
        <v>35.1</v>
      </c>
      <c r="Q1237" s="10">
        <f t="shared" si="107"/>
        <v>35.1</v>
      </c>
      <c r="R1237" s="10">
        <f t="shared" si="108"/>
        <v>140.4</v>
      </c>
      <c r="S1237" s="10">
        <f t="shared" si="109"/>
        <v>175.5</v>
      </c>
      <c r="T1237" s="10">
        <f t="shared" si="110"/>
        <v>175.5</v>
      </c>
      <c r="U1237" s="8" t="str">
        <f t="shared" si="111"/>
        <v>Wed</v>
      </c>
      <c r="V1237" s="8" t="str">
        <f t="shared" si="112"/>
        <v>Thu</v>
      </c>
    </row>
    <row r="1238" spans="1:22" hidden="1" x14ac:dyDescent="0.25">
      <c r="A1238" t="s">
        <v>281</v>
      </c>
      <c r="B1238" t="s">
        <v>40</v>
      </c>
      <c r="C1238" t="s">
        <v>7</v>
      </c>
      <c r="D1238" t="s">
        <v>12</v>
      </c>
      <c r="F1238" s="5">
        <v>44181</v>
      </c>
      <c r="G1238" s="5">
        <v>44228</v>
      </c>
      <c r="H1238" s="2">
        <v>2</v>
      </c>
      <c r="I1238" s="6"/>
      <c r="J1238" s="6"/>
      <c r="K1238" s="7">
        <v>0.5</v>
      </c>
      <c r="L1238" s="7">
        <v>133.99780000000001</v>
      </c>
      <c r="M1238" t="s">
        <v>17</v>
      </c>
      <c r="N1238" s="9"/>
      <c r="O1238" s="8">
        <f t="array" ref="O1238">INDEX(TechRate,MATCH(H1238,TechNum,0))</f>
        <v>140</v>
      </c>
      <c r="P1238" s="10">
        <f>WorkOrders278[[#This Row],[Techs]]*(WorkOrders278[[#This Row],[PartsCost]]*WorkOrders278[[#This Row],[LbrHrs]])</f>
        <v>133.99780000000001</v>
      </c>
      <c r="Q1238" s="10">
        <f t="shared" si="107"/>
        <v>133.99780000000001</v>
      </c>
      <c r="R1238" s="10">
        <f t="shared" si="108"/>
        <v>133.99780000000001</v>
      </c>
      <c r="S1238" s="10">
        <f t="shared" si="109"/>
        <v>267.99560000000002</v>
      </c>
      <c r="T1238" s="10">
        <f t="shared" si="110"/>
        <v>267.99560000000002</v>
      </c>
      <c r="U1238" s="8" t="str">
        <f t="shared" si="111"/>
        <v>Wed</v>
      </c>
      <c r="V1238" s="8" t="str">
        <f t="shared" si="112"/>
        <v>Mon</v>
      </c>
    </row>
    <row r="1239" spans="1:22" hidden="1" x14ac:dyDescent="0.25">
      <c r="A1239" t="s">
        <v>282</v>
      </c>
      <c r="B1239" t="s">
        <v>35</v>
      </c>
      <c r="C1239" t="s">
        <v>9</v>
      </c>
      <c r="D1239" t="s">
        <v>2</v>
      </c>
      <c r="F1239" s="5">
        <v>44186</v>
      </c>
      <c r="G1239" s="5">
        <v>44222</v>
      </c>
      <c r="H1239" s="2">
        <v>2</v>
      </c>
      <c r="I1239" s="6"/>
      <c r="J1239" s="6"/>
      <c r="K1239" s="7">
        <v>1</v>
      </c>
      <c r="L1239" s="7">
        <v>305.63040000000001</v>
      </c>
      <c r="M1239" t="s">
        <v>17</v>
      </c>
      <c r="N1239" s="9"/>
      <c r="O1239" s="8">
        <f t="array" ref="O1239">INDEX(TechRate,MATCH(H1239,TechNum,0))</f>
        <v>140</v>
      </c>
      <c r="P1239" s="10">
        <f>WorkOrders278[[#This Row],[Techs]]*(WorkOrders278[[#This Row],[PartsCost]]*WorkOrders278[[#This Row],[LbrHrs]])</f>
        <v>611.26080000000002</v>
      </c>
      <c r="Q1239" s="10">
        <f t="shared" si="107"/>
        <v>611.26080000000002</v>
      </c>
      <c r="R1239" s="10">
        <f t="shared" si="108"/>
        <v>305.63040000000001</v>
      </c>
      <c r="S1239" s="10">
        <f t="shared" si="109"/>
        <v>916.89120000000003</v>
      </c>
      <c r="T1239" s="10">
        <f t="shared" si="110"/>
        <v>916.89120000000003</v>
      </c>
      <c r="U1239" s="8" t="str">
        <f t="shared" si="111"/>
        <v>Mon</v>
      </c>
      <c r="V1239" s="8" t="str">
        <f t="shared" si="112"/>
        <v>Tue</v>
      </c>
    </row>
    <row r="1240" spans="1:22" hidden="1" x14ac:dyDescent="0.25">
      <c r="A1240" t="s">
        <v>283</v>
      </c>
      <c r="B1240" t="s">
        <v>35</v>
      </c>
      <c r="C1240" t="s">
        <v>6</v>
      </c>
      <c r="D1240" t="s">
        <v>12</v>
      </c>
      <c r="E1240" t="s">
        <v>3</v>
      </c>
      <c r="F1240" s="5">
        <v>44200</v>
      </c>
      <c r="G1240" s="5">
        <v>44207</v>
      </c>
      <c r="H1240" s="2">
        <v>1</v>
      </c>
      <c r="I1240" s="6"/>
      <c r="J1240" s="6"/>
      <c r="K1240" s="7">
        <v>0.25</v>
      </c>
      <c r="L1240" s="7">
        <v>19.196999999999999</v>
      </c>
      <c r="M1240" t="s">
        <v>17</v>
      </c>
      <c r="N1240" s="9"/>
      <c r="O1240" s="8">
        <f t="array" ref="O1240">INDEX(TechRate,MATCH(H1240,TechNum,0))</f>
        <v>80</v>
      </c>
      <c r="P1240" s="10">
        <f>WorkOrders278[[#This Row],[Techs]]*(WorkOrders278[[#This Row],[PartsCost]]*WorkOrders278[[#This Row],[LbrHrs]])</f>
        <v>4.7992499999999998</v>
      </c>
      <c r="Q1240" s="10">
        <f t="shared" si="107"/>
        <v>4.7992499999999998</v>
      </c>
      <c r="R1240" s="10">
        <f t="shared" si="108"/>
        <v>19.196999999999999</v>
      </c>
      <c r="S1240" s="10">
        <f t="shared" si="109"/>
        <v>23.99625</v>
      </c>
      <c r="T1240" s="10">
        <f t="shared" si="110"/>
        <v>23.99625</v>
      </c>
      <c r="U1240" s="8" t="str">
        <f t="shared" si="111"/>
        <v>Mon</v>
      </c>
      <c r="V1240" s="8" t="str">
        <f t="shared" si="112"/>
        <v>Mon</v>
      </c>
    </row>
    <row r="1241" spans="1:22" hidden="1" x14ac:dyDescent="0.25">
      <c r="A1241" t="s">
        <v>284</v>
      </c>
      <c r="B1241" t="s">
        <v>37</v>
      </c>
      <c r="C1241" t="s">
        <v>43</v>
      </c>
      <c r="D1241" t="s">
        <v>12</v>
      </c>
      <c r="F1241" s="5">
        <v>44200</v>
      </c>
      <c r="G1241" s="5">
        <v>44209</v>
      </c>
      <c r="H1241" s="2">
        <v>1</v>
      </c>
      <c r="I1241" s="6"/>
      <c r="J1241" s="6"/>
      <c r="K1241" s="7">
        <v>0.5</v>
      </c>
      <c r="L1241" s="7">
        <v>18.524999999999999</v>
      </c>
      <c r="M1241" t="s">
        <v>19</v>
      </c>
      <c r="N1241" s="9"/>
      <c r="O1241" s="8">
        <f t="array" ref="O1241">INDEX(TechRate,MATCH(H1241,TechNum,0))</f>
        <v>80</v>
      </c>
      <c r="P1241" s="10">
        <f>WorkOrders278[[#This Row],[Techs]]*(WorkOrders278[[#This Row],[PartsCost]]*WorkOrders278[[#This Row],[LbrHrs]])</f>
        <v>9.2624999999999993</v>
      </c>
      <c r="Q1241" s="10">
        <f t="shared" si="107"/>
        <v>9.2624999999999993</v>
      </c>
      <c r="R1241" s="10">
        <f t="shared" si="108"/>
        <v>18.524999999999999</v>
      </c>
      <c r="S1241" s="10">
        <f t="shared" si="109"/>
        <v>27.787499999999998</v>
      </c>
      <c r="T1241" s="10">
        <f t="shared" si="110"/>
        <v>27.787499999999998</v>
      </c>
      <c r="U1241" s="8" t="str">
        <f t="shared" si="111"/>
        <v>Mon</v>
      </c>
      <c r="V1241" s="8" t="str">
        <f t="shared" si="112"/>
        <v>Wed</v>
      </c>
    </row>
    <row r="1242" spans="1:22" hidden="1" x14ac:dyDescent="0.25">
      <c r="A1242" t="s">
        <v>285</v>
      </c>
      <c r="B1242" t="s">
        <v>38</v>
      </c>
      <c r="C1242" t="s">
        <v>43</v>
      </c>
      <c r="D1242" t="s">
        <v>11</v>
      </c>
      <c r="F1242" s="5">
        <v>44200</v>
      </c>
      <c r="G1242" s="5">
        <v>44209</v>
      </c>
      <c r="H1242" s="2">
        <v>1</v>
      </c>
      <c r="I1242" s="6"/>
      <c r="J1242" s="6"/>
      <c r="K1242" s="7">
        <v>0.25</v>
      </c>
      <c r="L1242" s="7">
        <v>39</v>
      </c>
      <c r="M1242" t="s">
        <v>17</v>
      </c>
      <c r="N1242" s="9"/>
      <c r="O1242" s="8">
        <f t="array" ref="O1242">INDEX(TechRate,MATCH(H1242,TechNum,0))</f>
        <v>80</v>
      </c>
      <c r="P1242" s="10">
        <f>WorkOrders278[[#This Row],[Techs]]*(WorkOrders278[[#This Row],[PartsCost]]*WorkOrders278[[#This Row],[LbrHrs]])</f>
        <v>9.75</v>
      </c>
      <c r="Q1242" s="10">
        <f t="shared" si="107"/>
        <v>9.75</v>
      </c>
      <c r="R1242" s="10">
        <f t="shared" si="108"/>
        <v>39</v>
      </c>
      <c r="S1242" s="10">
        <f t="shared" si="109"/>
        <v>48.75</v>
      </c>
      <c r="T1242" s="10">
        <f t="shared" si="110"/>
        <v>48.75</v>
      </c>
      <c r="U1242" s="8" t="str">
        <f t="shared" si="111"/>
        <v>Mon</v>
      </c>
      <c r="V1242" s="8" t="str">
        <f t="shared" si="112"/>
        <v>Wed</v>
      </c>
    </row>
    <row r="1243" spans="1:22" hidden="1" x14ac:dyDescent="0.25">
      <c r="A1243" t="s">
        <v>286</v>
      </c>
      <c r="B1243" t="s">
        <v>37</v>
      </c>
      <c r="C1243" t="s">
        <v>43</v>
      </c>
      <c r="D1243" t="s">
        <v>12</v>
      </c>
      <c r="F1243" s="5">
        <v>44200</v>
      </c>
      <c r="G1243" s="5">
        <v>44210</v>
      </c>
      <c r="H1243" s="2">
        <v>2</v>
      </c>
      <c r="I1243" s="6"/>
      <c r="J1243" s="6"/>
      <c r="K1243" s="7">
        <v>0.25</v>
      </c>
      <c r="L1243" s="7">
        <v>36.503999999999998</v>
      </c>
      <c r="M1243" t="s">
        <v>19</v>
      </c>
      <c r="N1243" s="9"/>
      <c r="O1243" s="8">
        <f t="array" ref="O1243">INDEX(TechRate,MATCH(H1243,TechNum,0))</f>
        <v>140</v>
      </c>
      <c r="P1243" s="10">
        <f>WorkOrders278[[#This Row],[Techs]]*(WorkOrders278[[#This Row],[PartsCost]]*WorkOrders278[[#This Row],[LbrHrs]])</f>
        <v>18.251999999999999</v>
      </c>
      <c r="Q1243" s="10">
        <f t="shared" si="107"/>
        <v>18.251999999999999</v>
      </c>
      <c r="R1243" s="10">
        <f t="shared" si="108"/>
        <v>36.503999999999998</v>
      </c>
      <c r="S1243" s="10">
        <f t="shared" si="109"/>
        <v>54.756</v>
      </c>
      <c r="T1243" s="10">
        <f t="shared" si="110"/>
        <v>54.756</v>
      </c>
      <c r="U1243" s="8" t="str">
        <f t="shared" si="111"/>
        <v>Mon</v>
      </c>
      <c r="V1243" s="8" t="str">
        <f t="shared" si="112"/>
        <v>Thu</v>
      </c>
    </row>
    <row r="1244" spans="1:22" hidden="1" x14ac:dyDescent="0.25">
      <c r="A1244" t="s">
        <v>287</v>
      </c>
      <c r="B1244" t="s">
        <v>34</v>
      </c>
      <c r="C1244" t="s">
        <v>44</v>
      </c>
      <c r="D1244" t="s">
        <v>12</v>
      </c>
      <c r="F1244" s="5">
        <v>44200</v>
      </c>
      <c r="G1244" s="5">
        <v>44210</v>
      </c>
      <c r="H1244" s="2">
        <v>2</v>
      </c>
      <c r="I1244" s="6"/>
      <c r="J1244" s="6"/>
      <c r="K1244" s="7">
        <v>0.5</v>
      </c>
      <c r="L1244" s="7">
        <v>29.807400000000001</v>
      </c>
      <c r="M1244" t="s">
        <v>18</v>
      </c>
      <c r="N1244" s="9"/>
      <c r="O1244" s="8">
        <f t="array" ref="O1244">INDEX(TechRate,MATCH(H1244,TechNum,0))</f>
        <v>140</v>
      </c>
      <c r="P1244" s="10">
        <f>WorkOrders278[[#This Row],[Techs]]*(WorkOrders278[[#This Row],[PartsCost]]*WorkOrders278[[#This Row],[LbrHrs]])</f>
        <v>29.807400000000001</v>
      </c>
      <c r="Q1244" s="10">
        <f t="shared" si="107"/>
        <v>29.807400000000001</v>
      </c>
      <c r="R1244" s="10">
        <f t="shared" si="108"/>
        <v>29.807400000000001</v>
      </c>
      <c r="S1244" s="10">
        <f t="shared" si="109"/>
        <v>59.614800000000002</v>
      </c>
      <c r="T1244" s="10">
        <f t="shared" si="110"/>
        <v>59.614800000000002</v>
      </c>
      <c r="U1244" s="8" t="str">
        <f t="shared" si="111"/>
        <v>Mon</v>
      </c>
      <c r="V1244" s="8" t="str">
        <f t="shared" si="112"/>
        <v>Thu</v>
      </c>
    </row>
    <row r="1245" spans="1:22" hidden="1" x14ac:dyDescent="0.25">
      <c r="A1245" t="s">
        <v>288</v>
      </c>
      <c r="B1245" t="s">
        <v>34</v>
      </c>
      <c r="C1245" t="s">
        <v>6</v>
      </c>
      <c r="D1245" t="s">
        <v>12</v>
      </c>
      <c r="F1245" s="5">
        <v>44200</v>
      </c>
      <c r="G1245" s="5">
        <v>44210</v>
      </c>
      <c r="H1245" s="2">
        <v>1</v>
      </c>
      <c r="I1245" s="6"/>
      <c r="J1245" s="6"/>
      <c r="K1245" s="7">
        <v>0.25</v>
      </c>
      <c r="L1245" s="7">
        <v>43.02</v>
      </c>
      <c r="M1245" t="s">
        <v>17</v>
      </c>
      <c r="N1245" s="9"/>
      <c r="O1245" s="8">
        <f t="array" ref="O1245">INDEX(TechRate,MATCH(H1245,TechNum,0))</f>
        <v>80</v>
      </c>
      <c r="P1245" s="10">
        <f>WorkOrders278[[#This Row],[Techs]]*(WorkOrders278[[#This Row],[PartsCost]]*WorkOrders278[[#This Row],[LbrHrs]])</f>
        <v>10.755000000000001</v>
      </c>
      <c r="Q1245" s="10">
        <f t="shared" si="107"/>
        <v>10.755000000000001</v>
      </c>
      <c r="R1245" s="10">
        <f t="shared" si="108"/>
        <v>43.02</v>
      </c>
      <c r="S1245" s="10">
        <f t="shared" si="109"/>
        <v>53.775000000000006</v>
      </c>
      <c r="T1245" s="10">
        <f t="shared" si="110"/>
        <v>53.775000000000006</v>
      </c>
      <c r="U1245" s="8" t="str">
        <f t="shared" si="111"/>
        <v>Mon</v>
      </c>
      <c r="V1245" s="8" t="str">
        <f t="shared" si="112"/>
        <v>Thu</v>
      </c>
    </row>
    <row r="1246" spans="1:22" hidden="1" x14ac:dyDescent="0.25">
      <c r="A1246" t="s">
        <v>289</v>
      </c>
      <c r="B1246" t="s">
        <v>35</v>
      </c>
      <c r="C1246" t="s">
        <v>9</v>
      </c>
      <c r="D1246" t="s">
        <v>11</v>
      </c>
      <c r="F1246" s="5">
        <v>44200</v>
      </c>
      <c r="G1246" s="5">
        <v>44217</v>
      </c>
      <c r="H1246" s="2">
        <v>1</v>
      </c>
      <c r="I1246" s="6"/>
      <c r="J1246" s="6"/>
      <c r="K1246" s="7">
        <v>0.25</v>
      </c>
      <c r="L1246" s="7">
        <v>66.864900000000006</v>
      </c>
      <c r="M1246" t="s">
        <v>17</v>
      </c>
      <c r="N1246" s="9"/>
      <c r="O1246" s="8">
        <f t="array" ref="O1246">INDEX(TechRate,MATCH(H1246,TechNum,0))</f>
        <v>80</v>
      </c>
      <c r="P1246" s="10">
        <f>WorkOrders278[[#This Row],[Techs]]*(WorkOrders278[[#This Row],[PartsCost]]*WorkOrders278[[#This Row],[LbrHrs]])</f>
        <v>16.716225000000001</v>
      </c>
      <c r="Q1246" s="10">
        <f t="shared" si="107"/>
        <v>16.716225000000001</v>
      </c>
      <c r="R1246" s="10">
        <f t="shared" si="108"/>
        <v>66.864900000000006</v>
      </c>
      <c r="S1246" s="10">
        <f t="shared" si="109"/>
        <v>83.581125000000014</v>
      </c>
      <c r="T1246" s="10">
        <f t="shared" si="110"/>
        <v>83.581125000000014</v>
      </c>
      <c r="U1246" s="8" t="str">
        <f t="shared" si="111"/>
        <v>Mon</v>
      </c>
      <c r="V1246" s="8" t="str">
        <f t="shared" si="112"/>
        <v>Thu</v>
      </c>
    </row>
    <row r="1247" spans="1:22" hidden="1" x14ac:dyDescent="0.25">
      <c r="A1247" t="s">
        <v>290</v>
      </c>
      <c r="B1247" t="s">
        <v>35</v>
      </c>
      <c r="C1247" t="s">
        <v>9</v>
      </c>
      <c r="D1247" t="s">
        <v>13</v>
      </c>
      <c r="F1247" s="5">
        <v>44200</v>
      </c>
      <c r="G1247" s="5">
        <v>44238</v>
      </c>
      <c r="H1247" s="2">
        <v>1</v>
      </c>
      <c r="I1247" s="6"/>
      <c r="J1247" s="6"/>
      <c r="K1247" s="7">
        <v>0.75</v>
      </c>
      <c r="L1247" s="7">
        <v>408.56790000000001</v>
      </c>
      <c r="M1247" t="s">
        <v>17</v>
      </c>
      <c r="N1247" s="9"/>
      <c r="O1247" s="8">
        <f t="array" ref="O1247">INDEX(TechRate,MATCH(H1247,TechNum,0))</f>
        <v>80</v>
      </c>
      <c r="P1247" s="10">
        <f>WorkOrders278[[#This Row],[Techs]]*(WorkOrders278[[#This Row],[PartsCost]]*WorkOrders278[[#This Row],[LbrHrs]])</f>
        <v>306.42592500000001</v>
      </c>
      <c r="Q1247" s="10">
        <f t="shared" si="107"/>
        <v>306.42592500000001</v>
      </c>
      <c r="R1247" s="10">
        <f t="shared" si="108"/>
        <v>408.56790000000001</v>
      </c>
      <c r="S1247" s="10">
        <f t="shared" si="109"/>
        <v>714.99382500000002</v>
      </c>
      <c r="T1247" s="10">
        <f t="shared" si="110"/>
        <v>714.99382500000002</v>
      </c>
      <c r="U1247" s="8" t="str">
        <f t="shared" si="111"/>
        <v>Mon</v>
      </c>
      <c r="V1247" s="8" t="str">
        <f t="shared" si="112"/>
        <v>Thu</v>
      </c>
    </row>
    <row r="1248" spans="1:22" hidden="1" x14ac:dyDescent="0.25">
      <c r="A1248" t="s">
        <v>291</v>
      </c>
      <c r="B1248" t="s">
        <v>37</v>
      </c>
      <c r="C1248" t="s">
        <v>43</v>
      </c>
      <c r="D1248" t="s">
        <v>12</v>
      </c>
      <c r="F1248" s="5">
        <v>44201</v>
      </c>
      <c r="G1248" s="5">
        <v>44210</v>
      </c>
      <c r="H1248" s="2">
        <v>1</v>
      </c>
      <c r="I1248" s="6"/>
      <c r="J1248" s="6"/>
      <c r="K1248" s="7">
        <v>0.25</v>
      </c>
      <c r="L1248" s="7">
        <v>25.2486</v>
      </c>
      <c r="M1248" t="s">
        <v>19</v>
      </c>
      <c r="N1248" s="9"/>
      <c r="O1248" s="8">
        <f t="array" ref="O1248">INDEX(TechRate,MATCH(H1248,TechNum,0))</f>
        <v>80</v>
      </c>
      <c r="P1248" s="10">
        <f>WorkOrders278[[#This Row],[Techs]]*(WorkOrders278[[#This Row],[PartsCost]]*WorkOrders278[[#This Row],[LbrHrs]])</f>
        <v>6.3121499999999999</v>
      </c>
      <c r="Q1248" s="10">
        <f t="shared" si="107"/>
        <v>6.3121499999999999</v>
      </c>
      <c r="R1248" s="10">
        <f t="shared" si="108"/>
        <v>25.2486</v>
      </c>
      <c r="S1248" s="10">
        <f t="shared" si="109"/>
        <v>31.560749999999999</v>
      </c>
      <c r="T1248" s="10">
        <f t="shared" si="110"/>
        <v>31.560749999999999</v>
      </c>
      <c r="U1248" s="8" t="str">
        <f t="shared" si="111"/>
        <v>Tue</v>
      </c>
      <c r="V1248" s="8" t="str">
        <f t="shared" si="112"/>
        <v>Thu</v>
      </c>
    </row>
    <row r="1249" spans="1:22" hidden="1" x14ac:dyDescent="0.25">
      <c r="A1249" t="s">
        <v>292</v>
      </c>
      <c r="B1249" t="s">
        <v>34</v>
      </c>
      <c r="C1249" t="s">
        <v>44</v>
      </c>
      <c r="D1249" t="s">
        <v>13</v>
      </c>
      <c r="F1249" s="5">
        <v>44201</v>
      </c>
      <c r="G1249" s="5">
        <v>44221</v>
      </c>
      <c r="H1249" s="2">
        <v>1</v>
      </c>
      <c r="I1249" s="6"/>
      <c r="J1249" s="6"/>
      <c r="K1249" s="7">
        <v>1.25</v>
      </c>
      <c r="L1249" s="7">
        <v>646</v>
      </c>
      <c r="M1249" t="s">
        <v>17</v>
      </c>
      <c r="N1249" s="9"/>
      <c r="O1249" s="8">
        <f t="array" ref="O1249">INDEX(TechRate,MATCH(H1249,TechNum,0))</f>
        <v>80</v>
      </c>
      <c r="P1249" s="10">
        <f>WorkOrders278[[#This Row],[Techs]]*(WorkOrders278[[#This Row],[PartsCost]]*WorkOrders278[[#This Row],[LbrHrs]])</f>
        <v>807.5</v>
      </c>
      <c r="Q1249" s="10">
        <f t="shared" si="107"/>
        <v>807.5</v>
      </c>
      <c r="R1249" s="10">
        <f t="shared" si="108"/>
        <v>646</v>
      </c>
      <c r="S1249" s="10">
        <f t="shared" si="109"/>
        <v>1453.5</v>
      </c>
      <c r="T1249" s="10">
        <f t="shared" si="110"/>
        <v>1453.5</v>
      </c>
      <c r="U1249" s="8" t="str">
        <f t="shared" si="111"/>
        <v>Tue</v>
      </c>
      <c r="V1249" s="8" t="str">
        <f t="shared" si="112"/>
        <v>Mon</v>
      </c>
    </row>
    <row r="1250" spans="1:22" hidden="1" x14ac:dyDescent="0.25">
      <c r="A1250" t="s">
        <v>293</v>
      </c>
      <c r="B1250" t="s">
        <v>34</v>
      </c>
      <c r="C1250" t="s">
        <v>6</v>
      </c>
      <c r="D1250" t="s">
        <v>11</v>
      </c>
      <c r="F1250" s="5">
        <v>44201</v>
      </c>
      <c r="G1250" s="5">
        <v>44226</v>
      </c>
      <c r="H1250" s="2">
        <v>1</v>
      </c>
      <c r="I1250" s="6"/>
      <c r="J1250" s="6"/>
      <c r="K1250" s="7">
        <v>0.25</v>
      </c>
      <c r="L1250" s="7">
        <v>125.4194</v>
      </c>
      <c r="M1250" t="s">
        <v>18</v>
      </c>
      <c r="N1250" s="9"/>
      <c r="O1250" s="8">
        <f t="array" ref="O1250">INDEX(TechRate,MATCH(H1250,TechNum,0))</f>
        <v>80</v>
      </c>
      <c r="P1250" s="10">
        <f>WorkOrders278[[#This Row],[Techs]]*(WorkOrders278[[#This Row],[PartsCost]]*WorkOrders278[[#This Row],[LbrHrs]])</f>
        <v>31.354849999999999</v>
      </c>
      <c r="Q1250" s="10">
        <f t="shared" si="107"/>
        <v>31.354849999999999</v>
      </c>
      <c r="R1250" s="10">
        <f t="shared" si="108"/>
        <v>125.4194</v>
      </c>
      <c r="S1250" s="10">
        <f t="shared" si="109"/>
        <v>156.77424999999999</v>
      </c>
      <c r="T1250" s="10">
        <f t="shared" si="110"/>
        <v>156.77424999999999</v>
      </c>
      <c r="U1250" s="8" t="str">
        <f t="shared" si="111"/>
        <v>Tue</v>
      </c>
      <c r="V1250" s="8" t="str">
        <f t="shared" si="112"/>
        <v>Sat</v>
      </c>
    </row>
    <row r="1251" spans="1:22" hidden="1" x14ac:dyDescent="0.25">
      <c r="A1251" t="s">
        <v>294</v>
      </c>
      <c r="B1251" t="s">
        <v>35</v>
      </c>
      <c r="C1251" t="s">
        <v>8</v>
      </c>
      <c r="D1251" t="s">
        <v>12</v>
      </c>
      <c r="F1251" s="5">
        <v>44201</v>
      </c>
      <c r="G1251" s="5">
        <v>44229</v>
      </c>
      <c r="H1251" s="2">
        <v>2</v>
      </c>
      <c r="I1251" s="6"/>
      <c r="J1251" s="6"/>
      <c r="K1251" s="7">
        <v>0.75</v>
      </c>
      <c r="L1251" s="7">
        <v>286.73230000000001</v>
      </c>
      <c r="M1251" t="s">
        <v>17</v>
      </c>
      <c r="N1251" s="9"/>
      <c r="O1251" s="8">
        <f t="array" ref="O1251">INDEX(TechRate,MATCH(H1251,TechNum,0))</f>
        <v>140</v>
      </c>
      <c r="P1251" s="10">
        <f>WorkOrders278[[#This Row],[Techs]]*(WorkOrders278[[#This Row],[PartsCost]]*WorkOrders278[[#This Row],[LbrHrs]])</f>
        <v>430.09845000000001</v>
      </c>
      <c r="Q1251" s="10">
        <f t="shared" si="107"/>
        <v>430.09845000000001</v>
      </c>
      <c r="R1251" s="10">
        <f t="shared" si="108"/>
        <v>286.73230000000001</v>
      </c>
      <c r="S1251" s="10">
        <f t="shared" si="109"/>
        <v>716.83075000000008</v>
      </c>
      <c r="T1251" s="10">
        <f t="shared" si="110"/>
        <v>716.83075000000008</v>
      </c>
      <c r="U1251" s="8" t="str">
        <f t="shared" si="111"/>
        <v>Tue</v>
      </c>
      <c r="V1251" s="8" t="str">
        <f t="shared" si="112"/>
        <v>Tue</v>
      </c>
    </row>
    <row r="1252" spans="1:22" hidden="1" x14ac:dyDescent="0.25">
      <c r="A1252" t="s">
        <v>295</v>
      </c>
      <c r="B1252" t="s">
        <v>37</v>
      </c>
      <c r="C1252" t="s">
        <v>6</v>
      </c>
      <c r="D1252" t="s">
        <v>1</v>
      </c>
      <c r="F1252" s="5">
        <v>44201</v>
      </c>
      <c r="G1252" s="5">
        <v>44229</v>
      </c>
      <c r="H1252" s="2">
        <v>1</v>
      </c>
      <c r="I1252" s="6"/>
      <c r="J1252" s="6"/>
      <c r="K1252" s="7">
        <v>2.5</v>
      </c>
      <c r="L1252" s="7">
        <v>258.02780000000001</v>
      </c>
      <c r="M1252" t="s">
        <v>18</v>
      </c>
      <c r="N1252" s="9"/>
      <c r="O1252" s="8">
        <f t="array" ref="O1252">INDEX(TechRate,MATCH(H1252,TechNum,0))</f>
        <v>80</v>
      </c>
      <c r="P1252" s="10">
        <f>WorkOrders278[[#This Row],[Techs]]*(WorkOrders278[[#This Row],[PartsCost]]*WorkOrders278[[#This Row],[LbrHrs]])</f>
        <v>645.06950000000006</v>
      </c>
      <c r="Q1252" s="10">
        <f t="shared" si="107"/>
        <v>645.06950000000006</v>
      </c>
      <c r="R1252" s="10">
        <f t="shared" si="108"/>
        <v>258.02780000000001</v>
      </c>
      <c r="S1252" s="10">
        <f t="shared" si="109"/>
        <v>903.09730000000013</v>
      </c>
      <c r="T1252" s="10">
        <f t="shared" si="110"/>
        <v>903.09730000000013</v>
      </c>
      <c r="U1252" s="8" t="str">
        <f t="shared" si="111"/>
        <v>Tue</v>
      </c>
      <c r="V1252" s="8" t="str">
        <f t="shared" si="112"/>
        <v>Tue</v>
      </c>
    </row>
    <row r="1253" spans="1:22" hidden="1" x14ac:dyDescent="0.25">
      <c r="A1253" t="s">
        <v>296</v>
      </c>
      <c r="B1253" t="s">
        <v>37</v>
      </c>
      <c r="C1253" t="s">
        <v>43</v>
      </c>
      <c r="D1253" t="s">
        <v>12</v>
      </c>
      <c r="F1253" s="5">
        <v>44201</v>
      </c>
      <c r="G1253" s="5">
        <v>44320</v>
      </c>
      <c r="H1253" s="2">
        <v>1</v>
      </c>
      <c r="I1253" s="6"/>
      <c r="J1253" s="6"/>
      <c r="K1253" s="7">
        <v>0.25</v>
      </c>
      <c r="L1253" s="7">
        <v>14.3</v>
      </c>
      <c r="M1253" t="s">
        <v>19</v>
      </c>
      <c r="N1253" s="9"/>
      <c r="O1253" s="8">
        <f t="array" ref="O1253">INDEX(TechRate,MATCH(H1253,TechNum,0))</f>
        <v>80</v>
      </c>
      <c r="P1253" s="10">
        <f>WorkOrders278[[#This Row],[Techs]]*(WorkOrders278[[#This Row],[PartsCost]]*WorkOrders278[[#This Row],[LbrHrs]])</f>
        <v>3.5750000000000002</v>
      </c>
      <c r="Q1253" s="10">
        <f t="shared" si="107"/>
        <v>3.5750000000000002</v>
      </c>
      <c r="R1253" s="10">
        <f t="shared" si="108"/>
        <v>14.3</v>
      </c>
      <c r="S1253" s="10">
        <f t="shared" si="109"/>
        <v>17.875</v>
      </c>
      <c r="T1253" s="10">
        <f t="shared" si="110"/>
        <v>17.875</v>
      </c>
      <c r="U1253" s="8" t="str">
        <f t="shared" si="111"/>
        <v>Tue</v>
      </c>
      <c r="V1253" s="8" t="str">
        <f t="shared" si="112"/>
        <v>Tue</v>
      </c>
    </row>
    <row r="1254" spans="1:22" hidden="1" x14ac:dyDescent="0.25">
      <c r="A1254" t="s">
        <v>297</v>
      </c>
      <c r="B1254" t="s">
        <v>37</v>
      </c>
      <c r="C1254" t="s">
        <v>43</v>
      </c>
      <c r="D1254" t="s">
        <v>12</v>
      </c>
      <c r="F1254" s="5">
        <v>44202</v>
      </c>
      <c r="G1254" s="5">
        <v>44214</v>
      </c>
      <c r="H1254" s="2">
        <v>1</v>
      </c>
      <c r="I1254" s="6"/>
      <c r="J1254" s="6"/>
      <c r="K1254" s="7">
        <v>0.25</v>
      </c>
      <c r="L1254" s="7">
        <v>44.85</v>
      </c>
      <c r="M1254" t="s">
        <v>19</v>
      </c>
      <c r="N1254" s="9"/>
      <c r="O1254" s="8">
        <f t="array" ref="O1254">INDEX(TechRate,MATCH(H1254,TechNum,0))</f>
        <v>80</v>
      </c>
      <c r="P1254" s="10">
        <f>WorkOrders278[[#This Row],[Techs]]*(WorkOrders278[[#This Row],[PartsCost]]*WorkOrders278[[#This Row],[LbrHrs]])</f>
        <v>11.2125</v>
      </c>
      <c r="Q1254" s="10">
        <f t="shared" si="107"/>
        <v>11.2125</v>
      </c>
      <c r="R1254" s="10">
        <f t="shared" si="108"/>
        <v>44.85</v>
      </c>
      <c r="S1254" s="10">
        <f t="shared" si="109"/>
        <v>56.0625</v>
      </c>
      <c r="T1254" s="10">
        <f t="shared" si="110"/>
        <v>56.0625</v>
      </c>
      <c r="U1254" s="8" t="str">
        <f t="shared" si="111"/>
        <v>Wed</v>
      </c>
      <c r="V1254" s="8" t="str">
        <f t="shared" si="112"/>
        <v>Mon</v>
      </c>
    </row>
    <row r="1255" spans="1:22" hidden="1" x14ac:dyDescent="0.25">
      <c r="A1255" t="s">
        <v>298</v>
      </c>
      <c r="B1255" t="s">
        <v>35</v>
      </c>
      <c r="C1255" t="s">
        <v>6</v>
      </c>
      <c r="D1255" t="s">
        <v>12</v>
      </c>
      <c r="F1255" s="5">
        <v>44202</v>
      </c>
      <c r="G1255" s="5">
        <v>44217</v>
      </c>
      <c r="H1255" s="2">
        <v>2</v>
      </c>
      <c r="I1255" s="6"/>
      <c r="J1255" s="6"/>
      <c r="K1255" s="7">
        <v>0.5</v>
      </c>
      <c r="L1255" s="7">
        <v>74.607699999999994</v>
      </c>
      <c r="M1255" t="s">
        <v>18</v>
      </c>
      <c r="N1255" s="9"/>
      <c r="O1255" s="8">
        <f t="array" ref="O1255">INDEX(TechRate,MATCH(H1255,TechNum,0))</f>
        <v>140</v>
      </c>
      <c r="P1255" s="10">
        <f>WorkOrders278[[#This Row],[Techs]]*(WorkOrders278[[#This Row],[PartsCost]]*WorkOrders278[[#This Row],[LbrHrs]])</f>
        <v>74.607699999999994</v>
      </c>
      <c r="Q1255" s="10">
        <f t="shared" si="107"/>
        <v>74.607699999999994</v>
      </c>
      <c r="R1255" s="10">
        <f t="shared" si="108"/>
        <v>74.607699999999994</v>
      </c>
      <c r="S1255" s="10">
        <f t="shared" si="109"/>
        <v>149.21539999999999</v>
      </c>
      <c r="T1255" s="10">
        <f t="shared" si="110"/>
        <v>149.21539999999999</v>
      </c>
      <c r="U1255" s="8" t="str">
        <f t="shared" si="111"/>
        <v>Wed</v>
      </c>
      <c r="V1255" s="8" t="str">
        <f t="shared" si="112"/>
        <v>Thu</v>
      </c>
    </row>
    <row r="1256" spans="1:22" hidden="1" x14ac:dyDescent="0.25">
      <c r="A1256" t="s">
        <v>299</v>
      </c>
      <c r="B1256" t="s">
        <v>36</v>
      </c>
      <c r="C1256" t="s">
        <v>7</v>
      </c>
      <c r="D1256" t="s">
        <v>13</v>
      </c>
      <c r="E1256" t="s">
        <v>3</v>
      </c>
      <c r="F1256" s="5">
        <v>44202</v>
      </c>
      <c r="G1256" s="5">
        <v>44230</v>
      </c>
      <c r="H1256" s="2">
        <v>2</v>
      </c>
      <c r="I1256" s="6"/>
      <c r="J1256" s="6"/>
      <c r="K1256" s="7">
        <v>0.5</v>
      </c>
      <c r="L1256" s="7">
        <v>126.71469999999999</v>
      </c>
      <c r="M1256" t="s">
        <v>17</v>
      </c>
      <c r="N1256" s="9"/>
      <c r="O1256" s="8">
        <f t="array" ref="O1256">INDEX(TechRate,MATCH(H1256,TechNum,0))</f>
        <v>140</v>
      </c>
      <c r="P1256" s="10">
        <f>WorkOrders278[[#This Row],[Techs]]*(WorkOrders278[[#This Row],[PartsCost]]*WorkOrders278[[#This Row],[LbrHrs]])</f>
        <v>126.71469999999999</v>
      </c>
      <c r="Q1256" s="10">
        <f t="shared" si="107"/>
        <v>126.71469999999999</v>
      </c>
      <c r="R1256" s="10">
        <f t="shared" si="108"/>
        <v>126.71469999999999</v>
      </c>
      <c r="S1256" s="10">
        <f t="shared" si="109"/>
        <v>253.42939999999999</v>
      </c>
      <c r="T1256" s="10">
        <f t="shared" si="110"/>
        <v>253.42939999999999</v>
      </c>
      <c r="U1256" s="8" t="str">
        <f t="shared" si="111"/>
        <v>Wed</v>
      </c>
      <c r="V1256" s="8" t="str">
        <f t="shared" si="112"/>
        <v>Wed</v>
      </c>
    </row>
    <row r="1257" spans="1:22" hidden="1" x14ac:dyDescent="0.25">
      <c r="A1257" t="s">
        <v>300</v>
      </c>
      <c r="B1257" t="s">
        <v>36</v>
      </c>
      <c r="C1257" t="s">
        <v>7</v>
      </c>
      <c r="D1257" t="s">
        <v>13</v>
      </c>
      <c r="F1257" s="5">
        <v>44202</v>
      </c>
      <c r="G1257" s="5">
        <v>44259</v>
      </c>
      <c r="H1257" s="2">
        <v>2</v>
      </c>
      <c r="I1257" s="6"/>
      <c r="J1257" s="6"/>
      <c r="K1257" s="7">
        <v>1.25</v>
      </c>
      <c r="L1257" s="7">
        <v>256.83999999999997</v>
      </c>
      <c r="M1257" t="s">
        <v>17</v>
      </c>
      <c r="N1257" s="9"/>
      <c r="O1257" s="8">
        <f t="array" ref="O1257">INDEX(TechRate,MATCH(H1257,TechNum,0))</f>
        <v>140</v>
      </c>
      <c r="P1257" s="10">
        <f>WorkOrders278[[#This Row],[Techs]]*(WorkOrders278[[#This Row],[PartsCost]]*WorkOrders278[[#This Row],[LbrHrs]])</f>
        <v>642.09999999999991</v>
      </c>
      <c r="Q1257" s="10">
        <f t="shared" si="107"/>
        <v>642.09999999999991</v>
      </c>
      <c r="R1257" s="10">
        <f t="shared" si="108"/>
        <v>256.83999999999997</v>
      </c>
      <c r="S1257" s="10">
        <f t="shared" si="109"/>
        <v>898.93999999999983</v>
      </c>
      <c r="T1257" s="10">
        <f t="shared" si="110"/>
        <v>898.93999999999983</v>
      </c>
      <c r="U1257" s="8" t="str">
        <f t="shared" si="111"/>
        <v>Wed</v>
      </c>
      <c r="V1257" s="8" t="str">
        <f t="shared" si="112"/>
        <v>Thu</v>
      </c>
    </row>
    <row r="1258" spans="1:22" hidden="1" x14ac:dyDescent="0.25">
      <c r="A1258" t="s">
        <v>301</v>
      </c>
      <c r="B1258" t="s">
        <v>39</v>
      </c>
      <c r="C1258" t="s">
        <v>44</v>
      </c>
      <c r="D1258" t="s">
        <v>11</v>
      </c>
      <c r="F1258" s="5">
        <v>44203</v>
      </c>
      <c r="G1258" s="5">
        <v>44215</v>
      </c>
      <c r="H1258" s="2">
        <v>1</v>
      </c>
      <c r="I1258" s="6"/>
      <c r="J1258" s="6"/>
      <c r="K1258" s="7">
        <v>0.25</v>
      </c>
      <c r="L1258" s="7">
        <v>32.6706</v>
      </c>
      <c r="M1258" t="s">
        <v>19</v>
      </c>
      <c r="N1258" s="9"/>
      <c r="O1258" s="8">
        <f t="array" ref="O1258">INDEX(TechRate,MATCH(H1258,TechNum,0))</f>
        <v>80</v>
      </c>
      <c r="P1258" s="10">
        <f>WorkOrders278[[#This Row],[Techs]]*(WorkOrders278[[#This Row],[PartsCost]]*WorkOrders278[[#This Row],[LbrHrs]])</f>
        <v>8.1676500000000001</v>
      </c>
      <c r="Q1258" s="10">
        <f t="shared" si="107"/>
        <v>8.1676500000000001</v>
      </c>
      <c r="R1258" s="10">
        <f t="shared" si="108"/>
        <v>32.6706</v>
      </c>
      <c r="S1258" s="10">
        <f t="shared" si="109"/>
        <v>40.838250000000002</v>
      </c>
      <c r="T1258" s="10">
        <f t="shared" si="110"/>
        <v>40.838250000000002</v>
      </c>
      <c r="U1258" s="8" t="str">
        <f t="shared" si="111"/>
        <v>Thu</v>
      </c>
      <c r="V1258" s="8" t="str">
        <f t="shared" si="112"/>
        <v>Tue</v>
      </c>
    </row>
    <row r="1259" spans="1:22" hidden="1" x14ac:dyDescent="0.25">
      <c r="A1259" t="s">
        <v>302</v>
      </c>
      <c r="B1259" t="s">
        <v>35</v>
      </c>
      <c r="C1259" t="s">
        <v>44</v>
      </c>
      <c r="D1259" t="s">
        <v>12</v>
      </c>
      <c r="E1259" t="s">
        <v>3</v>
      </c>
      <c r="F1259" s="5">
        <v>44203</v>
      </c>
      <c r="G1259" s="5">
        <v>44228</v>
      </c>
      <c r="H1259" s="2">
        <v>2</v>
      </c>
      <c r="I1259" s="6"/>
      <c r="J1259" s="6"/>
      <c r="K1259" s="7">
        <v>0.5</v>
      </c>
      <c r="L1259" s="7">
        <v>72.350099999999998</v>
      </c>
      <c r="M1259" t="s">
        <v>17</v>
      </c>
      <c r="N1259" s="9"/>
      <c r="O1259" s="8">
        <f t="array" ref="O1259">INDEX(TechRate,MATCH(H1259,TechNum,0))</f>
        <v>140</v>
      </c>
      <c r="P1259" s="10">
        <f>WorkOrders278[[#This Row],[Techs]]*(WorkOrders278[[#This Row],[PartsCost]]*WorkOrders278[[#This Row],[LbrHrs]])</f>
        <v>72.350099999999998</v>
      </c>
      <c r="Q1259" s="10">
        <f t="shared" si="107"/>
        <v>72.350099999999998</v>
      </c>
      <c r="R1259" s="10">
        <f t="shared" si="108"/>
        <v>72.350099999999998</v>
      </c>
      <c r="S1259" s="10">
        <f t="shared" si="109"/>
        <v>144.7002</v>
      </c>
      <c r="T1259" s="10">
        <f t="shared" si="110"/>
        <v>144.7002</v>
      </c>
      <c r="U1259" s="8" t="str">
        <f t="shared" si="111"/>
        <v>Thu</v>
      </c>
      <c r="V1259" s="8" t="str">
        <f t="shared" si="112"/>
        <v>Mon</v>
      </c>
    </row>
    <row r="1260" spans="1:22" hidden="1" x14ac:dyDescent="0.25">
      <c r="A1260" t="s">
        <v>303</v>
      </c>
      <c r="B1260" t="s">
        <v>36</v>
      </c>
      <c r="C1260" t="s">
        <v>7</v>
      </c>
      <c r="D1260" t="s">
        <v>13</v>
      </c>
      <c r="F1260" s="5">
        <v>44203</v>
      </c>
      <c r="G1260" s="5">
        <v>44232</v>
      </c>
      <c r="H1260" s="2">
        <v>2</v>
      </c>
      <c r="I1260" s="6"/>
      <c r="J1260" s="6"/>
      <c r="K1260" s="7">
        <v>0.5</v>
      </c>
      <c r="L1260" s="7">
        <v>178.49889999999999</v>
      </c>
      <c r="M1260" t="s">
        <v>18</v>
      </c>
      <c r="N1260" s="9"/>
      <c r="O1260" s="8">
        <f t="array" ref="O1260">INDEX(TechRate,MATCH(H1260,TechNum,0))</f>
        <v>140</v>
      </c>
      <c r="P1260" s="10">
        <f>WorkOrders278[[#This Row],[Techs]]*(WorkOrders278[[#This Row],[PartsCost]]*WorkOrders278[[#This Row],[LbrHrs]])</f>
        <v>178.49889999999999</v>
      </c>
      <c r="Q1260" s="10">
        <f t="shared" ref="Q1260:Q1323" si="113">IF(I1260="Yes",0,P1260)</f>
        <v>178.49889999999999</v>
      </c>
      <c r="R1260" s="10">
        <f t="shared" ref="R1260:R1323" si="114">IF(J1260="Yes",0,L1260)</f>
        <v>178.49889999999999</v>
      </c>
      <c r="S1260" s="10">
        <f t="shared" ref="S1260:S1323" si="115">SUM(L1260,P1260)</f>
        <v>356.99779999999998</v>
      </c>
      <c r="T1260" s="10">
        <f t="shared" ref="T1260:T1323" si="116">SUM(Q1260,R1260)</f>
        <v>356.99779999999998</v>
      </c>
      <c r="U1260" s="8" t="str">
        <f t="shared" ref="U1260:U1323" si="117">TEXT(F1260,"ddd")</f>
        <v>Thu</v>
      </c>
      <c r="V1260" s="8" t="str">
        <f t="shared" ref="V1260:V1323" si="118">TEXT(G1260,"ddd")</f>
        <v>Fri</v>
      </c>
    </row>
    <row r="1261" spans="1:22" hidden="1" x14ac:dyDescent="0.25">
      <c r="A1261" t="s">
        <v>304</v>
      </c>
      <c r="B1261" t="s">
        <v>35</v>
      </c>
      <c r="C1261" t="s">
        <v>9</v>
      </c>
      <c r="D1261" t="s">
        <v>13</v>
      </c>
      <c r="F1261" s="5">
        <v>44203</v>
      </c>
      <c r="G1261" s="5">
        <v>44249</v>
      </c>
      <c r="H1261" s="2">
        <v>1</v>
      </c>
      <c r="I1261" s="6"/>
      <c r="J1261" s="6"/>
      <c r="K1261" s="7">
        <v>0.5</v>
      </c>
      <c r="L1261" s="7">
        <v>18.254899999999999</v>
      </c>
      <c r="M1261" t="s">
        <v>18</v>
      </c>
      <c r="N1261" s="9"/>
      <c r="O1261" s="8">
        <f t="array" ref="O1261">INDEX(TechRate,MATCH(H1261,TechNum,0))</f>
        <v>80</v>
      </c>
      <c r="P1261" s="10">
        <f>WorkOrders278[[#This Row],[Techs]]*(WorkOrders278[[#This Row],[PartsCost]]*WorkOrders278[[#This Row],[LbrHrs]])</f>
        <v>9.1274499999999996</v>
      </c>
      <c r="Q1261" s="10">
        <f t="shared" si="113"/>
        <v>9.1274499999999996</v>
      </c>
      <c r="R1261" s="10">
        <f t="shared" si="114"/>
        <v>18.254899999999999</v>
      </c>
      <c r="S1261" s="10">
        <f t="shared" si="115"/>
        <v>27.382349999999999</v>
      </c>
      <c r="T1261" s="10">
        <f t="shared" si="116"/>
        <v>27.382349999999999</v>
      </c>
      <c r="U1261" s="8" t="str">
        <f t="shared" si="117"/>
        <v>Thu</v>
      </c>
      <c r="V1261" s="8" t="str">
        <f t="shared" si="118"/>
        <v>Mon</v>
      </c>
    </row>
    <row r="1262" spans="1:22" hidden="1" x14ac:dyDescent="0.25">
      <c r="A1262" t="s">
        <v>305</v>
      </c>
      <c r="B1262" t="s">
        <v>36</v>
      </c>
      <c r="C1262" t="s">
        <v>7</v>
      </c>
      <c r="D1262" t="s">
        <v>12</v>
      </c>
      <c r="F1262" s="5">
        <v>44203</v>
      </c>
      <c r="G1262" s="5">
        <v>44249</v>
      </c>
      <c r="H1262" s="2">
        <v>2</v>
      </c>
      <c r="I1262" s="6"/>
      <c r="J1262" s="6"/>
      <c r="K1262" s="7">
        <v>1.75</v>
      </c>
      <c r="L1262" s="7">
        <v>151.8099</v>
      </c>
      <c r="M1262" t="s">
        <v>18</v>
      </c>
      <c r="N1262" s="9"/>
      <c r="O1262" s="8">
        <f t="array" ref="O1262">INDEX(TechRate,MATCH(H1262,TechNum,0))</f>
        <v>140</v>
      </c>
      <c r="P1262" s="10">
        <f>WorkOrders278[[#This Row],[Techs]]*(WorkOrders278[[#This Row],[PartsCost]]*WorkOrders278[[#This Row],[LbrHrs]])</f>
        <v>531.33465000000001</v>
      </c>
      <c r="Q1262" s="10">
        <f t="shared" si="113"/>
        <v>531.33465000000001</v>
      </c>
      <c r="R1262" s="10">
        <f t="shared" si="114"/>
        <v>151.8099</v>
      </c>
      <c r="S1262" s="10">
        <f t="shared" si="115"/>
        <v>683.14454999999998</v>
      </c>
      <c r="T1262" s="10">
        <f t="shared" si="116"/>
        <v>683.14454999999998</v>
      </c>
      <c r="U1262" s="8" t="str">
        <f t="shared" si="117"/>
        <v>Thu</v>
      </c>
      <c r="V1262" s="8" t="str">
        <f t="shared" si="118"/>
        <v>Mon</v>
      </c>
    </row>
    <row r="1263" spans="1:22" hidden="1" x14ac:dyDescent="0.25">
      <c r="A1263" t="s">
        <v>306</v>
      </c>
      <c r="B1263" t="s">
        <v>39</v>
      </c>
      <c r="C1263" t="s">
        <v>9</v>
      </c>
      <c r="D1263" t="s">
        <v>11</v>
      </c>
      <c r="F1263" s="5">
        <v>44204</v>
      </c>
      <c r="G1263" s="5">
        <v>44212</v>
      </c>
      <c r="H1263" s="2">
        <v>1</v>
      </c>
      <c r="I1263" s="6"/>
      <c r="J1263" s="6"/>
      <c r="K1263" s="7">
        <v>0.25</v>
      </c>
      <c r="L1263" s="7">
        <v>85.085899999999995</v>
      </c>
      <c r="M1263" t="s">
        <v>18</v>
      </c>
      <c r="N1263" s="9"/>
      <c r="O1263" s="8">
        <f t="array" ref="O1263">INDEX(TechRate,MATCH(H1263,TechNum,0))</f>
        <v>80</v>
      </c>
      <c r="P1263" s="10">
        <f>WorkOrders278[[#This Row],[Techs]]*(WorkOrders278[[#This Row],[PartsCost]]*WorkOrders278[[#This Row],[LbrHrs]])</f>
        <v>21.271474999999999</v>
      </c>
      <c r="Q1263" s="10">
        <f t="shared" si="113"/>
        <v>21.271474999999999</v>
      </c>
      <c r="R1263" s="10">
        <f t="shared" si="114"/>
        <v>85.085899999999995</v>
      </c>
      <c r="S1263" s="10">
        <f t="shared" si="115"/>
        <v>106.35737499999999</v>
      </c>
      <c r="T1263" s="10">
        <f t="shared" si="116"/>
        <v>106.35737499999999</v>
      </c>
      <c r="U1263" s="8" t="str">
        <f t="shared" si="117"/>
        <v>Fri</v>
      </c>
      <c r="V1263" s="8" t="str">
        <f t="shared" si="118"/>
        <v>Sat</v>
      </c>
    </row>
    <row r="1264" spans="1:22" hidden="1" x14ac:dyDescent="0.25">
      <c r="A1264" t="s">
        <v>307</v>
      </c>
      <c r="B1264" t="s">
        <v>37</v>
      </c>
      <c r="C1264" t="s">
        <v>43</v>
      </c>
      <c r="D1264" t="s">
        <v>12</v>
      </c>
      <c r="F1264" s="5">
        <v>44204</v>
      </c>
      <c r="G1264" s="5">
        <v>44228</v>
      </c>
      <c r="H1264" s="2">
        <v>1</v>
      </c>
      <c r="I1264" s="6"/>
      <c r="J1264" s="6"/>
      <c r="K1264" s="7">
        <v>0.25</v>
      </c>
      <c r="L1264" s="7">
        <v>67.067700000000002</v>
      </c>
      <c r="M1264" t="s">
        <v>17</v>
      </c>
      <c r="N1264" s="9"/>
      <c r="O1264" s="8">
        <f t="array" ref="O1264">INDEX(TechRate,MATCH(H1264,TechNum,0))</f>
        <v>80</v>
      </c>
      <c r="P1264" s="10">
        <f>WorkOrders278[[#This Row],[Techs]]*(WorkOrders278[[#This Row],[PartsCost]]*WorkOrders278[[#This Row],[LbrHrs]])</f>
        <v>16.766925000000001</v>
      </c>
      <c r="Q1264" s="10">
        <f t="shared" si="113"/>
        <v>16.766925000000001</v>
      </c>
      <c r="R1264" s="10">
        <f t="shared" si="114"/>
        <v>67.067700000000002</v>
      </c>
      <c r="S1264" s="10">
        <f t="shared" si="115"/>
        <v>83.834625000000003</v>
      </c>
      <c r="T1264" s="10">
        <f t="shared" si="116"/>
        <v>83.834625000000003</v>
      </c>
      <c r="U1264" s="8" t="str">
        <f t="shared" si="117"/>
        <v>Fri</v>
      </c>
      <c r="V1264" s="8" t="str">
        <f t="shared" si="118"/>
        <v>Mon</v>
      </c>
    </row>
    <row r="1265" spans="1:22" hidden="1" x14ac:dyDescent="0.25">
      <c r="A1265" t="s">
        <v>308</v>
      </c>
      <c r="B1265" t="s">
        <v>37</v>
      </c>
      <c r="C1265" t="s">
        <v>43</v>
      </c>
      <c r="D1265" t="s">
        <v>11</v>
      </c>
      <c r="F1265" s="5">
        <v>44207</v>
      </c>
      <c r="G1265" s="5">
        <v>44217</v>
      </c>
      <c r="H1265" s="2">
        <v>1</v>
      </c>
      <c r="I1265" s="6"/>
      <c r="J1265" s="6"/>
      <c r="K1265" s="7">
        <v>0.25</v>
      </c>
      <c r="L1265" s="7">
        <v>162.20959999999999</v>
      </c>
      <c r="M1265" t="s">
        <v>17</v>
      </c>
      <c r="N1265" s="9"/>
      <c r="O1265" s="8">
        <f t="array" ref="O1265">INDEX(TechRate,MATCH(H1265,TechNum,0))</f>
        <v>80</v>
      </c>
      <c r="P1265" s="10">
        <f>WorkOrders278[[#This Row],[Techs]]*(WorkOrders278[[#This Row],[PartsCost]]*WorkOrders278[[#This Row],[LbrHrs]])</f>
        <v>40.552399999999999</v>
      </c>
      <c r="Q1265" s="10">
        <f t="shared" si="113"/>
        <v>40.552399999999999</v>
      </c>
      <c r="R1265" s="10">
        <f t="shared" si="114"/>
        <v>162.20959999999999</v>
      </c>
      <c r="S1265" s="10">
        <f t="shared" si="115"/>
        <v>202.762</v>
      </c>
      <c r="T1265" s="10">
        <f t="shared" si="116"/>
        <v>202.762</v>
      </c>
      <c r="U1265" s="8" t="str">
        <f t="shared" si="117"/>
        <v>Mon</v>
      </c>
      <c r="V1265" s="8" t="str">
        <f t="shared" si="118"/>
        <v>Thu</v>
      </c>
    </row>
    <row r="1266" spans="1:22" hidden="1" x14ac:dyDescent="0.25">
      <c r="A1266" t="s">
        <v>309</v>
      </c>
      <c r="B1266" t="s">
        <v>39</v>
      </c>
      <c r="C1266" t="s">
        <v>9</v>
      </c>
      <c r="D1266" t="s">
        <v>1</v>
      </c>
      <c r="F1266" s="5">
        <v>44207</v>
      </c>
      <c r="G1266" s="5">
        <v>44224</v>
      </c>
      <c r="H1266" s="2">
        <v>1</v>
      </c>
      <c r="I1266" s="6"/>
      <c r="J1266" s="6"/>
      <c r="K1266" s="7">
        <v>1.25</v>
      </c>
      <c r="L1266" s="7">
        <v>53.688699999999997</v>
      </c>
      <c r="M1266" t="s">
        <v>17</v>
      </c>
      <c r="N1266" s="9"/>
      <c r="O1266" s="8">
        <f t="array" ref="O1266">INDEX(TechRate,MATCH(H1266,TechNum,0))</f>
        <v>80</v>
      </c>
      <c r="P1266" s="10">
        <f>WorkOrders278[[#This Row],[Techs]]*(WorkOrders278[[#This Row],[PartsCost]]*WorkOrders278[[#This Row],[LbrHrs]])</f>
        <v>67.110874999999993</v>
      </c>
      <c r="Q1266" s="10">
        <f t="shared" si="113"/>
        <v>67.110874999999993</v>
      </c>
      <c r="R1266" s="10">
        <f t="shared" si="114"/>
        <v>53.688699999999997</v>
      </c>
      <c r="S1266" s="10">
        <f t="shared" si="115"/>
        <v>120.79957499999999</v>
      </c>
      <c r="T1266" s="10">
        <f t="shared" si="116"/>
        <v>120.79957499999999</v>
      </c>
      <c r="U1266" s="8" t="str">
        <f t="shared" si="117"/>
        <v>Mon</v>
      </c>
      <c r="V1266" s="8" t="str">
        <f t="shared" si="118"/>
        <v>Thu</v>
      </c>
    </row>
    <row r="1267" spans="1:22" hidden="1" x14ac:dyDescent="0.25">
      <c r="A1267" t="s">
        <v>310</v>
      </c>
      <c r="B1267" t="s">
        <v>39</v>
      </c>
      <c r="C1267" t="s">
        <v>6</v>
      </c>
      <c r="D1267" t="s">
        <v>12</v>
      </c>
      <c r="F1267" s="5">
        <v>44207</v>
      </c>
      <c r="G1267" s="5">
        <v>44228</v>
      </c>
      <c r="H1267" s="2">
        <v>2</v>
      </c>
      <c r="I1267" s="6"/>
      <c r="J1267" s="6"/>
      <c r="K1267" s="7">
        <v>1</v>
      </c>
      <c r="L1267" s="7">
        <v>211.8477</v>
      </c>
      <c r="M1267" t="s">
        <v>18</v>
      </c>
      <c r="N1267" s="9"/>
      <c r="O1267" s="8">
        <f t="array" ref="O1267">INDEX(TechRate,MATCH(H1267,TechNum,0))</f>
        <v>140</v>
      </c>
      <c r="P1267" s="10">
        <f>WorkOrders278[[#This Row],[Techs]]*(WorkOrders278[[#This Row],[PartsCost]]*WorkOrders278[[#This Row],[LbrHrs]])</f>
        <v>423.69540000000001</v>
      </c>
      <c r="Q1267" s="10">
        <f t="shared" si="113"/>
        <v>423.69540000000001</v>
      </c>
      <c r="R1267" s="10">
        <f t="shared" si="114"/>
        <v>211.8477</v>
      </c>
      <c r="S1267" s="10">
        <f t="shared" si="115"/>
        <v>635.54309999999998</v>
      </c>
      <c r="T1267" s="10">
        <f t="shared" si="116"/>
        <v>635.54309999999998</v>
      </c>
      <c r="U1267" s="8" t="str">
        <f t="shared" si="117"/>
        <v>Mon</v>
      </c>
      <c r="V1267" s="8" t="str">
        <f t="shared" si="118"/>
        <v>Mon</v>
      </c>
    </row>
    <row r="1268" spans="1:22" hidden="1" x14ac:dyDescent="0.25">
      <c r="A1268" t="s">
        <v>311</v>
      </c>
      <c r="B1268" t="s">
        <v>37</v>
      </c>
      <c r="C1268" t="s">
        <v>43</v>
      </c>
      <c r="D1268" t="s">
        <v>12</v>
      </c>
      <c r="F1268" s="5">
        <v>44207</v>
      </c>
      <c r="G1268" s="5">
        <v>44228</v>
      </c>
      <c r="H1268" s="2">
        <v>1</v>
      </c>
      <c r="I1268" s="6"/>
      <c r="J1268" s="6"/>
      <c r="K1268" s="7">
        <v>0.25</v>
      </c>
      <c r="L1268" s="7">
        <v>150.31899999999999</v>
      </c>
      <c r="M1268" t="s">
        <v>19</v>
      </c>
      <c r="N1268" s="9"/>
      <c r="O1268" s="8">
        <f t="array" ref="O1268">INDEX(TechRate,MATCH(H1268,TechNum,0))</f>
        <v>80</v>
      </c>
      <c r="P1268" s="10">
        <f>WorkOrders278[[#This Row],[Techs]]*(WorkOrders278[[#This Row],[PartsCost]]*WorkOrders278[[#This Row],[LbrHrs]])</f>
        <v>37.579749999999997</v>
      </c>
      <c r="Q1268" s="10">
        <f t="shared" si="113"/>
        <v>37.579749999999997</v>
      </c>
      <c r="R1268" s="10">
        <f t="shared" si="114"/>
        <v>150.31899999999999</v>
      </c>
      <c r="S1268" s="10">
        <f t="shared" si="115"/>
        <v>187.89874999999998</v>
      </c>
      <c r="T1268" s="10">
        <f t="shared" si="116"/>
        <v>187.89874999999998</v>
      </c>
      <c r="U1268" s="8" t="str">
        <f t="shared" si="117"/>
        <v>Mon</v>
      </c>
      <c r="V1268" s="8" t="str">
        <f t="shared" si="118"/>
        <v>Mon</v>
      </c>
    </row>
    <row r="1269" spans="1:22" hidden="1" x14ac:dyDescent="0.25">
      <c r="A1269" t="s">
        <v>312</v>
      </c>
      <c r="B1269" t="s">
        <v>40</v>
      </c>
      <c r="C1269" t="s">
        <v>7</v>
      </c>
      <c r="D1269" t="s">
        <v>12</v>
      </c>
      <c r="F1269" s="5">
        <v>44207</v>
      </c>
      <c r="G1269" s="5">
        <v>44250</v>
      </c>
      <c r="H1269" s="2">
        <v>2</v>
      </c>
      <c r="I1269" s="6"/>
      <c r="J1269" s="6"/>
      <c r="K1269" s="7">
        <v>0.25</v>
      </c>
      <c r="L1269" s="7">
        <v>46.864899999999999</v>
      </c>
      <c r="M1269" t="s">
        <v>17</v>
      </c>
      <c r="N1269" s="9"/>
      <c r="O1269" s="8">
        <f t="array" ref="O1269">INDEX(TechRate,MATCH(H1269,TechNum,0))</f>
        <v>140</v>
      </c>
      <c r="P1269" s="10">
        <f>WorkOrders278[[#This Row],[Techs]]*(WorkOrders278[[#This Row],[PartsCost]]*WorkOrders278[[#This Row],[LbrHrs]])</f>
        <v>23.432449999999999</v>
      </c>
      <c r="Q1269" s="10">
        <f t="shared" si="113"/>
        <v>23.432449999999999</v>
      </c>
      <c r="R1269" s="10">
        <f t="shared" si="114"/>
        <v>46.864899999999999</v>
      </c>
      <c r="S1269" s="10">
        <f t="shared" si="115"/>
        <v>70.297349999999994</v>
      </c>
      <c r="T1269" s="10">
        <f t="shared" si="116"/>
        <v>70.297349999999994</v>
      </c>
      <c r="U1269" s="8" t="str">
        <f t="shared" si="117"/>
        <v>Mon</v>
      </c>
      <c r="V1269" s="8" t="str">
        <f t="shared" si="118"/>
        <v>Tue</v>
      </c>
    </row>
    <row r="1270" spans="1:22" hidden="1" x14ac:dyDescent="0.25">
      <c r="A1270" t="s">
        <v>313</v>
      </c>
      <c r="B1270" t="s">
        <v>37</v>
      </c>
      <c r="C1270" t="s">
        <v>43</v>
      </c>
      <c r="D1270" t="s">
        <v>12</v>
      </c>
      <c r="F1270" s="5">
        <v>44208</v>
      </c>
      <c r="G1270" s="5">
        <v>44217</v>
      </c>
      <c r="H1270" s="2">
        <v>1</v>
      </c>
      <c r="I1270" s="6"/>
      <c r="J1270" s="6"/>
      <c r="K1270" s="7">
        <v>0.25</v>
      </c>
      <c r="L1270" s="7">
        <v>19.5</v>
      </c>
      <c r="M1270" t="s">
        <v>19</v>
      </c>
      <c r="N1270" s="9"/>
      <c r="O1270" s="8">
        <f t="array" ref="O1270">INDEX(TechRate,MATCH(H1270,TechNum,0))</f>
        <v>80</v>
      </c>
      <c r="P1270" s="10">
        <f>WorkOrders278[[#This Row],[Techs]]*(WorkOrders278[[#This Row],[PartsCost]]*WorkOrders278[[#This Row],[LbrHrs]])</f>
        <v>4.875</v>
      </c>
      <c r="Q1270" s="10">
        <f t="shared" si="113"/>
        <v>4.875</v>
      </c>
      <c r="R1270" s="10">
        <f t="shared" si="114"/>
        <v>19.5</v>
      </c>
      <c r="S1270" s="10">
        <f t="shared" si="115"/>
        <v>24.375</v>
      </c>
      <c r="T1270" s="10">
        <f t="shared" si="116"/>
        <v>24.375</v>
      </c>
      <c r="U1270" s="8" t="str">
        <f t="shared" si="117"/>
        <v>Tue</v>
      </c>
      <c r="V1270" s="8" t="str">
        <f t="shared" si="118"/>
        <v>Thu</v>
      </c>
    </row>
    <row r="1271" spans="1:22" hidden="1" x14ac:dyDescent="0.25">
      <c r="A1271" t="s">
        <v>314</v>
      </c>
      <c r="B1271" t="s">
        <v>34</v>
      </c>
      <c r="C1271" t="s">
        <v>44</v>
      </c>
      <c r="D1271" t="s">
        <v>13</v>
      </c>
      <c r="F1271" s="5">
        <v>44208</v>
      </c>
      <c r="G1271" s="5">
        <v>44215</v>
      </c>
      <c r="H1271" s="2">
        <v>1</v>
      </c>
      <c r="I1271" s="6"/>
      <c r="J1271" s="6"/>
      <c r="K1271" s="7">
        <v>1.25</v>
      </c>
      <c r="L1271" s="7">
        <v>256.71809999999999</v>
      </c>
      <c r="M1271" t="s">
        <v>18</v>
      </c>
      <c r="N1271" s="9"/>
      <c r="O1271" s="8">
        <f t="array" ref="O1271">INDEX(TechRate,MATCH(H1271,TechNum,0))</f>
        <v>80</v>
      </c>
      <c r="P1271" s="10">
        <f>WorkOrders278[[#This Row],[Techs]]*(WorkOrders278[[#This Row],[PartsCost]]*WorkOrders278[[#This Row],[LbrHrs]])</f>
        <v>320.89762500000001</v>
      </c>
      <c r="Q1271" s="10">
        <f t="shared" si="113"/>
        <v>320.89762500000001</v>
      </c>
      <c r="R1271" s="10">
        <f t="shared" si="114"/>
        <v>256.71809999999999</v>
      </c>
      <c r="S1271" s="10">
        <f t="shared" si="115"/>
        <v>577.615725</v>
      </c>
      <c r="T1271" s="10">
        <f t="shared" si="116"/>
        <v>577.615725</v>
      </c>
      <c r="U1271" s="8" t="str">
        <f t="shared" si="117"/>
        <v>Tue</v>
      </c>
      <c r="V1271" s="8" t="str">
        <f t="shared" si="118"/>
        <v>Tue</v>
      </c>
    </row>
    <row r="1272" spans="1:22" hidden="1" x14ac:dyDescent="0.25">
      <c r="A1272" t="s">
        <v>315</v>
      </c>
      <c r="B1272" t="s">
        <v>35</v>
      </c>
      <c r="C1272" t="s">
        <v>8</v>
      </c>
      <c r="D1272" t="s">
        <v>13</v>
      </c>
      <c r="F1272" s="5">
        <v>44209</v>
      </c>
      <c r="G1272" s="5">
        <v>44226</v>
      </c>
      <c r="H1272" s="2">
        <v>1</v>
      </c>
      <c r="I1272" s="6"/>
      <c r="J1272" s="6"/>
      <c r="K1272" s="7">
        <v>1</v>
      </c>
      <c r="L1272" s="7">
        <v>86.293499999999995</v>
      </c>
      <c r="M1272" t="s">
        <v>18</v>
      </c>
      <c r="N1272" s="9"/>
      <c r="O1272" s="8">
        <f t="array" ref="O1272">INDEX(TechRate,MATCH(H1272,TechNum,0))</f>
        <v>80</v>
      </c>
      <c r="P1272" s="10">
        <f>WorkOrders278[[#This Row],[Techs]]*(WorkOrders278[[#This Row],[PartsCost]]*WorkOrders278[[#This Row],[LbrHrs]])</f>
        <v>86.293499999999995</v>
      </c>
      <c r="Q1272" s="10">
        <f t="shared" si="113"/>
        <v>86.293499999999995</v>
      </c>
      <c r="R1272" s="10">
        <f t="shared" si="114"/>
        <v>86.293499999999995</v>
      </c>
      <c r="S1272" s="10">
        <f t="shared" si="115"/>
        <v>172.58699999999999</v>
      </c>
      <c r="T1272" s="10">
        <f t="shared" si="116"/>
        <v>172.58699999999999</v>
      </c>
      <c r="U1272" s="8" t="str">
        <f t="shared" si="117"/>
        <v>Wed</v>
      </c>
      <c r="V1272" s="8" t="str">
        <f t="shared" si="118"/>
        <v>Sat</v>
      </c>
    </row>
    <row r="1273" spans="1:22" hidden="1" x14ac:dyDescent="0.25">
      <c r="A1273" t="s">
        <v>316</v>
      </c>
      <c r="B1273" t="s">
        <v>37</v>
      </c>
      <c r="C1273" t="s">
        <v>43</v>
      </c>
      <c r="D1273" t="s">
        <v>12</v>
      </c>
      <c r="F1273" s="5">
        <v>44210</v>
      </c>
      <c r="G1273" s="5">
        <v>44215</v>
      </c>
      <c r="H1273" s="2">
        <v>1</v>
      </c>
      <c r="I1273" s="6"/>
      <c r="J1273" s="6"/>
      <c r="K1273" s="7">
        <v>0.25</v>
      </c>
      <c r="L1273" s="7">
        <v>108.3061</v>
      </c>
      <c r="M1273" t="s">
        <v>19</v>
      </c>
      <c r="N1273" s="9"/>
      <c r="O1273" s="8">
        <f t="array" ref="O1273">INDEX(TechRate,MATCH(H1273,TechNum,0))</f>
        <v>80</v>
      </c>
      <c r="P1273" s="10">
        <f>WorkOrders278[[#This Row],[Techs]]*(WorkOrders278[[#This Row],[PartsCost]]*WorkOrders278[[#This Row],[LbrHrs]])</f>
        <v>27.076525</v>
      </c>
      <c r="Q1273" s="10">
        <f t="shared" si="113"/>
        <v>27.076525</v>
      </c>
      <c r="R1273" s="10">
        <f t="shared" si="114"/>
        <v>108.3061</v>
      </c>
      <c r="S1273" s="10">
        <f t="shared" si="115"/>
        <v>135.38262499999999</v>
      </c>
      <c r="T1273" s="10">
        <f t="shared" si="116"/>
        <v>135.38262499999999</v>
      </c>
      <c r="U1273" s="8" t="str">
        <f t="shared" si="117"/>
        <v>Thu</v>
      </c>
      <c r="V1273" s="8" t="str">
        <f t="shared" si="118"/>
        <v>Tue</v>
      </c>
    </row>
    <row r="1274" spans="1:22" hidden="1" x14ac:dyDescent="0.25">
      <c r="A1274" t="s">
        <v>317</v>
      </c>
      <c r="B1274" t="s">
        <v>39</v>
      </c>
      <c r="C1274" t="s">
        <v>44</v>
      </c>
      <c r="D1274" t="s">
        <v>12</v>
      </c>
      <c r="F1274" s="5">
        <v>44210</v>
      </c>
      <c r="G1274" s="5">
        <v>44221</v>
      </c>
      <c r="H1274" s="2">
        <v>1</v>
      </c>
      <c r="I1274" s="6"/>
      <c r="J1274" s="6"/>
      <c r="K1274" s="7">
        <v>0.25</v>
      </c>
      <c r="L1274" s="7">
        <v>70.8215</v>
      </c>
      <c r="M1274" t="s">
        <v>18</v>
      </c>
      <c r="N1274" s="9"/>
      <c r="O1274" s="8">
        <f t="array" ref="O1274">INDEX(TechRate,MATCH(H1274,TechNum,0))</f>
        <v>80</v>
      </c>
      <c r="P1274" s="10">
        <f>WorkOrders278[[#This Row],[Techs]]*(WorkOrders278[[#This Row],[PartsCost]]*WorkOrders278[[#This Row],[LbrHrs]])</f>
        <v>17.705375</v>
      </c>
      <c r="Q1274" s="10">
        <f t="shared" si="113"/>
        <v>17.705375</v>
      </c>
      <c r="R1274" s="10">
        <f t="shared" si="114"/>
        <v>70.8215</v>
      </c>
      <c r="S1274" s="10">
        <f t="shared" si="115"/>
        <v>88.526875000000004</v>
      </c>
      <c r="T1274" s="10">
        <f t="shared" si="116"/>
        <v>88.526875000000004</v>
      </c>
      <c r="U1274" s="8" t="str">
        <f t="shared" si="117"/>
        <v>Thu</v>
      </c>
      <c r="V1274" s="8" t="str">
        <f t="shared" si="118"/>
        <v>Mon</v>
      </c>
    </row>
    <row r="1275" spans="1:22" hidden="1" x14ac:dyDescent="0.25">
      <c r="A1275" t="s">
        <v>318</v>
      </c>
      <c r="B1275" t="s">
        <v>37</v>
      </c>
      <c r="C1275" t="s">
        <v>43</v>
      </c>
      <c r="D1275" t="s">
        <v>12</v>
      </c>
      <c r="E1275" t="s">
        <v>3</v>
      </c>
      <c r="F1275" s="5">
        <v>44210</v>
      </c>
      <c r="G1275" s="5">
        <v>44228</v>
      </c>
      <c r="H1275" s="2">
        <v>1</v>
      </c>
      <c r="I1275" s="6"/>
      <c r="J1275" s="6"/>
      <c r="K1275" s="7">
        <v>0.5</v>
      </c>
      <c r="L1275" s="7">
        <v>56.919600000000003</v>
      </c>
      <c r="M1275" t="s">
        <v>17</v>
      </c>
      <c r="N1275" s="9"/>
      <c r="O1275" s="8">
        <f t="array" ref="O1275">INDEX(TechRate,MATCH(H1275,TechNum,0))</f>
        <v>80</v>
      </c>
      <c r="P1275" s="10">
        <f>WorkOrders278[[#This Row],[Techs]]*(WorkOrders278[[#This Row],[PartsCost]]*WorkOrders278[[#This Row],[LbrHrs]])</f>
        <v>28.459800000000001</v>
      </c>
      <c r="Q1275" s="10">
        <f t="shared" si="113"/>
        <v>28.459800000000001</v>
      </c>
      <c r="R1275" s="10">
        <f t="shared" si="114"/>
        <v>56.919600000000003</v>
      </c>
      <c r="S1275" s="10">
        <f t="shared" si="115"/>
        <v>85.379400000000004</v>
      </c>
      <c r="T1275" s="10">
        <f t="shared" si="116"/>
        <v>85.379400000000004</v>
      </c>
      <c r="U1275" s="8" t="str">
        <f t="shared" si="117"/>
        <v>Thu</v>
      </c>
      <c r="V1275" s="8" t="str">
        <f t="shared" si="118"/>
        <v>Mon</v>
      </c>
    </row>
    <row r="1276" spans="1:22" hidden="1" x14ac:dyDescent="0.25">
      <c r="A1276" t="s">
        <v>319</v>
      </c>
      <c r="B1276" t="s">
        <v>35</v>
      </c>
      <c r="C1276" t="s">
        <v>9</v>
      </c>
      <c r="D1276" t="s">
        <v>12</v>
      </c>
      <c r="F1276" s="5">
        <v>44210</v>
      </c>
      <c r="G1276" s="5">
        <v>44232</v>
      </c>
      <c r="H1276" s="2">
        <v>2</v>
      </c>
      <c r="I1276" s="6"/>
      <c r="J1276" s="6"/>
      <c r="K1276" s="7">
        <v>0.5</v>
      </c>
      <c r="L1276" s="7">
        <v>74.532399999999996</v>
      </c>
      <c r="M1276" t="s">
        <v>18</v>
      </c>
      <c r="N1276" s="9"/>
      <c r="O1276" s="8">
        <f t="array" ref="O1276">INDEX(TechRate,MATCH(H1276,TechNum,0))</f>
        <v>140</v>
      </c>
      <c r="P1276" s="10">
        <f>WorkOrders278[[#This Row],[Techs]]*(WorkOrders278[[#This Row],[PartsCost]]*WorkOrders278[[#This Row],[LbrHrs]])</f>
        <v>74.532399999999996</v>
      </c>
      <c r="Q1276" s="10">
        <f t="shared" si="113"/>
        <v>74.532399999999996</v>
      </c>
      <c r="R1276" s="10">
        <f t="shared" si="114"/>
        <v>74.532399999999996</v>
      </c>
      <c r="S1276" s="10">
        <f t="shared" si="115"/>
        <v>149.06479999999999</v>
      </c>
      <c r="T1276" s="10">
        <f t="shared" si="116"/>
        <v>149.06479999999999</v>
      </c>
      <c r="U1276" s="8" t="str">
        <f t="shared" si="117"/>
        <v>Thu</v>
      </c>
      <c r="V1276" s="8" t="str">
        <f t="shared" si="118"/>
        <v>Fri</v>
      </c>
    </row>
    <row r="1277" spans="1:22" hidden="1" x14ac:dyDescent="0.25">
      <c r="A1277" t="s">
        <v>320</v>
      </c>
      <c r="B1277" t="s">
        <v>36</v>
      </c>
      <c r="C1277" t="s">
        <v>7</v>
      </c>
      <c r="D1277" t="s">
        <v>12</v>
      </c>
      <c r="F1277" s="5">
        <v>44210</v>
      </c>
      <c r="G1277" s="5">
        <v>44242</v>
      </c>
      <c r="H1277" s="2">
        <v>2</v>
      </c>
      <c r="I1277" s="6"/>
      <c r="J1277" s="6"/>
      <c r="K1277" s="7">
        <v>0.5</v>
      </c>
      <c r="L1277" s="7">
        <v>137.22</v>
      </c>
      <c r="M1277" t="s">
        <v>17</v>
      </c>
      <c r="N1277" s="9"/>
      <c r="O1277" s="8">
        <f t="array" ref="O1277">INDEX(TechRate,MATCH(H1277,TechNum,0))</f>
        <v>140</v>
      </c>
      <c r="P1277" s="10">
        <f>WorkOrders278[[#This Row],[Techs]]*(WorkOrders278[[#This Row],[PartsCost]]*WorkOrders278[[#This Row],[LbrHrs]])</f>
        <v>137.22</v>
      </c>
      <c r="Q1277" s="10">
        <f t="shared" si="113"/>
        <v>137.22</v>
      </c>
      <c r="R1277" s="10">
        <f t="shared" si="114"/>
        <v>137.22</v>
      </c>
      <c r="S1277" s="10">
        <f t="shared" si="115"/>
        <v>274.44</v>
      </c>
      <c r="T1277" s="10">
        <f t="shared" si="116"/>
        <v>274.44</v>
      </c>
      <c r="U1277" s="8" t="str">
        <f t="shared" si="117"/>
        <v>Thu</v>
      </c>
      <c r="V1277" s="8" t="str">
        <f t="shared" si="118"/>
        <v>Mon</v>
      </c>
    </row>
    <row r="1278" spans="1:22" hidden="1" x14ac:dyDescent="0.25">
      <c r="A1278" t="s">
        <v>321</v>
      </c>
      <c r="B1278" t="s">
        <v>35</v>
      </c>
      <c r="C1278" t="s">
        <v>44</v>
      </c>
      <c r="D1278" t="s">
        <v>12</v>
      </c>
      <c r="E1278" t="s">
        <v>3</v>
      </c>
      <c r="F1278" s="5">
        <v>44211</v>
      </c>
      <c r="G1278" s="5">
        <v>44228</v>
      </c>
      <c r="H1278" s="2">
        <v>2</v>
      </c>
      <c r="I1278" s="6"/>
      <c r="J1278" s="6"/>
      <c r="K1278" s="7">
        <v>0.5</v>
      </c>
      <c r="L1278" s="7">
        <v>83.462900000000005</v>
      </c>
      <c r="M1278" t="s">
        <v>17</v>
      </c>
      <c r="N1278" s="9"/>
      <c r="O1278" s="8">
        <f t="array" ref="O1278">INDEX(TechRate,MATCH(H1278,TechNum,0))</f>
        <v>140</v>
      </c>
      <c r="P1278" s="10">
        <f>WorkOrders278[[#This Row],[Techs]]*(WorkOrders278[[#This Row],[PartsCost]]*WorkOrders278[[#This Row],[LbrHrs]])</f>
        <v>83.462900000000005</v>
      </c>
      <c r="Q1278" s="10">
        <f t="shared" si="113"/>
        <v>83.462900000000005</v>
      </c>
      <c r="R1278" s="10">
        <f t="shared" si="114"/>
        <v>83.462900000000005</v>
      </c>
      <c r="S1278" s="10">
        <f t="shared" si="115"/>
        <v>166.92580000000001</v>
      </c>
      <c r="T1278" s="10">
        <f t="shared" si="116"/>
        <v>166.92580000000001</v>
      </c>
      <c r="U1278" s="8" t="str">
        <f t="shared" si="117"/>
        <v>Fri</v>
      </c>
      <c r="V1278" s="8" t="str">
        <f t="shared" si="118"/>
        <v>Mon</v>
      </c>
    </row>
    <row r="1279" spans="1:22" hidden="1" x14ac:dyDescent="0.25">
      <c r="A1279" t="s">
        <v>322</v>
      </c>
      <c r="B1279" t="s">
        <v>38</v>
      </c>
      <c r="C1279" t="s">
        <v>8</v>
      </c>
      <c r="D1279" t="s">
        <v>12</v>
      </c>
      <c r="F1279" s="5">
        <v>44212</v>
      </c>
      <c r="G1279" s="5">
        <v>44230</v>
      </c>
      <c r="H1279" s="2">
        <v>1</v>
      </c>
      <c r="I1279" s="6"/>
      <c r="J1279" s="6"/>
      <c r="K1279" s="7">
        <v>1</v>
      </c>
      <c r="L1279" s="7">
        <v>9.92</v>
      </c>
      <c r="M1279" t="s">
        <v>19</v>
      </c>
      <c r="N1279" s="9"/>
      <c r="O1279" s="8">
        <f t="array" ref="O1279">INDEX(TechRate,MATCH(H1279,TechNum,0))</f>
        <v>80</v>
      </c>
      <c r="P1279" s="10">
        <f>WorkOrders278[[#This Row],[Techs]]*(WorkOrders278[[#This Row],[PartsCost]]*WorkOrders278[[#This Row],[LbrHrs]])</f>
        <v>9.92</v>
      </c>
      <c r="Q1279" s="10">
        <f t="shared" si="113"/>
        <v>9.92</v>
      </c>
      <c r="R1279" s="10">
        <f t="shared" si="114"/>
        <v>9.92</v>
      </c>
      <c r="S1279" s="10">
        <f t="shared" si="115"/>
        <v>19.84</v>
      </c>
      <c r="T1279" s="10">
        <f t="shared" si="116"/>
        <v>19.84</v>
      </c>
      <c r="U1279" s="8" t="str">
        <f t="shared" si="117"/>
        <v>Sat</v>
      </c>
      <c r="V1279" s="8" t="str">
        <f t="shared" si="118"/>
        <v>Wed</v>
      </c>
    </row>
    <row r="1280" spans="1:22" hidden="1" x14ac:dyDescent="0.25">
      <c r="A1280" t="s">
        <v>323</v>
      </c>
      <c r="B1280" t="s">
        <v>39</v>
      </c>
      <c r="C1280" t="s">
        <v>44</v>
      </c>
      <c r="D1280" t="s">
        <v>12</v>
      </c>
      <c r="F1280" s="5">
        <v>44214</v>
      </c>
      <c r="G1280" s="5">
        <v>44221</v>
      </c>
      <c r="H1280" s="2">
        <v>1</v>
      </c>
      <c r="I1280" s="6"/>
      <c r="J1280" s="6"/>
      <c r="K1280" s="7">
        <v>0.25</v>
      </c>
      <c r="L1280" s="7">
        <v>72.350099999999998</v>
      </c>
      <c r="M1280" t="s">
        <v>18</v>
      </c>
      <c r="N1280" s="9"/>
      <c r="O1280" s="8">
        <f t="array" ref="O1280">INDEX(TechRate,MATCH(H1280,TechNum,0))</f>
        <v>80</v>
      </c>
      <c r="P1280" s="10">
        <f>WorkOrders278[[#This Row],[Techs]]*(WorkOrders278[[#This Row],[PartsCost]]*WorkOrders278[[#This Row],[LbrHrs]])</f>
        <v>18.087524999999999</v>
      </c>
      <c r="Q1280" s="10">
        <f t="shared" si="113"/>
        <v>18.087524999999999</v>
      </c>
      <c r="R1280" s="10">
        <f t="shared" si="114"/>
        <v>72.350099999999998</v>
      </c>
      <c r="S1280" s="10">
        <f t="shared" si="115"/>
        <v>90.437624999999997</v>
      </c>
      <c r="T1280" s="10">
        <f t="shared" si="116"/>
        <v>90.437624999999997</v>
      </c>
      <c r="U1280" s="8" t="str">
        <f t="shared" si="117"/>
        <v>Mon</v>
      </c>
      <c r="V1280" s="8" t="str">
        <f t="shared" si="118"/>
        <v>Mon</v>
      </c>
    </row>
    <row r="1281" spans="1:22" hidden="1" x14ac:dyDescent="0.25">
      <c r="A1281" t="s">
        <v>324</v>
      </c>
      <c r="B1281" t="s">
        <v>35</v>
      </c>
      <c r="C1281" t="s">
        <v>44</v>
      </c>
      <c r="D1281" t="s">
        <v>11</v>
      </c>
      <c r="E1281" t="s">
        <v>3</v>
      </c>
      <c r="F1281" s="5">
        <v>44214</v>
      </c>
      <c r="G1281" s="5">
        <v>44223</v>
      </c>
      <c r="H1281" s="2">
        <v>1</v>
      </c>
      <c r="I1281" s="6"/>
      <c r="J1281" s="6"/>
      <c r="K1281" s="7">
        <v>0.25</v>
      </c>
      <c r="L1281" s="7">
        <v>19.9801</v>
      </c>
      <c r="M1281" t="s">
        <v>17</v>
      </c>
      <c r="N1281" s="9"/>
      <c r="O1281" s="8">
        <f t="array" ref="O1281">INDEX(TechRate,MATCH(H1281,TechNum,0))</f>
        <v>80</v>
      </c>
      <c r="P1281" s="10">
        <f>WorkOrders278[[#This Row],[Techs]]*(WorkOrders278[[#This Row],[PartsCost]]*WorkOrders278[[#This Row],[LbrHrs]])</f>
        <v>4.995025</v>
      </c>
      <c r="Q1281" s="10">
        <f t="shared" si="113"/>
        <v>4.995025</v>
      </c>
      <c r="R1281" s="10">
        <f t="shared" si="114"/>
        <v>19.9801</v>
      </c>
      <c r="S1281" s="10">
        <f t="shared" si="115"/>
        <v>24.975124999999998</v>
      </c>
      <c r="T1281" s="10">
        <f t="shared" si="116"/>
        <v>24.975124999999998</v>
      </c>
      <c r="U1281" s="8" t="str">
        <f t="shared" si="117"/>
        <v>Mon</v>
      </c>
      <c r="V1281" s="8" t="str">
        <f t="shared" si="118"/>
        <v>Wed</v>
      </c>
    </row>
    <row r="1282" spans="1:22" hidden="1" x14ac:dyDescent="0.25">
      <c r="A1282" t="s">
        <v>325</v>
      </c>
      <c r="B1282" t="s">
        <v>40</v>
      </c>
      <c r="C1282" t="s">
        <v>7</v>
      </c>
      <c r="D1282" t="s">
        <v>2</v>
      </c>
      <c r="F1282" s="5">
        <v>44214</v>
      </c>
      <c r="G1282" s="5">
        <v>44229</v>
      </c>
      <c r="H1282" s="2">
        <v>2</v>
      </c>
      <c r="I1282" s="6"/>
      <c r="J1282" s="6"/>
      <c r="K1282" s="7">
        <v>1.25</v>
      </c>
      <c r="L1282" s="7">
        <v>85.32</v>
      </c>
      <c r="M1282" t="s">
        <v>17</v>
      </c>
      <c r="N1282" s="9"/>
      <c r="O1282" s="8">
        <f t="array" ref="O1282">INDEX(TechRate,MATCH(H1282,TechNum,0))</f>
        <v>140</v>
      </c>
      <c r="P1282" s="10">
        <f>WorkOrders278[[#This Row],[Techs]]*(WorkOrders278[[#This Row],[PartsCost]]*WorkOrders278[[#This Row],[LbrHrs]])</f>
        <v>213.29999999999998</v>
      </c>
      <c r="Q1282" s="10">
        <f t="shared" si="113"/>
        <v>213.29999999999998</v>
      </c>
      <c r="R1282" s="10">
        <f t="shared" si="114"/>
        <v>85.32</v>
      </c>
      <c r="S1282" s="10">
        <f t="shared" si="115"/>
        <v>298.62</v>
      </c>
      <c r="T1282" s="10">
        <f t="shared" si="116"/>
        <v>298.62</v>
      </c>
      <c r="U1282" s="8" t="str">
        <f t="shared" si="117"/>
        <v>Mon</v>
      </c>
      <c r="V1282" s="8" t="str">
        <f t="shared" si="118"/>
        <v>Tue</v>
      </c>
    </row>
    <row r="1283" spans="1:22" hidden="1" x14ac:dyDescent="0.25">
      <c r="A1283" t="s">
        <v>326</v>
      </c>
      <c r="B1283" t="s">
        <v>38</v>
      </c>
      <c r="C1283" t="s">
        <v>8</v>
      </c>
      <c r="D1283" t="s">
        <v>12</v>
      </c>
      <c r="F1283" s="5">
        <v>44214</v>
      </c>
      <c r="G1283" s="5">
        <v>44256</v>
      </c>
      <c r="H1283" s="2">
        <v>1</v>
      </c>
      <c r="I1283" s="6"/>
      <c r="J1283" s="6"/>
      <c r="K1283" s="7">
        <v>0.5</v>
      </c>
      <c r="L1283" s="7">
        <v>180</v>
      </c>
      <c r="M1283" t="s">
        <v>19</v>
      </c>
      <c r="N1283" s="9"/>
      <c r="O1283" s="8">
        <f t="array" ref="O1283">INDEX(TechRate,MATCH(H1283,TechNum,0))</f>
        <v>80</v>
      </c>
      <c r="P1283" s="10">
        <f>WorkOrders278[[#This Row],[Techs]]*(WorkOrders278[[#This Row],[PartsCost]]*WorkOrders278[[#This Row],[LbrHrs]])</f>
        <v>90</v>
      </c>
      <c r="Q1283" s="10">
        <f t="shared" si="113"/>
        <v>90</v>
      </c>
      <c r="R1283" s="10">
        <f t="shared" si="114"/>
        <v>180</v>
      </c>
      <c r="S1283" s="10">
        <f t="shared" si="115"/>
        <v>270</v>
      </c>
      <c r="T1283" s="10">
        <f t="shared" si="116"/>
        <v>270</v>
      </c>
      <c r="U1283" s="8" t="str">
        <f t="shared" si="117"/>
        <v>Mon</v>
      </c>
      <c r="V1283" s="8" t="str">
        <f t="shared" si="118"/>
        <v>Mon</v>
      </c>
    </row>
    <row r="1284" spans="1:22" hidden="1" x14ac:dyDescent="0.25">
      <c r="A1284" t="s">
        <v>327</v>
      </c>
      <c r="B1284" t="s">
        <v>40</v>
      </c>
      <c r="C1284" t="s">
        <v>7</v>
      </c>
      <c r="D1284" t="s">
        <v>12</v>
      </c>
      <c r="F1284" s="5">
        <v>44215</v>
      </c>
      <c r="G1284" s="5">
        <v>44231</v>
      </c>
      <c r="H1284" s="2">
        <v>2</v>
      </c>
      <c r="I1284" s="6"/>
      <c r="J1284" s="6"/>
      <c r="K1284" s="7">
        <v>0.25</v>
      </c>
      <c r="L1284" s="7">
        <v>52.350099999999998</v>
      </c>
      <c r="M1284" t="s">
        <v>17</v>
      </c>
      <c r="N1284" s="9"/>
      <c r="O1284" s="8">
        <f t="array" ref="O1284">INDEX(TechRate,MATCH(H1284,TechNum,0))</f>
        <v>140</v>
      </c>
      <c r="P1284" s="10">
        <f>WorkOrders278[[#This Row],[Techs]]*(WorkOrders278[[#This Row],[PartsCost]]*WorkOrders278[[#This Row],[LbrHrs]])</f>
        <v>26.175049999999999</v>
      </c>
      <c r="Q1284" s="10">
        <f t="shared" si="113"/>
        <v>26.175049999999999</v>
      </c>
      <c r="R1284" s="10">
        <f t="shared" si="114"/>
        <v>52.350099999999998</v>
      </c>
      <c r="S1284" s="10">
        <f t="shared" si="115"/>
        <v>78.525149999999996</v>
      </c>
      <c r="T1284" s="10">
        <f t="shared" si="116"/>
        <v>78.525149999999996</v>
      </c>
      <c r="U1284" s="8" t="str">
        <f t="shared" si="117"/>
        <v>Tue</v>
      </c>
      <c r="V1284" s="8" t="str">
        <f t="shared" si="118"/>
        <v>Thu</v>
      </c>
    </row>
    <row r="1285" spans="1:22" hidden="1" x14ac:dyDescent="0.25">
      <c r="A1285" t="s">
        <v>328</v>
      </c>
      <c r="B1285" t="s">
        <v>40</v>
      </c>
      <c r="C1285" t="s">
        <v>7</v>
      </c>
      <c r="D1285" t="s">
        <v>12</v>
      </c>
      <c r="F1285" s="5">
        <v>44215</v>
      </c>
      <c r="G1285" s="5">
        <v>44236</v>
      </c>
      <c r="H1285" s="2">
        <v>2</v>
      </c>
      <c r="I1285" s="6"/>
      <c r="J1285" s="6"/>
      <c r="K1285" s="7">
        <v>0.5</v>
      </c>
      <c r="L1285" s="7">
        <v>45.293500000000002</v>
      </c>
      <c r="M1285" t="s">
        <v>17</v>
      </c>
      <c r="N1285" s="9"/>
      <c r="O1285" s="8">
        <f t="array" ref="O1285">INDEX(TechRate,MATCH(H1285,TechNum,0))</f>
        <v>140</v>
      </c>
      <c r="P1285" s="10">
        <f>WorkOrders278[[#This Row],[Techs]]*(WorkOrders278[[#This Row],[PartsCost]]*WorkOrders278[[#This Row],[LbrHrs]])</f>
        <v>45.293500000000002</v>
      </c>
      <c r="Q1285" s="10">
        <f t="shared" si="113"/>
        <v>45.293500000000002</v>
      </c>
      <c r="R1285" s="10">
        <f t="shared" si="114"/>
        <v>45.293500000000002</v>
      </c>
      <c r="S1285" s="10">
        <f t="shared" si="115"/>
        <v>90.587000000000003</v>
      </c>
      <c r="T1285" s="10">
        <f t="shared" si="116"/>
        <v>90.587000000000003</v>
      </c>
      <c r="U1285" s="8" t="str">
        <f t="shared" si="117"/>
        <v>Tue</v>
      </c>
      <c r="V1285" s="8" t="str">
        <f t="shared" si="118"/>
        <v>Tue</v>
      </c>
    </row>
    <row r="1286" spans="1:22" hidden="1" x14ac:dyDescent="0.25">
      <c r="A1286" t="s">
        <v>329</v>
      </c>
      <c r="B1286" t="s">
        <v>37</v>
      </c>
      <c r="C1286" t="s">
        <v>43</v>
      </c>
      <c r="D1286" t="s">
        <v>11</v>
      </c>
      <c r="F1286" s="5">
        <v>44216</v>
      </c>
      <c r="G1286" s="5">
        <v>44224</v>
      </c>
      <c r="H1286" s="2">
        <v>1</v>
      </c>
      <c r="I1286" s="6"/>
      <c r="J1286" s="6"/>
      <c r="K1286" s="7">
        <v>0.25</v>
      </c>
      <c r="L1286" s="7">
        <v>11.7</v>
      </c>
      <c r="M1286" t="s">
        <v>17</v>
      </c>
      <c r="N1286" s="9"/>
      <c r="O1286" s="8">
        <f t="array" ref="O1286">INDEX(TechRate,MATCH(H1286,TechNum,0))</f>
        <v>80</v>
      </c>
      <c r="P1286" s="10">
        <f>WorkOrders278[[#This Row],[Techs]]*(WorkOrders278[[#This Row],[PartsCost]]*WorkOrders278[[#This Row],[LbrHrs]])</f>
        <v>2.9249999999999998</v>
      </c>
      <c r="Q1286" s="10">
        <f t="shared" si="113"/>
        <v>2.9249999999999998</v>
      </c>
      <c r="R1286" s="10">
        <f t="shared" si="114"/>
        <v>11.7</v>
      </c>
      <c r="S1286" s="10">
        <f t="shared" si="115"/>
        <v>14.625</v>
      </c>
      <c r="T1286" s="10">
        <f t="shared" si="116"/>
        <v>14.625</v>
      </c>
      <c r="U1286" s="8" t="str">
        <f t="shared" si="117"/>
        <v>Wed</v>
      </c>
      <c r="V1286" s="8" t="str">
        <f t="shared" si="118"/>
        <v>Thu</v>
      </c>
    </row>
    <row r="1287" spans="1:22" hidden="1" x14ac:dyDescent="0.25">
      <c r="A1287" t="s">
        <v>330</v>
      </c>
      <c r="B1287" t="s">
        <v>34</v>
      </c>
      <c r="C1287" t="s">
        <v>8</v>
      </c>
      <c r="D1287" t="s">
        <v>11</v>
      </c>
      <c r="F1287" s="5">
        <v>44216</v>
      </c>
      <c r="G1287" s="5">
        <v>44329</v>
      </c>
      <c r="H1287" s="2">
        <v>1</v>
      </c>
      <c r="I1287" s="6"/>
      <c r="J1287" s="6"/>
      <c r="K1287" s="7">
        <v>0.25</v>
      </c>
      <c r="L1287" s="7">
        <v>37.707000000000001</v>
      </c>
      <c r="M1287" t="s">
        <v>19</v>
      </c>
      <c r="N1287" s="9"/>
      <c r="O1287" s="8">
        <f t="array" ref="O1287">INDEX(TechRate,MATCH(H1287,TechNum,0))</f>
        <v>80</v>
      </c>
      <c r="P1287" s="10">
        <f>WorkOrders278[[#This Row],[Techs]]*(WorkOrders278[[#This Row],[PartsCost]]*WorkOrders278[[#This Row],[LbrHrs]])</f>
        <v>9.4267500000000002</v>
      </c>
      <c r="Q1287" s="10">
        <f t="shared" si="113"/>
        <v>9.4267500000000002</v>
      </c>
      <c r="R1287" s="10">
        <f t="shared" si="114"/>
        <v>37.707000000000001</v>
      </c>
      <c r="S1287" s="10">
        <f t="shared" si="115"/>
        <v>47.133749999999999</v>
      </c>
      <c r="T1287" s="10">
        <f t="shared" si="116"/>
        <v>47.133749999999999</v>
      </c>
      <c r="U1287" s="8" t="str">
        <f t="shared" si="117"/>
        <v>Wed</v>
      </c>
      <c r="V1287" s="8" t="str">
        <f t="shared" si="118"/>
        <v>Thu</v>
      </c>
    </row>
    <row r="1288" spans="1:22" hidden="1" x14ac:dyDescent="0.25">
      <c r="A1288" t="s">
        <v>331</v>
      </c>
      <c r="B1288" t="s">
        <v>34</v>
      </c>
      <c r="C1288" t="s">
        <v>6</v>
      </c>
      <c r="D1288" t="s">
        <v>1</v>
      </c>
      <c r="F1288" s="5">
        <v>44217</v>
      </c>
      <c r="G1288" s="5">
        <v>44229</v>
      </c>
      <c r="H1288" s="2">
        <v>1</v>
      </c>
      <c r="I1288" s="6"/>
      <c r="J1288" s="6"/>
      <c r="K1288" s="7">
        <v>1</v>
      </c>
      <c r="L1288" s="7">
        <v>155.03550000000001</v>
      </c>
      <c r="M1288" t="s">
        <v>18</v>
      </c>
      <c r="N1288" s="9"/>
      <c r="O1288" s="8">
        <f t="array" ref="O1288">INDEX(TechRate,MATCH(H1288,TechNum,0))</f>
        <v>80</v>
      </c>
      <c r="P1288" s="10">
        <f>WorkOrders278[[#This Row],[Techs]]*(WorkOrders278[[#This Row],[PartsCost]]*WorkOrders278[[#This Row],[LbrHrs]])</f>
        <v>155.03550000000001</v>
      </c>
      <c r="Q1288" s="10">
        <f t="shared" si="113"/>
        <v>155.03550000000001</v>
      </c>
      <c r="R1288" s="10">
        <f t="shared" si="114"/>
        <v>155.03550000000001</v>
      </c>
      <c r="S1288" s="10">
        <f t="shared" si="115"/>
        <v>310.07100000000003</v>
      </c>
      <c r="T1288" s="10">
        <f t="shared" si="116"/>
        <v>310.07100000000003</v>
      </c>
      <c r="U1288" s="8" t="str">
        <f t="shared" si="117"/>
        <v>Thu</v>
      </c>
      <c r="V1288" s="8" t="str">
        <f t="shared" si="118"/>
        <v>Tue</v>
      </c>
    </row>
    <row r="1289" spans="1:22" hidden="1" x14ac:dyDescent="0.25">
      <c r="A1289" t="s">
        <v>332</v>
      </c>
      <c r="B1289" t="s">
        <v>37</v>
      </c>
      <c r="C1289" t="s">
        <v>43</v>
      </c>
      <c r="D1289" t="s">
        <v>12</v>
      </c>
      <c r="F1289" s="5">
        <v>44217</v>
      </c>
      <c r="G1289" s="5">
        <v>44239</v>
      </c>
      <c r="H1289" s="2">
        <v>1</v>
      </c>
      <c r="I1289" s="6"/>
      <c r="J1289" s="6"/>
      <c r="K1289" s="7">
        <v>1.25</v>
      </c>
      <c r="L1289" s="7">
        <v>93.6</v>
      </c>
      <c r="M1289" t="s">
        <v>19</v>
      </c>
      <c r="N1289" s="9"/>
      <c r="O1289" s="8">
        <f t="array" ref="O1289">INDEX(TechRate,MATCH(H1289,TechNum,0))</f>
        <v>80</v>
      </c>
      <c r="P1289" s="10">
        <f>WorkOrders278[[#This Row],[Techs]]*(WorkOrders278[[#This Row],[PartsCost]]*WorkOrders278[[#This Row],[LbrHrs]])</f>
        <v>117</v>
      </c>
      <c r="Q1289" s="10">
        <f t="shared" si="113"/>
        <v>117</v>
      </c>
      <c r="R1289" s="10">
        <f t="shared" si="114"/>
        <v>93.6</v>
      </c>
      <c r="S1289" s="10">
        <f t="shared" si="115"/>
        <v>210.6</v>
      </c>
      <c r="T1289" s="10">
        <f t="shared" si="116"/>
        <v>210.6</v>
      </c>
      <c r="U1289" s="8" t="str">
        <f t="shared" si="117"/>
        <v>Thu</v>
      </c>
      <c r="V1289" s="8" t="str">
        <f t="shared" si="118"/>
        <v>Fri</v>
      </c>
    </row>
    <row r="1290" spans="1:22" hidden="1" x14ac:dyDescent="0.25">
      <c r="A1290" t="s">
        <v>333</v>
      </c>
      <c r="B1290" t="s">
        <v>36</v>
      </c>
      <c r="C1290" t="s">
        <v>7</v>
      </c>
      <c r="D1290" t="s">
        <v>11</v>
      </c>
      <c r="F1290" s="5">
        <v>44217</v>
      </c>
      <c r="G1290" s="5">
        <v>44237</v>
      </c>
      <c r="H1290" s="2">
        <v>1</v>
      </c>
      <c r="I1290" s="6"/>
      <c r="J1290" s="6"/>
      <c r="K1290" s="7">
        <v>0.25</v>
      </c>
      <c r="L1290" s="7">
        <v>21.33</v>
      </c>
      <c r="M1290" t="s">
        <v>17</v>
      </c>
      <c r="N1290" s="9"/>
      <c r="O1290" s="8">
        <f t="array" ref="O1290">INDEX(TechRate,MATCH(H1290,TechNum,0))</f>
        <v>80</v>
      </c>
      <c r="P1290" s="10">
        <f>WorkOrders278[[#This Row],[Techs]]*(WorkOrders278[[#This Row],[PartsCost]]*WorkOrders278[[#This Row],[LbrHrs]])</f>
        <v>5.3324999999999996</v>
      </c>
      <c r="Q1290" s="10">
        <f t="shared" si="113"/>
        <v>5.3324999999999996</v>
      </c>
      <c r="R1290" s="10">
        <f t="shared" si="114"/>
        <v>21.33</v>
      </c>
      <c r="S1290" s="10">
        <f t="shared" si="115"/>
        <v>26.662499999999998</v>
      </c>
      <c r="T1290" s="10">
        <f t="shared" si="116"/>
        <v>26.662499999999998</v>
      </c>
      <c r="U1290" s="8" t="str">
        <f t="shared" si="117"/>
        <v>Thu</v>
      </c>
      <c r="V1290" s="8" t="str">
        <f t="shared" si="118"/>
        <v>Wed</v>
      </c>
    </row>
    <row r="1291" spans="1:22" hidden="1" x14ac:dyDescent="0.25">
      <c r="A1291" t="s">
        <v>334</v>
      </c>
      <c r="B1291" t="s">
        <v>34</v>
      </c>
      <c r="C1291" t="s">
        <v>9</v>
      </c>
      <c r="D1291" t="s">
        <v>2</v>
      </c>
      <c r="F1291" s="5">
        <v>44217</v>
      </c>
      <c r="G1291" s="5">
        <v>44278</v>
      </c>
      <c r="H1291" s="2">
        <v>1</v>
      </c>
      <c r="I1291" s="6"/>
      <c r="J1291" s="6"/>
      <c r="K1291" s="7">
        <v>2.5</v>
      </c>
      <c r="L1291" s="7">
        <v>357.11079999999998</v>
      </c>
      <c r="M1291" t="s">
        <v>17</v>
      </c>
      <c r="N1291" s="9"/>
      <c r="O1291" s="8">
        <f t="array" ref="O1291">INDEX(TechRate,MATCH(H1291,TechNum,0))</f>
        <v>80</v>
      </c>
      <c r="P1291" s="10">
        <f>WorkOrders278[[#This Row],[Techs]]*(WorkOrders278[[#This Row],[PartsCost]]*WorkOrders278[[#This Row],[LbrHrs]])</f>
        <v>892.77699999999993</v>
      </c>
      <c r="Q1291" s="10">
        <f t="shared" si="113"/>
        <v>892.77699999999993</v>
      </c>
      <c r="R1291" s="10">
        <f t="shared" si="114"/>
        <v>357.11079999999998</v>
      </c>
      <c r="S1291" s="10">
        <f t="shared" si="115"/>
        <v>1249.8878</v>
      </c>
      <c r="T1291" s="10">
        <f t="shared" si="116"/>
        <v>1249.8878</v>
      </c>
      <c r="U1291" s="8" t="str">
        <f t="shared" si="117"/>
        <v>Thu</v>
      </c>
      <c r="V1291" s="8" t="str">
        <f t="shared" si="118"/>
        <v>Tue</v>
      </c>
    </row>
    <row r="1292" spans="1:22" hidden="1" x14ac:dyDescent="0.25">
      <c r="A1292" t="s">
        <v>335</v>
      </c>
      <c r="B1292" t="s">
        <v>35</v>
      </c>
      <c r="C1292" t="s">
        <v>9</v>
      </c>
      <c r="D1292" t="s">
        <v>11</v>
      </c>
      <c r="F1292" s="5">
        <v>44218</v>
      </c>
      <c r="G1292" s="5">
        <v>44226</v>
      </c>
      <c r="H1292" s="2">
        <v>1</v>
      </c>
      <c r="I1292" s="6"/>
      <c r="J1292" s="6"/>
      <c r="K1292" s="7">
        <v>0.25</v>
      </c>
      <c r="L1292" s="7">
        <v>120</v>
      </c>
      <c r="M1292" t="s">
        <v>18</v>
      </c>
      <c r="N1292" s="9"/>
      <c r="O1292" s="8">
        <f t="array" ref="O1292">INDEX(TechRate,MATCH(H1292,TechNum,0))</f>
        <v>80</v>
      </c>
      <c r="P1292" s="10">
        <f>WorkOrders278[[#This Row],[Techs]]*(WorkOrders278[[#This Row],[PartsCost]]*WorkOrders278[[#This Row],[LbrHrs]])</f>
        <v>30</v>
      </c>
      <c r="Q1292" s="10">
        <f t="shared" si="113"/>
        <v>30</v>
      </c>
      <c r="R1292" s="10">
        <f t="shared" si="114"/>
        <v>120</v>
      </c>
      <c r="S1292" s="10">
        <f t="shared" si="115"/>
        <v>150</v>
      </c>
      <c r="T1292" s="10">
        <f t="shared" si="116"/>
        <v>150</v>
      </c>
      <c r="U1292" s="8" t="str">
        <f t="shared" si="117"/>
        <v>Fri</v>
      </c>
      <c r="V1292" s="8" t="str">
        <f t="shared" si="118"/>
        <v>Sat</v>
      </c>
    </row>
    <row r="1293" spans="1:22" hidden="1" x14ac:dyDescent="0.25">
      <c r="A1293" t="s">
        <v>336</v>
      </c>
      <c r="B1293" t="s">
        <v>39</v>
      </c>
      <c r="C1293" t="s">
        <v>9</v>
      </c>
      <c r="D1293" t="s">
        <v>13</v>
      </c>
      <c r="F1293" s="5">
        <v>44221</v>
      </c>
      <c r="G1293" s="5">
        <v>44236</v>
      </c>
      <c r="H1293" s="2">
        <v>1</v>
      </c>
      <c r="I1293" s="6"/>
      <c r="J1293" s="6"/>
      <c r="K1293" s="7">
        <v>0.5</v>
      </c>
      <c r="L1293" s="7">
        <v>52.350099999999998</v>
      </c>
      <c r="M1293" t="s">
        <v>18</v>
      </c>
      <c r="N1293" s="9"/>
      <c r="O1293" s="8">
        <f t="array" ref="O1293">INDEX(TechRate,MATCH(H1293,TechNum,0))</f>
        <v>80</v>
      </c>
      <c r="P1293" s="10">
        <f>WorkOrders278[[#This Row],[Techs]]*(WorkOrders278[[#This Row],[PartsCost]]*WorkOrders278[[#This Row],[LbrHrs]])</f>
        <v>26.175049999999999</v>
      </c>
      <c r="Q1293" s="10">
        <f t="shared" si="113"/>
        <v>26.175049999999999</v>
      </c>
      <c r="R1293" s="10">
        <f t="shared" si="114"/>
        <v>52.350099999999998</v>
      </c>
      <c r="S1293" s="10">
        <f t="shared" si="115"/>
        <v>78.525149999999996</v>
      </c>
      <c r="T1293" s="10">
        <f t="shared" si="116"/>
        <v>78.525149999999996</v>
      </c>
      <c r="U1293" s="8" t="str">
        <f t="shared" si="117"/>
        <v>Mon</v>
      </c>
      <c r="V1293" s="8" t="str">
        <f t="shared" si="118"/>
        <v>Tue</v>
      </c>
    </row>
    <row r="1294" spans="1:22" hidden="1" x14ac:dyDescent="0.25">
      <c r="A1294" t="s">
        <v>337</v>
      </c>
      <c r="B1294" t="s">
        <v>35</v>
      </c>
      <c r="C1294" t="s">
        <v>44</v>
      </c>
      <c r="D1294" t="s">
        <v>13</v>
      </c>
      <c r="F1294" s="5">
        <v>44221</v>
      </c>
      <c r="G1294" s="5">
        <v>44242</v>
      </c>
      <c r="H1294" s="2">
        <v>1</v>
      </c>
      <c r="I1294" s="6"/>
      <c r="J1294" s="6"/>
      <c r="K1294" s="7">
        <v>3.25</v>
      </c>
      <c r="L1294" s="7">
        <v>511.875</v>
      </c>
      <c r="M1294" t="s">
        <v>17</v>
      </c>
      <c r="N1294" s="9"/>
      <c r="O1294" s="8">
        <f t="array" ref="O1294">INDEX(TechRate,MATCH(H1294,TechNum,0))</f>
        <v>80</v>
      </c>
      <c r="P1294" s="10">
        <f>WorkOrders278[[#This Row],[Techs]]*(WorkOrders278[[#This Row],[PartsCost]]*WorkOrders278[[#This Row],[LbrHrs]])</f>
        <v>1663.59375</v>
      </c>
      <c r="Q1294" s="10">
        <f t="shared" si="113"/>
        <v>1663.59375</v>
      </c>
      <c r="R1294" s="10">
        <f t="shared" si="114"/>
        <v>511.875</v>
      </c>
      <c r="S1294" s="10">
        <f t="shared" si="115"/>
        <v>2175.46875</v>
      </c>
      <c r="T1294" s="10">
        <f t="shared" si="116"/>
        <v>2175.46875</v>
      </c>
      <c r="U1294" s="8" t="str">
        <f t="shared" si="117"/>
        <v>Mon</v>
      </c>
      <c r="V1294" s="8" t="str">
        <f t="shared" si="118"/>
        <v>Mon</v>
      </c>
    </row>
    <row r="1295" spans="1:22" hidden="1" x14ac:dyDescent="0.25">
      <c r="A1295" t="s">
        <v>338</v>
      </c>
      <c r="B1295" t="s">
        <v>36</v>
      </c>
      <c r="C1295" t="s">
        <v>7</v>
      </c>
      <c r="D1295" t="s">
        <v>13</v>
      </c>
      <c r="F1295" s="5">
        <v>44221</v>
      </c>
      <c r="G1295" s="5">
        <v>44275</v>
      </c>
      <c r="H1295" s="2">
        <v>2</v>
      </c>
      <c r="I1295" s="6"/>
      <c r="J1295" s="6"/>
      <c r="K1295" s="7">
        <v>2</v>
      </c>
      <c r="L1295" s="7">
        <v>368.87400000000002</v>
      </c>
      <c r="M1295" t="s">
        <v>17</v>
      </c>
      <c r="N1295" s="9"/>
      <c r="O1295" s="8">
        <f t="array" ref="O1295">INDEX(TechRate,MATCH(H1295,TechNum,0))</f>
        <v>140</v>
      </c>
      <c r="P1295" s="10">
        <f>WorkOrders278[[#This Row],[Techs]]*(WorkOrders278[[#This Row],[PartsCost]]*WorkOrders278[[#This Row],[LbrHrs]])</f>
        <v>1475.4960000000001</v>
      </c>
      <c r="Q1295" s="10">
        <f t="shared" si="113"/>
        <v>1475.4960000000001</v>
      </c>
      <c r="R1295" s="10">
        <f t="shared" si="114"/>
        <v>368.87400000000002</v>
      </c>
      <c r="S1295" s="10">
        <f t="shared" si="115"/>
        <v>1844.3700000000001</v>
      </c>
      <c r="T1295" s="10">
        <f t="shared" si="116"/>
        <v>1844.3700000000001</v>
      </c>
      <c r="U1295" s="8" t="str">
        <f t="shared" si="117"/>
        <v>Mon</v>
      </c>
      <c r="V1295" s="8" t="str">
        <f t="shared" si="118"/>
        <v>Sat</v>
      </c>
    </row>
    <row r="1296" spans="1:22" hidden="1" x14ac:dyDescent="0.25">
      <c r="A1296" t="s">
        <v>339</v>
      </c>
      <c r="B1296" t="s">
        <v>36</v>
      </c>
      <c r="C1296" t="s">
        <v>7</v>
      </c>
      <c r="D1296" t="s">
        <v>11</v>
      </c>
      <c r="F1296" s="5">
        <v>44223</v>
      </c>
      <c r="G1296" s="5">
        <v>44231</v>
      </c>
      <c r="H1296" s="2">
        <v>1</v>
      </c>
      <c r="I1296" s="6"/>
      <c r="J1296" s="6"/>
      <c r="K1296" s="7">
        <v>0.25</v>
      </c>
      <c r="L1296" s="7">
        <v>120</v>
      </c>
      <c r="M1296" t="s">
        <v>17</v>
      </c>
      <c r="N1296" s="9"/>
      <c r="O1296" s="8">
        <f t="array" ref="O1296">INDEX(TechRate,MATCH(H1296,TechNum,0))</f>
        <v>80</v>
      </c>
      <c r="P1296" s="10">
        <f>WorkOrders278[[#This Row],[Techs]]*(WorkOrders278[[#This Row],[PartsCost]]*WorkOrders278[[#This Row],[LbrHrs]])</f>
        <v>30</v>
      </c>
      <c r="Q1296" s="10">
        <f t="shared" si="113"/>
        <v>30</v>
      </c>
      <c r="R1296" s="10">
        <f t="shared" si="114"/>
        <v>120</v>
      </c>
      <c r="S1296" s="10">
        <f t="shared" si="115"/>
        <v>150</v>
      </c>
      <c r="T1296" s="10">
        <f t="shared" si="116"/>
        <v>150</v>
      </c>
      <c r="U1296" s="8" t="str">
        <f t="shared" si="117"/>
        <v>Wed</v>
      </c>
      <c r="V1296" s="8" t="str">
        <f t="shared" si="118"/>
        <v>Thu</v>
      </c>
    </row>
    <row r="1297" spans="1:22" hidden="1" x14ac:dyDescent="0.25">
      <c r="A1297" t="s">
        <v>340</v>
      </c>
      <c r="B1297" t="s">
        <v>36</v>
      </c>
      <c r="C1297" t="s">
        <v>7</v>
      </c>
      <c r="D1297" t="s">
        <v>13</v>
      </c>
      <c r="E1297" t="s">
        <v>3</v>
      </c>
      <c r="F1297" s="5">
        <v>44223</v>
      </c>
      <c r="G1297" s="5">
        <v>44249</v>
      </c>
      <c r="H1297" s="2">
        <v>2</v>
      </c>
      <c r="I1297" s="6"/>
      <c r="J1297" s="6"/>
      <c r="K1297" s="7">
        <v>0.5</v>
      </c>
      <c r="L1297" s="7">
        <v>5.4720000000000004</v>
      </c>
      <c r="M1297" t="s">
        <v>18</v>
      </c>
      <c r="N1297" s="9"/>
      <c r="O1297" s="8">
        <f t="array" ref="O1297">INDEX(TechRate,MATCH(H1297,TechNum,0))</f>
        <v>140</v>
      </c>
      <c r="P1297" s="10">
        <f>WorkOrders278[[#This Row],[Techs]]*(WorkOrders278[[#This Row],[PartsCost]]*WorkOrders278[[#This Row],[LbrHrs]])</f>
        <v>5.4720000000000004</v>
      </c>
      <c r="Q1297" s="10">
        <f t="shared" si="113"/>
        <v>5.4720000000000004</v>
      </c>
      <c r="R1297" s="10">
        <f t="shared" si="114"/>
        <v>5.4720000000000004</v>
      </c>
      <c r="S1297" s="10">
        <f t="shared" si="115"/>
        <v>10.944000000000001</v>
      </c>
      <c r="T1297" s="10">
        <f t="shared" si="116"/>
        <v>10.944000000000001</v>
      </c>
      <c r="U1297" s="8" t="str">
        <f t="shared" si="117"/>
        <v>Wed</v>
      </c>
      <c r="V1297" s="8" t="str">
        <f t="shared" si="118"/>
        <v>Mon</v>
      </c>
    </row>
    <row r="1298" spans="1:22" hidden="1" x14ac:dyDescent="0.25">
      <c r="A1298" t="s">
        <v>341</v>
      </c>
      <c r="B1298" t="s">
        <v>39</v>
      </c>
      <c r="C1298" t="s">
        <v>8</v>
      </c>
      <c r="D1298" t="s">
        <v>12</v>
      </c>
      <c r="F1298" s="5">
        <v>44224</v>
      </c>
      <c r="G1298" s="5">
        <v>44235</v>
      </c>
      <c r="H1298" s="2">
        <v>1</v>
      </c>
      <c r="I1298" s="6"/>
      <c r="J1298" s="6"/>
      <c r="K1298" s="7">
        <v>1</v>
      </c>
      <c r="L1298" s="7">
        <v>60</v>
      </c>
      <c r="M1298" t="s">
        <v>18</v>
      </c>
      <c r="N1298" s="9"/>
      <c r="O1298" s="8">
        <f t="array" ref="O1298">INDEX(TechRate,MATCH(H1298,TechNum,0))</f>
        <v>80</v>
      </c>
      <c r="P1298" s="10">
        <f>WorkOrders278[[#This Row],[Techs]]*(WorkOrders278[[#This Row],[PartsCost]]*WorkOrders278[[#This Row],[LbrHrs]])</f>
        <v>60</v>
      </c>
      <c r="Q1298" s="10">
        <f t="shared" si="113"/>
        <v>60</v>
      </c>
      <c r="R1298" s="10">
        <f t="shared" si="114"/>
        <v>60</v>
      </c>
      <c r="S1298" s="10">
        <f t="shared" si="115"/>
        <v>120</v>
      </c>
      <c r="T1298" s="10">
        <f t="shared" si="116"/>
        <v>120</v>
      </c>
      <c r="U1298" s="8" t="str">
        <f t="shared" si="117"/>
        <v>Thu</v>
      </c>
      <c r="V1298" s="8" t="str">
        <f t="shared" si="118"/>
        <v>Mon</v>
      </c>
    </row>
    <row r="1299" spans="1:22" hidden="1" x14ac:dyDescent="0.25">
      <c r="A1299" t="s">
        <v>342</v>
      </c>
      <c r="B1299" t="s">
        <v>35</v>
      </c>
      <c r="C1299" t="s">
        <v>9</v>
      </c>
      <c r="D1299" t="s">
        <v>13</v>
      </c>
      <c r="F1299" s="5">
        <v>44224</v>
      </c>
      <c r="G1299" s="5">
        <v>44237</v>
      </c>
      <c r="H1299" s="2">
        <v>1</v>
      </c>
      <c r="I1299" s="6"/>
      <c r="J1299" s="6"/>
      <c r="K1299" s="7">
        <v>0.75</v>
      </c>
      <c r="L1299" s="7">
        <v>114.89449999999999</v>
      </c>
      <c r="M1299" t="s">
        <v>19</v>
      </c>
      <c r="N1299" s="9"/>
      <c r="O1299" s="8">
        <f t="array" ref="O1299">INDEX(TechRate,MATCH(H1299,TechNum,0))</f>
        <v>80</v>
      </c>
      <c r="P1299" s="10">
        <f>WorkOrders278[[#This Row],[Techs]]*(WorkOrders278[[#This Row],[PartsCost]]*WorkOrders278[[#This Row],[LbrHrs]])</f>
        <v>86.170874999999995</v>
      </c>
      <c r="Q1299" s="10">
        <f t="shared" si="113"/>
        <v>86.170874999999995</v>
      </c>
      <c r="R1299" s="10">
        <f t="shared" si="114"/>
        <v>114.89449999999999</v>
      </c>
      <c r="S1299" s="10">
        <f t="shared" si="115"/>
        <v>201.06537499999999</v>
      </c>
      <c r="T1299" s="10">
        <f t="shared" si="116"/>
        <v>201.06537499999999</v>
      </c>
      <c r="U1299" s="8" t="str">
        <f t="shared" si="117"/>
        <v>Thu</v>
      </c>
      <c r="V1299" s="8" t="str">
        <f t="shared" si="118"/>
        <v>Wed</v>
      </c>
    </row>
    <row r="1300" spans="1:22" hidden="1" x14ac:dyDescent="0.25">
      <c r="A1300" t="s">
        <v>343</v>
      </c>
      <c r="B1300" t="s">
        <v>36</v>
      </c>
      <c r="C1300" t="s">
        <v>7</v>
      </c>
      <c r="D1300" t="s">
        <v>12</v>
      </c>
      <c r="F1300" s="5">
        <v>44224</v>
      </c>
      <c r="G1300" s="5">
        <v>44245</v>
      </c>
      <c r="H1300" s="2">
        <v>2</v>
      </c>
      <c r="I1300" s="6"/>
      <c r="J1300" s="6"/>
      <c r="K1300" s="7">
        <v>0.25</v>
      </c>
      <c r="L1300" s="7">
        <v>23.899000000000001</v>
      </c>
      <c r="M1300" t="s">
        <v>18</v>
      </c>
      <c r="N1300" s="9"/>
      <c r="O1300" s="8">
        <f t="array" ref="O1300">INDEX(TechRate,MATCH(H1300,TechNum,0))</f>
        <v>140</v>
      </c>
      <c r="P1300" s="10">
        <f>WorkOrders278[[#This Row],[Techs]]*(WorkOrders278[[#This Row],[PartsCost]]*WorkOrders278[[#This Row],[LbrHrs]])</f>
        <v>11.9495</v>
      </c>
      <c r="Q1300" s="10">
        <f t="shared" si="113"/>
        <v>11.9495</v>
      </c>
      <c r="R1300" s="10">
        <f t="shared" si="114"/>
        <v>23.899000000000001</v>
      </c>
      <c r="S1300" s="10">
        <f t="shared" si="115"/>
        <v>35.848500000000001</v>
      </c>
      <c r="T1300" s="10">
        <f t="shared" si="116"/>
        <v>35.848500000000001</v>
      </c>
      <c r="U1300" s="8" t="str">
        <f t="shared" si="117"/>
        <v>Thu</v>
      </c>
      <c r="V1300" s="8" t="str">
        <f t="shared" si="118"/>
        <v>Thu</v>
      </c>
    </row>
    <row r="1301" spans="1:22" hidden="1" x14ac:dyDescent="0.25">
      <c r="A1301" t="s">
        <v>344</v>
      </c>
      <c r="B1301" t="s">
        <v>37</v>
      </c>
      <c r="C1301" t="s">
        <v>43</v>
      </c>
      <c r="D1301" t="s">
        <v>12</v>
      </c>
      <c r="F1301" s="5">
        <v>44224</v>
      </c>
      <c r="G1301" s="5">
        <v>44245</v>
      </c>
      <c r="H1301" s="2">
        <v>1</v>
      </c>
      <c r="I1301" s="6"/>
      <c r="J1301" s="6"/>
      <c r="K1301" s="7">
        <v>0.25</v>
      </c>
      <c r="L1301" s="7">
        <v>57.2</v>
      </c>
      <c r="M1301" t="s">
        <v>19</v>
      </c>
      <c r="N1301" s="9"/>
      <c r="O1301" s="8">
        <f t="array" ref="O1301">INDEX(TechRate,MATCH(H1301,TechNum,0))</f>
        <v>80</v>
      </c>
      <c r="P1301" s="10">
        <f>WorkOrders278[[#This Row],[Techs]]*(WorkOrders278[[#This Row],[PartsCost]]*WorkOrders278[[#This Row],[LbrHrs]])</f>
        <v>14.3</v>
      </c>
      <c r="Q1301" s="10">
        <f t="shared" si="113"/>
        <v>14.3</v>
      </c>
      <c r="R1301" s="10">
        <f t="shared" si="114"/>
        <v>57.2</v>
      </c>
      <c r="S1301" s="10">
        <f t="shared" si="115"/>
        <v>71.5</v>
      </c>
      <c r="T1301" s="10">
        <f t="shared" si="116"/>
        <v>71.5</v>
      </c>
      <c r="U1301" s="8" t="str">
        <f t="shared" si="117"/>
        <v>Thu</v>
      </c>
      <c r="V1301" s="8" t="str">
        <f t="shared" si="118"/>
        <v>Thu</v>
      </c>
    </row>
    <row r="1302" spans="1:22" hidden="1" x14ac:dyDescent="0.25">
      <c r="A1302" t="s">
        <v>345</v>
      </c>
      <c r="B1302" t="s">
        <v>35</v>
      </c>
      <c r="C1302" t="s">
        <v>9</v>
      </c>
      <c r="D1302" t="s">
        <v>13</v>
      </c>
      <c r="F1302" s="5">
        <v>44224</v>
      </c>
      <c r="G1302" s="5">
        <v>44258</v>
      </c>
      <c r="H1302" s="2">
        <v>2</v>
      </c>
      <c r="I1302" s="6"/>
      <c r="J1302" s="6"/>
      <c r="K1302" s="7">
        <v>8.5</v>
      </c>
      <c r="L1302" s="7">
        <v>653.98500000000001</v>
      </c>
      <c r="M1302" t="s">
        <v>17</v>
      </c>
      <c r="N1302" s="9"/>
      <c r="O1302" s="8">
        <f t="array" ref="O1302">INDEX(TechRate,MATCH(H1302,TechNum,0))</f>
        <v>140</v>
      </c>
      <c r="P1302" s="10">
        <f>WorkOrders278[[#This Row],[Techs]]*(WorkOrders278[[#This Row],[PartsCost]]*WorkOrders278[[#This Row],[LbrHrs]])</f>
        <v>11117.745000000001</v>
      </c>
      <c r="Q1302" s="10">
        <f t="shared" si="113"/>
        <v>11117.745000000001</v>
      </c>
      <c r="R1302" s="10">
        <f t="shared" si="114"/>
        <v>653.98500000000001</v>
      </c>
      <c r="S1302" s="10">
        <f t="shared" si="115"/>
        <v>11771.730000000001</v>
      </c>
      <c r="T1302" s="10">
        <f t="shared" si="116"/>
        <v>11771.730000000001</v>
      </c>
      <c r="U1302" s="8" t="str">
        <f t="shared" si="117"/>
        <v>Thu</v>
      </c>
      <c r="V1302" s="8" t="str">
        <f t="shared" si="118"/>
        <v>Wed</v>
      </c>
    </row>
    <row r="1303" spans="1:22" hidden="1" x14ac:dyDescent="0.25">
      <c r="A1303" t="s">
        <v>346</v>
      </c>
      <c r="B1303" t="s">
        <v>37</v>
      </c>
      <c r="C1303" t="s">
        <v>43</v>
      </c>
      <c r="D1303" t="s">
        <v>12</v>
      </c>
      <c r="F1303" s="5">
        <v>44224</v>
      </c>
      <c r="G1303" s="5">
        <v>44271</v>
      </c>
      <c r="H1303" s="2">
        <v>1</v>
      </c>
      <c r="I1303" s="6"/>
      <c r="J1303" s="6"/>
      <c r="K1303" s="7">
        <v>0.5</v>
      </c>
      <c r="L1303" s="7">
        <v>9.75</v>
      </c>
      <c r="M1303" t="s">
        <v>17</v>
      </c>
      <c r="N1303" s="9"/>
      <c r="O1303" s="8">
        <f t="array" ref="O1303">INDEX(TechRate,MATCH(H1303,TechNum,0))</f>
        <v>80</v>
      </c>
      <c r="P1303" s="10">
        <f>WorkOrders278[[#This Row],[Techs]]*(WorkOrders278[[#This Row],[PartsCost]]*WorkOrders278[[#This Row],[LbrHrs]])</f>
        <v>4.875</v>
      </c>
      <c r="Q1303" s="10">
        <f t="shared" si="113"/>
        <v>4.875</v>
      </c>
      <c r="R1303" s="10">
        <f t="shared" si="114"/>
        <v>9.75</v>
      </c>
      <c r="S1303" s="10">
        <f t="shared" si="115"/>
        <v>14.625</v>
      </c>
      <c r="T1303" s="10">
        <f t="shared" si="116"/>
        <v>14.625</v>
      </c>
      <c r="U1303" s="8" t="str">
        <f t="shared" si="117"/>
        <v>Thu</v>
      </c>
      <c r="V1303" s="8" t="str">
        <f t="shared" si="118"/>
        <v>Tue</v>
      </c>
    </row>
    <row r="1304" spans="1:22" hidden="1" x14ac:dyDescent="0.25">
      <c r="A1304" t="s">
        <v>347</v>
      </c>
      <c r="B1304" t="s">
        <v>36</v>
      </c>
      <c r="C1304" t="s">
        <v>7</v>
      </c>
      <c r="D1304" t="s">
        <v>13</v>
      </c>
      <c r="F1304" s="5">
        <v>44226</v>
      </c>
      <c r="G1304" s="5">
        <v>44229</v>
      </c>
      <c r="H1304" s="2">
        <v>2</v>
      </c>
      <c r="I1304" s="6"/>
      <c r="J1304" s="6"/>
      <c r="K1304" s="7">
        <v>0.5</v>
      </c>
      <c r="L1304" s="7">
        <v>134</v>
      </c>
      <c r="M1304" t="s">
        <v>17</v>
      </c>
      <c r="N1304" s="9"/>
      <c r="O1304" s="8">
        <f t="array" ref="O1304">INDEX(TechRate,MATCH(H1304,TechNum,0))</f>
        <v>140</v>
      </c>
      <c r="P1304" s="10">
        <f>WorkOrders278[[#This Row],[Techs]]*(WorkOrders278[[#This Row],[PartsCost]]*WorkOrders278[[#This Row],[LbrHrs]])</f>
        <v>134</v>
      </c>
      <c r="Q1304" s="10">
        <f t="shared" si="113"/>
        <v>134</v>
      </c>
      <c r="R1304" s="10">
        <f t="shared" si="114"/>
        <v>134</v>
      </c>
      <c r="S1304" s="10">
        <f t="shared" si="115"/>
        <v>268</v>
      </c>
      <c r="T1304" s="10">
        <f t="shared" si="116"/>
        <v>268</v>
      </c>
      <c r="U1304" s="8" t="str">
        <f t="shared" si="117"/>
        <v>Sat</v>
      </c>
      <c r="V1304" s="8" t="str">
        <f t="shared" si="118"/>
        <v>Tue</v>
      </c>
    </row>
    <row r="1305" spans="1:22" hidden="1" x14ac:dyDescent="0.25">
      <c r="A1305" t="s">
        <v>348</v>
      </c>
      <c r="B1305" t="s">
        <v>36</v>
      </c>
      <c r="C1305" t="s">
        <v>7</v>
      </c>
      <c r="D1305" t="s">
        <v>12</v>
      </c>
      <c r="F1305" s="5">
        <v>44228</v>
      </c>
      <c r="G1305" s="5">
        <v>44237</v>
      </c>
      <c r="H1305" s="2">
        <v>2</v>
      </c>
      <c r="I1305" s="6"/>
      <c r="J1305" s="6"/>
      <c r="K1305" s="7">
        <v>0.25</v>
      </c>
      <c r="L1305" s="7">
        <v>144</v>
      </c>
      <c r="M1305" t="s">
        <v>17</v>
      </c>
      <c r="N1305" s="9"/>
      <c r="O1305" s="8">
        <f t="array" ref="O1305">INDEX(TechRate,MATCH(H1305,TechNum,0))</f>
        <v>140</v>
      </c>
      <c r="P1305" s="10">
        <f>WorkOrders278[[#This Row],[Techs]]*(WorkOrders278[[#This Row],[PartsCost]]*WorkOrders278[[#This Row],[LbrHrs]])</f>
        <v>72</v>
      </c>
      <c r="Q1305" s="10">
        <f t="shared" si="113"/>
        <v>72</v>
      </c>
      <c r="R1305" s="10">
        <f t="shared" si="114"/>
        <v>144</v>
      </c>
      <c r="S1305" s="10">
        <f t="shared" si="115"/>
        <v>216</v>
      </c>
      <c r="T1305" s="10">
        <f t="shared" si="116"/>
        <v>216</v>
      </c>
      <c r="U1305" s="8" t="str">
        <f t="shared" si="117"/>
        <v>Mon</v>
      </c>
      <c r="V1305" s="8" t="str">
        <f t="shared" si="118"/>
        <v>Wed</v>
      </c>
    </row>
    <row r="1306" spans="1:22" hidden="1" x14ac:dyDescent="0.25">
      <c r="A1306" t="s">
        <v>349</v>
      </c>
      <c r="B1306" t="s">
        <v>35</v>
      </c>
      <c r="C1306" t="s">
        <v>9</v>
      </c>
      <c r="D1306" t="s">
        <v>12</v>
      </c>
      <c r="F1306" s="5">
        <v>44228</v>
      </c>
      <c r="G1306" s="5">
        <v>44237</v>
      </c>
      <c r="H1306" s="2">
        <v>1</v>
      </c>
      <c r="I1306" s="6"/>
      <c r="J1306" s="6"/>
      <c r="K1306" s="7">
        <v>0.5</v>
      </c>
      <c r="L1306" s="7">
        <v>205.1859</v>
      </c>
      <c r="M1306" t="s">
        <v>18</v>
      </c>
      <c r="N1306" s="9"/>
      <c r="O1306" s="8">
        <f t="array" ref="O1306">INDEX(TechRate,MATCH(H1306,TechNum,0))</f>
        <v>80</v>
      </c>
      <c r="P1306" s="10">
        <f>WorkOrders278[[#This Row],[Techs]]*(WorkOrders278[[#This Row],[PartsCost]]*WorkOrders278[[#This Row],[LbrHrs]])</f>
        <v>102.59295</v>
      </c>
      <c r="Q1306" s="10">
        <f t="shared" si="113"/>
        <v>102.59295</v>
      </c>
      <c r="R1306" s="10">
        <f t="shared" si="114"/>
        <v>205.1859</v>
      </c>
      <c r="S1306" s="10">
        <f t="shared" si="115"/>
        <v>307.77885000000003</v>
      </c>
      <c r="T1306" s="10">
        <f t="shared" si="116"/>
        <v>307.77885000000003</v>
      </c>
      <c r="U1306" s="8" t="str">
        <f t="shared" si="117"/>
        <v>Mon</v>
      </c>
      <c r="V1306" s="8" t="str">
        <f t="shared" si="118"/>
        <v>Wed</v>
      </c>
    </row>
    <row r="1307" spans="1:22" hidden="1" x14ac:dyDescent="0.25">
      <c r="A1307" t="s">
        <v>350</v>
      </c>
      <c r="B1307" t="s">
        <v>38</v>
      </c>
      <c r="C1307" t="s">
        <v>43</v>
      </c>
      <c r="D1307" t="s">
        <v>13</v>
      </c>
      <c r="F1307" s="5">
        <v>44228</v>
      </c>
      <c r="G1307" s="5">
        <v>44252</v>
      </c>
      <c r="H1307" s="2">
        <v>1</v>
      </c>
      <c r="I1307" s="6"/>
      <c r="J1307" s="6"/>
      <c r="K1307" s="7">
        <v>0.5</v>
      </c>
      <c r="L1307" s="7">
        <v>42.9</v>
      </c>
      <c r="M1307" t="s">
        <v>17</v>
      </c>
      <c r="N1307" s="9"/>
      <c r="O1307" s="8">
        <f t="array" ref="O1307">INDEX(TechRate,MATCH(H1307,TechNum,0))</f>
        <v>80</v>
      </c>
      <c r="P1307" s="10">
        <f>WorkOrders278[[#This Row],[Techs]]*(WorkOrders278[[#This Row],[PartsCost]]*WorkOrders278[[#This Row],[LbrHrs]])</f>
        <v>21.45</v>
      </c>
      <c r="Q1307" s="10">
        <f t="shared" si="113"/>
        <v>21.45</v>
      </c>
      <c r="R1307" s="10">
        <f t="shared" si="114"/>
        <v>42.9</v>
      </c>
      <c r="S1307" s="10">
        <f t="shared" si="115"/>
        <v>64.349999999999994</v>
      </c>
      <c r="T1307" s="10">
        <f t="shared" si="116"/>
        <v>64.349999999999994</v>
      </c>
      <c r="U1307" s="8" t="str">
        <f t="shared" si="117"/>
        <v>Mon</v>
      </c>
      <c r="V1307" s="8" t="str">
        <f t="shared" si="118"/>
        <v>Thu</v>
      </c>
    </row>
    <row r="1308" spans="1:22" hidden="1" x14ac:dyDescent="0.25">
      <c r="A1308" t="s">
        <v>351</v>
      </c>
      <c r="B1308" t="s">
        <v>40</v>
      </c>
      <c r="C1308" t="s">
        <v>7</v>
      </c>
      <c r="D1308" t="s">
        <v>13</v>
      </c>
      <c r="F1308" s="5">
        <v>44228</v>
      </c>
      <c r="G1308" s="5">
        <v>44258</v>
      </c>
      <c r="H1308" s="2">
        <v>2</v>
      </c>
      <c r="I1308" s="6"/>
      <c r="J1308" s="6"/>
      <c r="K1308" s="7">
        <v>1.5</v>
      </c>
      <c r="L1308" s="7">
        <v>319.82150000000001</v>
      </c>
      <c r="M1308" t="s">
        <v>17</v>
      </c>
      <c r="N1308" s="9"/>
      <c r="O1308" s="8">
        <f t="array" ref="O1308">INDEX(TechRate,MATCH(H1308,TechNum,0))</f>
        <v>140</v>
      </c>
      <c r="P1308" s="10">
        <f>WorkOrders278[[#This Row],[Techs]]*(WorkOrders278[[#This Row],[PartsCost]]*WorkOrders278[[#This Row],[LbrHrs]])</f>
        <v>959.46450000000004</v>
      </c>
      <c r="Q1308" s="10">
        <f t="shared" si="113"/>
        <v>959.46450000000004</v>
      </c>
      <c r="R1308" s="10">
        <f t="shared" si="114"/>
        <v>319.82150000000001</v>
      </c>
      <c r="S1308" s="10">
        <f t="shared" si="115"/>
        <v>1279.2860000000001</v>
      </c>
      <c r="T1308" s="10">
        <f t="shared" si="116"/>
        <v>1279.2860000000001</v>
      </c>
      <c r="U1308" s="8" t="str">
        <f t="shared" si="117"/>
        <v>Mon</v>
      </c>
      <c r="V1308" s="8" t="str">
        <f t="shared" si="118"/>
        <v>Wed</v>
      </c>
    </row>
    <row r="1309" spans="1:22" hidden="1" x14ac:dyDescent="0.25">
      <c r="A1309" t="s">
        <v>352</v>
      </c>
      <c r="B1309" t="s">
        <v>41</v>
      </c>
      <c r="C1309" t="s">
        <v>7</v>
      </c>
      <c r="D1309" t="s">
        <v>12</v>
      </c>
      <c r="F1309" s="5">
        <v>44228</v>
      </c>
      <c r="G1309" s="5">
        <v>44266</v>
      </c>
      <c r="H1309" s="2">
        <v>1</v>
      </c>
      <c r="I1309" s="6"/>
      <c r="J1309" s="6"/>
      <c r="K1309" s="7">
        <v>0.25</v>
      </c>
      <c r="L1309" s="7">
        <v>21.33</v>
      </c>
      <c r="M1309" t="s">
        <v>17</v>
      </c>
      <c r="N1309" s="9"/>
      <c r="O1309" s="8">
        <f t="array" ref="O1309">INDEX(TechRate,MATCH(H1309,TechNum,0))</f>
        <v>80</v>
      </c>
      <c r="P1309" s="10">
        <f>WorkOrders278[[#This Row],[Techs]]*(WorkOrders278[[#This Row],[PartsCost]]*WorkOrders278[[#This Row],[LbrHrs]])</f>
        <v>5.3324999999999996</v>
      </c>
      <c r="Q1309" s="10">
        <f t="shared" si="113"/>
        <v>5.3324999999999996</v>
      </c>
      <c r="R1309" s="10">
        <f t="shared" si="114"/>
        <v>21.33</v>
      </c>
      <c r="S1309" s="10">
        <f t="shared" si="115"/>
        <v>26.662499999999998</v>
      </c>
      <c r="T1309" s="10">
        <f t="shared" si="116"/>
        <v>26.662499999999998</v>
      </c>
      <c r="U1309" s="8" t="str">
        <f t="shared" si="117"/>
        <v>Mon</v>
      </c>
      <c r="V1309" s="8" t="str">
        <f t="shared" si="118"/>
        <v>Thu</v>
      </c>
    </row>
    <row r="1310" spans="1:22" hidden="1" x14ac:dyDescent="0.25">
      <c r="A1310" t="s">
        <v>353</v>
      </c>
      <c r="B1310" t="s">
        <v>36</v>
      </c>
      <c r="C1310" t="s">
        <v>7</v>
      </c>
      <c r="D1310" t="s">
        <v>12</v>
      </c>
      <c r="F1310" s="5">
        <v>44229</v>
      </c>
      <c r="G1310" s="5">
        <v>44229</v>
      </c>
      <c r="H1310" s="2">
        <v>2</v>
      </c>
      <c r="I1310" s="6"/>
      <c r="J1310" s="6"/>
      <c r="K1310" s="7">
        <v>0.5</v>
      </c>
      <c r="L1310" s="7">
        <v>21.33</v>
      </c>
      <c r="M1310" t="s">
        <v>17</v>
      </c>
      <c r="N1310" s="9"/>
      <c r="O1310" s="8">
        <f t="array" ref="O1310">INDEX(TechRate,MATCH(H1310,TechNum,0))</f>
        <v>140</v>
      </c>
      <c r="P1310" s="10">
        <f>WorkOrders278[[#This Row],[Techs]]*(WorkOrders278[[#This Row],[PartsCost]]*WorkOrders278[[#This Row],[LbrHrs]])</f>
        <v>21.33</v>
      </c>
      <c r="Q1310" s="10">
        <f t="shared" si="113"/>
        <v>21.33</v>
      </c>
      <c r="R1310" s="10">
        <f t="shared" si="114"/>
        <v>21.33</v>
      </c>
      <c r="S1310" s="10">
        <f t="shared" si="115"/>
        <v>42.66</v>
      </c>
      <c r="T1310" s="10">
        <f t="shared" si="116"/>
        <v>42.66</v>
      </c>
      <c r="U1310" s="8" t="str">
        <f t="shared" si="117"/>
        <v>Tue</v>
      </c>
      <c r="V1310" s="8" t="str">
        <f t="shared" si="118"/>
        <v>Tue</v>
      </c>
    </row>
    <row r="1311" spans="1:22" hidden="1" x14ac:dyDescent="0.25">
      <c r="A1311" t="s">
        <v>354</v>
      </c>
      <c r="B1311" t="s">
        <v>40</v>
      </c>
      <c r="C1311" t="s">
        <v>7</v>
      </c>
      <c r="D1311" t="s">
        <v>13</v>
      </c>
      <c r="F1311" s="5">
        <v>44229</v>
      </c>
      <c r="G1311" s="5">
        <v>44236</v>
      </c>
      <c r="H1311" s="2">
        <v>2</v>
      </c>
      <c r="I1311" s="6"/>
      <c r="J1311" s="6"/>
      <c r="K1311" s="7">
        <v>0.5</v>
      </c>
      <c r="L1311" s="7">
        <v>1231.2</v>
      </c>
      <c r="M1311" t="s">
        <v>18</v>
      </c>
      <c r="N1311" s="9"/>
      <c r="O1311" s="8">
        <f t="array" ref="O1311">INDEX(TechRate,MATCH(H1311,TechNum,0))</f>
        <v>140</v>
      </c>
      <c r="P1311" s="10">
        <f>WorkOrders278[[#This Row],[Techs]]*(WorkOrders278[[#This Row],[PartsCost]]*WorkOrders278[[#This Row],[LbrHrs]])</f>
        <v>1231.2</v>
      </c>
      <c r="Q1311" s="10">
        <f t="shared" si="113"/>
        <v>1231.2</v>
      </c>
      <c r="R1311" s="10">
        <f t="shared" si="114"/>
        <v>1231.2</v>
      </c>
      <c r="S1311" s="10">
        <f t="shared" si="115"/>
        <v>2462.4</v>
      </c>
      <c r="T1311" s="10">
        <f t="shared" si="116"/>
        <v>2462.4</v>
      </c>
      <c r="U1311" s="8" t="str">
        <f t="shared" si="117"/>
        <v>Tue</v>
      </c>
      <c r="V1311" s="8" t="str">
        <f t="shared" si="118"/>
        <v>Tue</v>
      </c>
    </row>
    <row r="1312" spans="1:22" hidden="1" x14ac:dyDescent="0.25">
      <c r="A1312" t="s">
        <v>355</v>
      </c>
      <c r="B1312" t="s">
        <v>36</v>
      </c>
      <c r="C1312" t="s">
        <v>7</v>
      </c>
      <c r="D1312" t="s">
        <v>13</v>
      </c>
      <c r="F1312" s="5">
        <v>44229</v>
      </c>
      <c r="G1312" s="5">
        <v>44244</v>
      </c>
      <c r="H1312" s="2">
        <v>2</v>
      </c>
      <c r="I1312" s="6"/>
      <c r="J1312" s="6"/>
      <c r="K1312" s="7">
        <v>0.5</v>
      </c>
      <c r="L1312" s="7">
        <v>56.496899999999997</v>
      </c>
      <c r="M1312" t="s">
        <v>18</v>
      </c>
      <c r="N1312" s="9"/>
      <c r="O1312" s="8">
        <f t="array" ref="O1312">INDEX(TechRate,MATCH(H1312,TechNum,0))</f>
        <v>140</v>
      </c>
      <c r="P1312" s="10">
        <f>WorkOrders278[[#This Row],[Techs]]*(WorkOrders278[[#This Row],[PartsCost]]*WorkOrders278[[#This Row],[LbrHrs]])</f>
        <v>56.496899999999997</v>
      </c>
      <c r="Q1312" s="10">
        <f t="shared" si="113"/>
        <v>56.496899999999997</v>
      </c>
      <c r="R1312" s="10">
        <f t="shared" si="114"/>
        <v>56.496899999999997</v>
      </c>
      <c r="S1312" s="10">
        <f t="shared" si="115"/>
        <v>112.99379999999999</v>
      </c>
      <c r="T1312" s="10">
        <f t="shared" si="116"/>
        <v>112.99379999999999</v>
      </c>
      <c r="U1312" s="8" t="str">
        <f t="shared" si="117"/>
        <v>Tue</v>
      </c>
      <c r="V1312" s="8" t="str">
        <f t="shared" si="118"/>
        <v>Wed</v>
      </c>
    </row>
    <row r="1313" spans="1:22" hidden="1" x14ac:dyDescent="0.25">
      <c r="A1313" t="s">
        <v>356</v>
      </c>
      <c r="B1313" t="s">
        <v>36</v>
      </c>
      <c r="C1313" t="s">
        <v>7</v>
      </c>
      <c r="D1313" t="s">
        <v>13</v>
      </c>
      <c r="F1313" s="5">
        <v>44229</v>
      </c>
      <c r="G1313" s="5">
        <v>44245</v>
      </c>
      <c r="H1313" s="2">
        <v>2</v>
      </c>
      <c r="I1313" s="6"/>
      <c r="J1313" s="6"/>
      <c r="K1313" s="7">
        <v>0.5</v>
      </c>
      <c r="L1313" s="7">
        <v>269.95400000000001</v>
      </c>
      <c r="M1313" t="s">
        <v>17</v>
      </c>
      <c r="N1313" s="9"/>
      <c r="O1313" s="8">
        <f t="array" ref="O1313">INDEX(TechRate,MATCH(H1313,TechNum,0))</f>
        <v>140</v>
      </c>
      <c r="P1313" s="10">
        <f>WorkOrders278[[#This Row],[Techs]]*(WorkOrders278[[#This Row],[PartsCost]]*WorkOrders278[[#This Row],[LbrHrs]])</f>
        <v>269.95400000000001</v>
      </c>
      <c r="Q1313" s="10">
        <f t="shared" si="113"/>
        <v>269.95400000000001</v>
      </c>
      <c r="R1313" s="10">
        <f t="shared" si="114"/>
        <v>269.95400000000001</v>
      </c>
      <c r="S1313" s="10">
        <f t="shared" si="115"/>
        <v>539.90800000000002</v>
      </c>
      <c r="T1313" s="10">
        <f t="shared" si="116"/>
        <v>539.90800000000002</v>
      </c>
      <c r="U1313" s="8" t="str">
        <f t="shared" si="117"/>
        <v>Tue</v>
      </c>
      <c r="V1313" s="8" t="str">
        <f t="shared" si="118"/>
        <v>Thu</v>
      </c>
    </row>
    <row r="1314" spans="1:22" hidden="1" x14ac:dyDescent="0.25">
      <c r="A1314" t="s">
        <v>357</v>
      </c>
      <c r="B1314" t="s">
        <v>40</v>
      </c>
      <c r="C1314" t="s">
        <v>7</v>
      </c>
      <c r="D1314" t="s">
        <v>13</v>
      </c>
      <c r="F1314" s="5">
        <v>44229</v>
      </c>
      <c r="G1314" s="5">
        <v>44258</v>
      </c>
      <c r="H1314" s="2">
        <v>2</v>
      </c>
      <c r="I1314" s="6"/>
      <c r="J1314" s="6"/>
      <c r="K1314" s="7">
        <v>0.5</v>
      </c>
      <c r="L1314" s="7">
        <v>83.231700000000004</v>
      </c>
      <c r="M1314" t="s">
        <v>17</v>
      </c>
      <c r="N1314" s="9"/>
      <c r="O1314" s="8">
        <f t="array" ref="O1314">INDEX(TechRate,MATCH(H1314,TechNum,0))</f>
        <v>140</v>
      </c>
      <c r="P1314" s="10">
        <f>WorkOrders278[[#This Row],[Techs]]*(WorkOrders278[[#This Row],[PartsCost]]*WorkOrders278[[#This Row],[LbrHrs]])</f>
        <v>83.231700000000004</v>
      </c>
      <c r="Q1314" s="10">
        <f t="shared" si="113"/>
        <v>83.231700000000004</v>
      </c>
      <c r="R1314" s="10">
        <f t="shared" si="114"/>
        <v>83.231700000000004</v>
      </c>
      <c r="S1314" s="10">
        <f t="shared" si="115"/>
        <v>166.46340000000001</v>
      </c>
      <c r="T1314" s="10">
        <f t="shared" si="116"/>
        <v>166.46340000000001</v>
      </c>
      <c r="U1314" s="8" t="str">
        <f t="shared" si="117"/>
        <v>Tue</v>
      </c>
      <c r="V1314" s="8" t="str">
        <f t="shared" si="118"/>
        <v>Wed</v>
      </c>
    </row>
    <row r="1315" spans="1:22" hidden="1" x14ac:dyDescent="0.25">
      <c r="A1315" t="s">
        <v>358</v>
      </c>
      <c r="B1315" t="s">
        <v>39</v>
      </c>
      <c r="C1315" t="s">
        <v>9</v>
      </c>
      <c r="D1315" t="s">
        <v>11</v>
      </c>
      <c r="F1315" s="5">
        <v>44229</v>
      </c>
      <c r="G1315" s="5">
        <v>44273</v>
      </c>
      <c r="H1315" s="2">
        <v>1</v>
      </c>
      <c r="I1315" s="6"/>
      <c r="J1315" s="6"/>
      <c r="K1315" s="7">
        <v>0.25</v>
      </c>
      <c r="L1315" s="7">
        <v>88.624799999999993</v>
      </c>
      <c r="M1315" t="s">
        <v>17</v>
      </c>
      <c r="N1315" s="9"/>
      <c r="O1315" s="8">
        <f t="array" ref="O1315">INDEX(TechRate,MATCH(H1315,TechNum,0))</f>
        <v>80</v>
      </c>
      <c r="P1315" s="10">
        <f>WorkOrders278[[#This Row],[Techs]]*(WorkOrders278[[#This Row],[PartsCost]]*WorkOrders278[[#This Row],[LbrHrs]])</f>
        <v>22.156199999999998</v>
      </c>
      <c r="Q1315" s="10">
        <f t="shared" si="113"/>
        <v>22.156199999999998</v>
      </c>
      <c r="R1315" s="10">
        <f t="shared" si="114"/>
        <v>88.624799999999993</v>
      </c>
      <c r="S1315" s="10">
        <f t="shared" si="115"/>
        <v>110.78099999999999</v>
      </c>
      <c r="T1315" s="10">
        <f t="shared" si="116"/>
        <v>110.78099999999999</v>
      </c>
      <c r="U1315" s="8" t="str">
        <f t="shared" si="117"/>
        <v>Tue</v>
      </c>
      <c r="V1315" s="8" t="str">
        <f t="shared" si="118"/>
        <v>Thu</v>
      </c>
    </row>
    <row r="1316" spans="1:22" hidden="1" x14ac:dyDescent="0.25">
      <c r="A1316" t="s">
        <v>359</v>
      </c>
      <c r="B1316" t="s">
        <v>38</v>
      </c>
      <c r="C1316" t="s">
        <v>8</v>
      </c>
      <c r="D1316" t="s">
        <v>11</v>
      </c>
      <c r="F1316" s="5">
        <v>44229</v>
      </c>
      <c r="G1316" s="5">
        <v>44341</v>
      </c>
      <c r="H1316" s="2">
        <v>1</v>
      </c>
      <c r="I1316" s="6"/>
      <c r="J1316" s="6"/>
      <c r="K1316" s="7">
        <v>0.25</v>
      </c>
      <c r="L1316" s="7">
        <v>40</v>
      </c>
      <c r="M1316" t="s">
        <v>19</v>
      </c>
      <c r="N1316" s="9"/>
      <c r="O1316" s="8">
        <f t="array" ref="O1316">INDEX(TechRate,MATCH(H1316,TechNum,0))</f>
        <v>80</v>
      </c>
      <c r="P1316" s="10">
        <f>WorkOrders278[[#This Row],[Techs]]*(WorkOrders278[[#This Row],[PartsCost]]*WorkOrders278[[#This Row],[LbrHrs]])</f>
        <v>10</v>
      </c>
      <c r="Q1316" s="10">
        <f t="shared" si="113"/>
        <v>10</v>
      </c>
      <c r="R1316" s="10">
        <f t="shared" si="114"/>
        <v>40</v>
      </c>
      <c r="S1316" s="10">
        <f t="shared" si="115"/>
        <v>50</v>
      </c>
      <c r="T1316" s="10">
        <f t="shared" si="116"/>
        <v>50</v>
      </c>
      <c r="U1316" s="8" t="str">
        <f t="shared" si="117"/>
        <v>Tue</v>
      </c>
      <c r="V1316" s="8" t="str">
        <f t="shared" si="118"/>
        <v>Tue</v>
      </c>
    </row>
    <row r="1317" spans="1:22" hidden="1" x14ac:dyDescent="0.25">
      <c r="A1317" t="s">
        <v>360</v>
      </c>
      <c r="B1317" t="s">
        <v>37</v>
      </c>
      <c r="C1317" t="s">
        <v>43</v>
      </c>
      <c r="D1317" t="s">
        <v>12</v>
      </c>
      <c r="F1317" s="5">
        <v>44231</v>
      </c>
      <c r="G1317" s="5">
        <v>44242</v>
      </c>
      <c r="H1317" s="2">
        <v>1</v>
      </c>
      <c r="I1317" s="6"/>
      <c r="J1317" s="6"/>
      <c r="K1317" s="7">
        <v>1.5</v>
      </c>
      <c r="L1317" s="7">
        <v>33.475000000000001</v>
      </c>
      <c r="M1317" t="s">
        <v>19</v>
      </c>
      <c r="N1317" s="9"/>
      <c r="O1317" s="8">
        <f t="array" ref="O1317">INDEX(TechRate,MATCH(H1317,TechNum,0))</f>
        <v>80</v>
      </c>
      <c r="P1317" s="10">
        <f>WorkOrders278[[#This Row],[Techs]]*(WorkOrders278[[#This Row],[PartsCost]]*WorkOrders278[[#This Row],[LbrHrs]])</f>
        <v>50.212500000000006</v>
      </c>
      <c r="Q1317" s="10">
        <f t="shared" si="113"/>
        <v>50.212500000000006</v>
      </c>
      <c r="R1317" s="10">
        <f t="shared" si="114"/>
        <v>33.475000000000001</v>
      </c>
      <c r="S1317" s="10">
        <f t="shared" si="115"/>
        <v>83.6875</v>
      </c>
      <c r="T1317" s="10">
        <f t="shared" si="116"/>
        <v>83.6875</v>
      </c>
      <c r="U1317" s="8" t="str">
        <f t="shared" si="117"/>
        <v>Thu</v>
      </c>
      <c r="V1317" s="8" t="str">
        <f t="shared" si="118"/>
        <v>Mon</v>
      </c>
    </row>
    <row r="1318" spans="1:22" hidden="1" x14ac:dyDescent="0.25">
      <c r="A1318" t="s">
        <v>361</v>
      </c>
      <c r="B1318" t="s">
        <v>38</v>
      </c>
      <c r="C1318" t="s">
        <v>9</v>
      </c>
      <c r="D1318" t="s">
        <v>12</v>
      </c>
      <c r="F1318" s="5">
        <v>44231</v>
      </c>
      <c r="G1318" s="5">
        <v>44247</v>
      </c>
      <c r="H1318" s="2">
        <v>2</v>
      </c>
      <c r="I1318" s="6"/>
      <c r="J1318" s="6"/>
      <c r="K1318" s="7">
        <v>0.25</v>
      </c>
      <c r="L1318" s="7">
        <v>33.8611</v>
      </c>
      <c r="M1318" t="s">
        <v>17</v>
      </c>
      <c r="N1318" s="9"/>
      <c r="O1318" s="8">
        <f t="array" ref="O1318">INDEX(TechRate,MATCH(H1318,TechNum,0))</f>
        <v>140</v>
      </c>
      <c r="P1318" s="10">
        <f>WorkOrders278[[#This Row],[Techs]]*(WorkOrders278[[#This Row],[PartsCost]]*WorkOrders278[[#This Row],[LbrHrs]])</f>
        <v>16.93055</v>
      </c>
      <c r="Q1318" s="10">
        <f t="shared" si="113"/>
        <v>16.93055</v>
      </c>
      <c r="R1318" s="10">
        <f t="shared" si="114"/>
        <v>33.8611</v>
      </c>
      <c r="S1318" s="10">
        <f t="shared" si="115"/>
        <v>50.791650000000004</v>
      </c>
      <c r="T1318" s="10">
        <f t="shared" si="116"/>
        <v>50.791650000000004</v>
      </c>
      <c r="U1318" s="8" t="str">
        <f t="shared" si="117"/>
        <v>Thu</v>
      </c>
      <c r="V1318" s="8" t="str">
        <f t="shared" si="118"/>
        <v>Sat</v>
      </c>
    </row>
    <row r="1319" spans="1:22" hidden="1" x14ac:dyDescent="0.25">
      <c r="A1319" t="s">
        <v>362</v>
      </c>
      <c r="B1319" t="s">
        <v>37</v>
      </c>
      <c r="C1319" t="s">
        <v>43</v>
      </c>
      <c r="D1319" t="s">
        <v>11</v>
      </c>
      <c r="F1319" s="5">
        <v>44231</v>
      </c>
      <c r="G1319" s="5">
        <v>44250</v>
      </c>
      <c r="H1319" s="2">
        <v>1</v>
      </c>
      <c r="I1319" s="6"/>
      <c r="J1319" s="6"/>
      <c r="K1319" s="7">
        <v>0.25</v>
      </c>
      <c r="L1319" s="7">
        <v>33.957900000000002</v>
      </c>
      <c r="M1319" t="s">
        <v>17</v>
      </c>
      <c r="N1319" s="9"/>
      <c r="O1319" s="8">
        <f t="array" ref="O1319">INDEX(TechRate,MATCH(H1319,TechNum,0))</f>
        <v>80</v>
      </c>
      <c r="P1319" s="10">
        <f>WorkOrders278[[#This Row],[Techs]]*(WorkOrders278[[#This Row],[PartsCost]]*WorkOrders278[[#This Row],[LbrHrs]])</f>
        <v>8.4894750000000005</v>
      </c>
      <c r="Q1319" s="10">
        <f t="shared" si="113"/>
        <v>8.4894750000000005</v>
      </c>
      <c r="R1319" s="10">
        <f t="shared" si="114"/>
        <v>33.957900000000002</v>
      </c>
      <c r="S1319" s="10">
        <f t="shared" si="115"/>
        <v>42.447375000000001</v>
      </c>
      <c r="T1319" s="10">
        <f t="shared" si="116"/>
        <v>42.447375000000001</v>
      </c>
      <c r="U1319" s="8" t="str">
        <f t="shared" si="117"/>
        <v>Thu</v>
      </c>
      <c r="V1319" s="8" t="str">
        <f t="shared" si="118"/>
        <v>Tue</v>
      </c>
    </row>
    <row r="1320" spans="1:22" hidden="1" x14ac:dyDescent="0.25">
      <c r="A1320" t="s">
        <v>363</v>
      </c>
      <c r="B1320" t="s">
        <v>38</v>
      </c>
      <c r="C1320" t="s">
        <v>8</v>
      </c>
      <c r="D1320" t="s">
        <v>12</v>
      </c>
      <c r="F1320" s="5">
        <v>44231</v>
      </c>
      <c r="G1320" s="5">
        <v>44260</v>
      </c>
      <c r="H1320" s="2">
        <v>1</v>
      </c>
      <c r="I1320" s="6"/>
      <c r="J1320" s="6"/>
      <c r="K1320" s="7">
        <v>0.5</v>
      </c>
      <c r="L1320" s="7">
        <v>36.890099999999997</v>
      </c>
      <c r="M1320" t="s">
        <v>18</v>
      </c>
      <c r="N1320" s="9"/>
      <c r="O1320" s="8">
        <f t="array" ref="O1320">INDEX(TechRate,MATCH(H1320,TechNum,0))</f>
        <v>80</v>
      </c>
      <c r="P1320" s="10">
        <f>WorkOrders278[[#This Row],[Techs]]*(WorkOrders278[[#This Row],[PartsCost]]*WorkOrders278[[#This Row],[LbrHrs]])</f>
        <v>18.445049999999998</v>
      </c>
      <c r="Q1320" s="10">
        <f t="shared" si="113"/>
        <v>18.445049999999998</v>
      </c>
      <c r="R1320" s="10">
        <f t="shared" si="114"/>
        <v>36.890099999999997</v>
      </c>
      <c r="S1320" s="10">
        <f t="shared" si="115"/>
        <v>55.335149999999999</v>
      </c>
      <c r="T1320" s="10">
        <f t="shared" si="116"/>
        <v>55.335149999999999</v>
      </c>
      <c r="U1320" s="8" t="str">
        <f t="shared" si="117"/>
        <v>Thu</v>
      </c>
      <c r="V1320" s="8" t="str">
        <f t="shared" si="118"/>
        <v>Fri</v>
      </c>
    </row>
    <row r="1321" spans="1:22" hidden="1" x14ac:dyDescent="0.25">
      <c r="A1321" t="s">
        <v>364</v>
      </c>
      <c r="B1321" t="s">
        <v>39</v>
      </c>
      <c r="C1321" t="s">
        <v>8</v>
      </c>
      <c r="D1321" t="s">
        <v>12</v>
      </c>
      <c r="F1321" s="5">
        <v>44231</v>
      </c>
      <c r="G1321" s="5">
        <v>44264</v>
      </c>
      <c r="H1321" s="2">
        <v>1</v>
      </c>
      <c r="I1321" s="6"/>
      <c r="J1321" s="6"/>
      <c r="K1321" s="7">
        <v>0.5</v>
      </c>
      <c r="L1321" s="7">
        <v>25.339500000000001</v>
      </c>
      <c r="M1321" t="s">
        <v>18</v>
      </c>
      <c r="N1321" s="9"/>
      <c r="O1321" s="8">
        <f t="array" ref="O1321">INDEX(TechRate,MATCH(H1321,TechNum,0))</f>
        <v>80</v>
      </c>
      <c r="P1321" s="10">
        <f>WorkOrders278[[#This Row],[Techs]]*(WorkOrders278[[#This Row],[PartsCost]]*WorkOrders278[[#This Row],[LbrHrs]])</f>
        <v>12.669750000000001</v>
      </c>
      <c r="Q1321" s="10">
        <f t="shared" si="113"/>
        <v>12.669750000000001</v>
      </c>
      <c r="R1321" s="10">
        <f t="shared" si="114"/>
        <v>25.339500000000001</v>
      </c>
      <c r="S1321" s="10">
        <f t="shared" si="115"/>
        <v>38.009250000000002</v>
      </c>
      <c r="T1321" s="10">
        <f t="shared" si="116"/>
        <v>38.009250000000002</v>
      </c>
      <c r="U1321" s="8" t="str">
        <f t="shared" si="117"/>
        <v>Thu</v>
      </c>
      <c r="V1321" s="8" t="str">
        <f t="shared" si="118"/>
        <v>Tue</v>
      </c>
    </row>
    <row r="1322" spans="1:22" hidden="1" x14ac:dyDescent="0.25">
      <c r="A1322" t="s">
        <v>365</v>
      </c>
      <c r="B1322" t="s">
        <v>41</v>
      </c>
      <c r="C1322" t="s">
        <v>7</v>
      </c>
      <c r="D1322" t="s">
        <v>11</v>
      </c>
      <c r="F1322" s="5">
        <v>44231</v>
      </c>
      <c r="G1322" s="5">
        <v>44270</v>
      </c>
      <c r="H1322" s="2">
        <v>1</v>
      </c>
      <c r="I1322" s="6"/>
      <c r="J1322" s="6"/>
      <c r="K1322" s="7">
        <v>0.25</v>
      </c>
      <c r="L1322" s="7">
        <v>30</v>
      </c>
      <c r="M1322" t="s">
        <v>17</v>
      </c>
      <c r="N1322" s="9"/>
      <c r="O1322" s="8">
        <f t="array" ref="O1322">INDEX(TechRate,MATCH(H1322,TechNum,0))</f>
        <v>80</v>
      </c>
      <c r="P1322" s="10">
        <f>WorkOrders278[[#This Row],[Techs]]*(WorkOrders278[[#This Row],[PartsCost]]*WorkOrders278[[#This Row],[LbrHrs]])</f>
        <v>7.5</v>
      </c>
      <c r="Q1322" s="10">
        <f t="shared" si="113"/>
        <v>7.5</v>
      </c>
      <c r="R1322" s="10">
        <f t="shared" si="114"/>
        <v>30</v>
      </c>
      <c r="S1322" s="10">
        <f t="shared" si="115"/>
        <v>37.5</v>
      </c>
      <c r="T1322" s="10">
        <f t="shared" si="116"/>
        <v>37.5</v>
      </c>
      <c r="U1322" s="8" t="str">
        <f t="shared" si="117"/>
        <v>Thu</v>
      </c>
      <c r="V1322" s="8" t="str">
        <f t="shared" si="118"/>
        <v>Mon</v>
      </c>
    </row>
    <row r="1323" spans="1:22" hidden="1" x14ac:dyDescent="0.25">
      <c r="A1323" t="s">
        <v>366</v>
      </c>
      <c r="B1323" t="s">
        <v>39</v>
      </c>
      <c r="C1323" t="s">
        <v>9</v>
      </c>
      <c r="D1323" t="s">
        <v>12</v>
      </c>
      <c r="E1323" t="s">
        <v>3</v>
      </c>
      <c r="F1323" s="5">
        <v>44232</v>
      </c>
      <c r="G1323" s="5">
        <v>44268</v>
      </c>
      <c r="H1323" s="2">
        <v>1</v>
      </c>
      <c r="I1323" s="6"/>
      <c r="J1323" s="6"/>
      <c r="K1323" s="7">
        <v>0.5</v>
      </c>
      <c r="L1323" s="7">
        <v>31.807600000000001</v>
      </c>
      <c r="M1323" t="s">
        <v>17</v>
      </c>
      <c r="N1323" s="9"/>
      <c r="O1323" s="8">
        <f t="array" ref="O1323">INDEX(TechRate,MATCH(H1323,TechNum,0))</f>
        <v>80</v>
      </c>
      <c r="P1323" s="10">
        <f>WorkOrders278[[#This Row],[Techs]]*(WorkOrders278[[#This Row],[PartsCost]]*WorkOrders278[[#This Row],[LbrHrs]])</f>
        <v>15.9038</v>
      </c>
      <c r="Q1323" s="10">
        <f t="shared" si="113"/>
        <v>15.9038</v>
      </c>
      <c r="R1323" s="10">
        <f t="shared" si="114"/>
        <v>31.807600000000001</v>
      </c>
      <c r="S1323" s="10">
        <f t="shared" si="115"/>
        <v>47.711399999999998</v>
      </c>
      <c r="T1323" s="10">
        <f t="shared" si="116"/>
        <v>47.711399999999998</v>
      </c>
      <c r="U1323" s="8" t="str">
        <f t="shared" si="117"/>
        <v>Fri</v>
      </c>
      <c r="V1323" s="8" t="str">
        <f t="shared" si="118"/>
        <v>Sat</v>
      </c>
    </row>
    <row r="1324" spans="1:22" hidden="1" x14ac:dyDescent="0.25">
      <c r="A1324" t="s">
        <v>367</v>
      </c>
      <c r="B1324" t="s">
        <v>35</v>
      </c>
      <c r="C1324" t="s">
        <v>8</v>
      </c>
      <c r="D1324" t="s">
        <v>13</v>
      </c>
      <c r="E1324" t="s">
        <v>3</v>
      </c>
      <c r="F1324" s="5">
        <v>44232</v>
      </c>
      <c r="G1324" s="5">
        <v>44377</v>
      </c>
      <c r="H1324" s="2">
        <v>1</v>
      </c>
      <c r="I1324" s="6"/>
      <c r="J1324" s="6"/>
      <c r="K1324" s="7">
        <v>0.5</v>
      </c>
      <c r="L1324" s="7">
        <v>61.17</v>
      </c>
      <c r="M1324" t="s">
        <v>19</v>
      </c>
      <c r="N1324" s="9"/>
      <c r="O1324" s="8">
        <f t="array" ref="O1324">INDEX(TechRate,MATCH(H1324,TechNum,0))</f>
        <v>80</v>
      </c>
      <c r="P1324" s="10">
        <f>WorkOrders278[[#This Row],[Techs]]*(WorkOrders278[[#This Row],[PartsCost]]*WorkOrders278[[#This Row],[LbrHrs]])</f>
        <v>30.585000000000001</v>
      </c>
      <c r="Q1324" s="10">
        <f t="shared" ref="Q1324:Q1387" si="119">IF(I1324="Yes",0,P1324)</f>
        <v>30.585000000000001</v>
      </c>
      <c r="R1324" s="10">
        <f t="shared" ref="R1324:R1387" si="120">IF(J1324="Yes",0,L1324)</f>
        <v>61.17</v>
      </c>
      <c r="S1324" s="10">
        <f t="shared" ref="S1324:S1387" si="121">SUM(L1324,P1324)</f>
        <v>91.754999999999995</v>
      </c>
      <c r="T1324" s="10">
        <f t="shared" ref="T1324:T1387" si="122">SUM(Q1324,R1324)</f>
        <v>91.754999999999995</v>
      </c>
      <c r="U1324" s="8" t="str">
        <f t="shared" ref="U1324:U1387" si="123">TEXT(F1324,"ddd")</f>
        <v>Fri</v>
      </c>
      <c r="V1324" s="8" t="str">
        <f t="shared" ref="V1324:V1387" si="124">TEXT(G1324,"ddd")</f>
        <v>Wed</v>
      </c>
    </row>
    <row r="1325" spans="1:22" hidden="1" x14ac:dyDescent="0.25">
      <c r="A1325" t="s">
        <v>368</v>
      </c>
      <c r="B1325" t="s">
        <v>38</v>
      </c>
      <c r="C1325" t="s">
        <v>8</v>
      </c>
      <c r="D1325" t="s">
        <v>12</v>
      </c>
      <c r="F1325" s="5">
        <v>44233</v>
      </c>
      <c r="G1325" s="5">
        <v>44278</v>
      </c>
      <c r="H1325" s="2">
        <v>1</v>
      </c>
      <c r="I1325" s="6"/>
      <c r="J1325" s="6"/>
      <c r="K1325" s="7">
        <v>0.5</v>
      </c>
      <c r="L1325" s="7">
        <v>15.542999999999999</v>
      </c>
      <c r="M1325" t="s">
        <v>19</v>
      </c>
      <c r="N1325" s="9"/>
      <c r="O1325" s="8">
        <f t="array" ref="O1325">INDEX(TechRate,MATCH(H1325,TechNum,0))</f>
        <v>80</v>
      </c>
      <c r="P1325" s="10">
        <f>WorkOrders278[[#This Row],[Techs]]*(WorkOrders278[[#This Row],[PartsCost]]*WorkOrders278[[#This Row],[LbrHrs]])</f>
        <v>7.7714999999999996</v>
      </c>
      <c r="Q1325" s="10">
        <f t="shared" si="119"/>
        <v>7.7714999999999996</v>
      </c>
      <c r="R1325" s="10">
        <f t="shared" si="120"/>
        <v>15.542999999999999</v>
      </c>
      <c r="S1325" s="10">
        <f t="shared" si="121"/>
        <v>23.314499999999999</v>
      </c>
      <c r="T1325" s="10">
        <f t="shared" si="122"/>
        <v>23.314499999999999</v>
      </c>
      <c r="U1325" s="8" t="str">
        <f t="shared" si="123"/>
        <v>Sat</v>
      </c>
      <c r="V1325" s="8" t="str">
        <f t="shared" si="124"/>
        <v>Tue</v>
      </c>
    </row>
    <row r="1326" spans="1:22" hidden="1" x14ac:dyDescent="0.25">
      <c r="A1326" t="s">
        <v>369</v>
      </c>
      <c r="B1326" t="s">
        <v>38</v>
      </c>
      <c r="C1326" t="s">
        <v>8</v>
      </c>
      <c r="D1326" t="s">
        <v>11</v>
      </c>
      <c r="F1326" s="5">
        <v>44233</v>
      </c>
      <c r="G1326" s="5">
        <v>44286</v>
      </c>
      <c r="H1326" s="2">
        <v>1</v>
      </c>
      <c r="I1326" s="6"/>
      <c r="J1326" s="6"/>
      <c r="K1326" s="7">
        <v>0.25</v>
      </c>
      <c r="L1326" s="7">
        <v>72.350099999999998</v>
      </c>
      <c r="M1326" t="s">
        <v>17</v>
      </c>
      <c r="N1326" s="9"/>
      <c r="O1326" s="8">
        <f t="array" ref="O1326">INDEX(TechRate,MATCH(H1326,TechNum,0))</f>
        <v>80</v>
      </c>
      <c r="P1326" s="10">
        <f>WorkOrders278[[#This Row],[Techs]]*(WorkOrders278[[#This Row],[PartsCost]]*WorkOrders278[[#This Row],[LbrHrs]])</f>
        <v>18.087524999999999</v>
      </c>
      <c r="Q1326" s="10">
        <f t="shared" si="119"/>
        <v>18.087524999999999</v>
      </c>
      <c r="R1326" s="10">
        <f t="shared" si="120"/>
        <v>72.350099999999998</v>
      </c>
      <c r="S1326" s="10">
        <f t="shared" si="121"/>
        <v>90.437624999999997</v>
      </c>
      <c r="T1326" s="10">
        <f t="shared" si="122"/>
        <v>90.437624999999997</v>
      </c>
      <c r="U1326" s="8" t="str">
        <f t="shared" si="123"/>
        <v>Sat</v>
      </c>
      <c r="V1326" s="8" t="str">
        <f t="shared" si="124"/>
        <v>Wed</v>
      </c>
    </row>
    <row r="1327" spans="1:22" hidden="1" x14ac:dyDescent="0.25">
      <c r="A1327" t="s">
        <v>370</v>
      </c>
      <c r="B1327" t="s">
        <v>36</v>
      </c>
      <c r="C1327" t="s">
        <v>7</v>
      </c>
      <c r="D1327" t="s">
        <v>11</v>
      </c>
      <c r="E1327" t="s">
        <v>3</v>
      </c>
      <c r="F1327" s="5">
        <v>44235</v>
      </c>
      <c r="G1327" s="5">
        <v>44246</v>
      </c>
      <c r="H1327" s="2">
        <v>1</v>
      </c>
      <c r="I1327" s="6"/>
      <c r="J1327" s="6"/>
      <c r="K1327" s="7">
        <v>0.25</v>
      </c>
      <c r="L1327" s="7">
        <v>96.714699999999993</v>
      </c>
      <c r="M1327" t="s">
        <v>17</v>
      </c>
      <c r="N1327" s="9"/>
      <c r="O1327" s="8">
        <f t="array" ref="O1327">INDEX(TechRate,MATCH(H1327,TechNum,0))</f>
        <v>80</v>
      </c>
      <c r="P1327" s="10">
        <f>WorkOrders278[[#This Row],[Techs]]*(WorkOrders278[[#This Row],[PartsCost]]*WorkOrders278[[#This Row],[LbrHrs]])</f>
        <v>24.178674999999998</v>
      </c>
      <c r="Q1327" s="10">
        <f t="shared" si="119"/>
        <v>24.178674999999998</v>
      </c>
      <c r="R1327" s="10">
        <f t="shared" si="120"/>
        <v>96.714699999999993</v>
      </c>
      <c r="S1327" s="10">
        <f t="shared" si="121"/>
        <v>120.89337499999999</v>
      </c>
      <c r="T1327" s="10">
        <f t="shared" si="122"/>
        <v>120.89337499999999</v>
      </c>
      <c r="U1327" s="8" t="str">
        <f t="shared" si="123"/>
        <v>Mon</v>
      </c>
      <c r="V1327" s="8" t="str">
        <f t="shared" si="124"/>
        <v>Fri</v>
      </c>
    </row>
    <row r="1328" spans="1:22" hidden="1" x14ac:dyDescent="0.25">
      <c r="A1328" t="s">
        <v>371</v>
      </c>
      <c r="B1328" t="s">
        <v>35</v>
      </c>
      <c r="C1328" t="s">
        <v>44</v>
      </c>
      <c r="D1328" t="s">
        <v>13</v>
      </c>
      <c r="F1328" s="5">
        <v>44235</v>
      </c>
      <c r="G1328" s="5">
        <v>44243</v>
      </c>
      <c r="H1328" s="2">
        <v>1</v>
      </c>
      <c r="I1328" s="6"/>
      <c r="J1328" s="6"/>
      <c r="K1328" s="7">
        <v>0.5</v>
      </c>
      <c r="L1328" s="7">
        <v>207.89859999999999</v>
      </c>
      <c r="M1328" t="s">
        <v>18</v>
      </c>
      <c r="N1328" s="9"/>
      <c r="O1328" s="8">
        <f t="array" ref="O1328">INDEX(TechRate,MATCH(H1328,TechNum,0))</f>
        <v>80</v>
      </c>
      <c r="P1328" s="10">
        <f>WorkOrders278[[#This Row],[Techs]]*(WorkOrders278[[#This Row],[PartsCost]]*WorkOrders278[[#This Row],[LbrHrs]])</f>
        <v>103.94929999999999</v>
      </c>
      <c r="Q1328" s="10">
        <f t="shared" si="119"/>
        <v>103.94929999999999</v>
      </c>
      <c r="R1328" s="10">
        <f t="shared" si="120"/>
        <v>207.89859999999999</v>
      </c>
      <c r="S1328" s="10">
        <f t="shared" si="121"/>
        <v>311.84789999999998</v>
      </c>
      <c r="T1328" s="10">
        <f t="shared" si="122"/>
        <v>311.84789999999998</v>
      </c>
      <c r="U1328" s="8" t="str">
        <f t="shared" si="123"/>
        <v>Mon</v>
      </c>
      <c r="V1328" s="8" t="str">
        <f t="shared" si="124"/>
        <v>Tue</v>
      </c>
    </row>
    <row r="1329" spans="1:22" hidden="1" x14ac:dyDescent="0.25">
      <c r="A1329" t="s">
        <v>372</v>
      </c>
      <c r="B1329" t="s">
        <v>37</v>
      </c>
      <c r="C1329" t="s">
        <v>43</v>
      </c>
      <c r="D1329" t="s">
        <v>1</v>
      </c>
      <c r="F1329" s="5">
        <v>44235</v>
      </c>
      <c r="G1329" s="5">
        <v>44245</v>
      </c>
      <c r="H1329" s="2">
        <v>3</v>
      </c>
      <c r="I1329" s="6"/>
      <c r="J1329" s="6"/>
      <c r="K1329" s="7">
        <v>3.5</v>
      </c>
      <c r="L1329" s="7">
        <v>821.87300000000005</v>
      </c>
      <c r="M1329" t="s">
        <v>17</v>
      </c>
      <c r="N1329" s="9"/>
      <c r="O1329" s="8">
        <f t="array" ref="O1329">INDEX(TechRate,MATCH(H1329,TechNum,0))</f>
        <v>195</v>
      </c>
      <c r="P1329" s="10">
        <f>WorkOrders278[[#This Row],[Techs]]*(WorkOrders278[[#This Row],[PartsCost]]*WorkOrders278[[#This Row],[LbrHrs]])</f>
        <v>8629.6665000000012</v>
      </c>
      <c r="Q1329" s="10">
        <f t="shared" si="119"/>
        <v>8629.6665000000012</v>
      </c>
      <c r="R1329" s="10">
        <f t="shared" si="120"/>
        <v>821.87300000000005</v>
      </c>
      <c r="S1329" s="10">
        <f t="shared" si="121"/>
        <v>9451.5395000000008</v>
      </c>
      <c r="T1329" s="10">
        <f t="shared" si="122"/>
        <v>9451.5395000000008</v>
      </c>
      <c r="U1329" s="8" t="str">
        <f t="shared" si="123"/>
        <v>Mon</v>
      </c>
      <c r="V1329" s="8" t="str">
        <f t="shared" si="124"/>
        <v>Thu</v>
      </c>
    </row>
    <row r="1330" spans="1:22" hidden="1" x14ac:dyDescent="0.25">
      <c r="A1330" t="s">
        <v>373</v>
      </c>
      <c r="B1330" t="s">
        <v>36</v>
      </c>
      <c r="C1330" t="s">
        <v>7</v>
      </c>
      <c r="D1330" t="s">
        <v>2</v>
      </c>
      <c r="F1330" s="5">
        <v>44235</v>
      </c>
      <c r="G1330" s="5">
        <v>44249</v>
      </c>
      <c r="H1330" s="2">
        <v>2</v>
      </c>
      <c r="I1330" s="6"/>
      <c r="J1330" s="6"/>
      <c r="K1330" s="7">
        <v>1</v>
      </c>
      <c r="L1330" s="7">
        <v>118.55840000000001</v>
      </c>
      <c r="M1330" t="s">
        <v>17</v>
      </c>
      <c r="N1330" s="9"/>
      <c r="O1330" s="8">
        <f t="array" ref="O1330">INDEX(TechRate,MATCH(H1330,TechNum,0))</f>
        <v>140</v>
      </c>
      <c r="P1330" s="10">
        <f>WorkOrders278[[#This Row],[Techs]]*(WorkOrders278[[#This Row],[PartsCost]]*WorkOrders278[[#This Row],[LbrHrs]])</f>
        <v>237.11680000000001</v>
      </c>
      <c r="Q1330" s="10">
        <f t="shared" si="119"/>
        <v>237.11680000000001</v>
      </c>
      <c r="R1330" s="10">
        <f t="shared" si="120"/>
        <v>118.55840000000001</v>
      </c>
      <c r="S1330" s="10">
        <f t="shared" si="121"/>
        <v>355.67520000000002</v>
      </c>
      <c r="T1330" s="10">
        <f t="shared" si="122"/>
        <v>355.67520000000002</v>
      </c>
      <c r="U1330" s="8" t="str">
        <f t="shared" si="123"/>
        <v>Mon</v>
      </c>
      <c r="V1330" s="8" t="str">
        <f t="shared" si="124"/>
        <v>Mon</v>
      </c>
    </row>
    <row r="1331" spans="1:22" hidden="1" x14ac:dyDescent="0.25">
      <c r="A1331" t="s">
        <v>374</v>
      </c>
      <c r="B1331" t="s">
        <v>35</v>
      </c>
      <c r="C1331" t="s">
        <v>44</v>
      </c>
      <c r="D1331" t="s">
        <v>12</v>
      </c>
      <c r="E1331" t="s">
        <v>3</v>
      </c>
      <c r="F1331" s="5">
        <v>44236</v>
      </c>
      <c r="G1331" s="5">
        <v>44237</v>
      </c>
      <c r="H1331" s="2">
        <v>1</v>
      </c>
      <c r="I1331" s="6"/>
      <c r="J1331" s="6"/>
      <c r="K1331" s="7">
        <v>0.25</v>
      </c>
      <c r="L1331" s="7">
        <v>54.463700000000003</v>
      </c>
      <c r="M1331" t="s">
        <v>19</v>
      </c>
      <c r="N1331" s="9"/>
      <c r="O1331" s="8">
        <f t="array" ref="O1331">INDEX(TechRate,MATCH(H1331,TechNum,0))</f>
        <v>80</v>
      </c>
      <c r="P1331" s="10">
        <f>WorkOrders278[[#This Row],[Techs]]*(WorkOrders278[[#This Row],[PartsCost]]*WorkOrders278[[#This Row],[LbrHrs]])</f>
        <v>13.615925000000001</v>
      </c>
      <c r="Q1331" s="10">
        <f t="shared" si="119"/>
        <v>13.615925000000001</v>
      </c>
      <c r="R1331" s="10">
        <f t="shared" si="120"/>
        <v>54.463700000000003</v>
      </c>
      <c r="S1331" s="10">
        <f t="shared" si="121"/>
        <v>68.079625000000007</v>
      </c>
      <c r="T1331" s="10">
        <f t="shared" si="122"/>
        <v>68.079625000000007</v>
      </c>
      <c r="U1331" s="8" t="str">
        <f t="shared" si="123"/>
        <v>Tue</v>
      </c>
      <c r="V1331" s="8" t="str">
        <f t="shared" si="124"/>
        <v>Wed</v>
      </c>
    </row>
    <row r="1332" spans="1:22" hidden="1" x14ac:dyDescent="0.25">
      <c r="A1332" t="s">
        <v>375</v>
      </c>
      <c r="B1332" t="s">
        <v>36</v>
      </c>
      <c r="C1332" t="s">
        <v>7</v>
      </c>
      <c r="D1332" t="s">
        <v>12</v>
      </c>
      <c r="F1332" s="5">
        <v>44236</v>
      </c>
      <c r="G1332" s="5">
        <v>44249</v>
      </c>
      <c r="H1332" s="2">
        <v>2</v>
      </c>
      <c r="I1332" s="6"/>
      <c r="J1332" s="6"/>
      <c r="K1332" s="7">
        <v>0.25</v>
      </c>
      <c r="L1332" s="7">
        <v>83.441299999999998</v>
      </c>
      <c r="M1332" t="s">
        <v>17</v>
      </c>
      <c r="N1332" s="9"/>
      <c r="O1332" s="8">
        <f t="array" ref="O1332">INDEX(TechRate,MATCH(H1332,TechNum,0))</f>
        <v>140</v>
      </c>
      <c r="P1332" s="10">
        <f>WorkOrders278[[#This Row],[Techs]]*(WorkOrders278[[#This Row],[PartsCost]]*WorkOrders278[[#This Row],[LbrHrs]])</f>
        <v>41.720649999999999</v>
      </c>
      <c r="Q1332" s="10">
        <f t="shared" si="119"/>
        <v>41.720649999999999</v>
      </c>
      <c r="R1332" s="10">
        <f t="shared" si="120"/>
        <v>83.441299999999998</v>
      </c>
      <c r="S1332" s="10">
        <f t="shared" si="121"/>
        <v>125.16194999999999</v>
      </c>
      <c r="T1332" s="10">
        <f t="shared" si="122"/>
        <v>125.16194999999999</v>
      </c>
      <c r="U1332" s="8" t="str">
        <f t="shared" si="123"/>
        <v>Tue</v>
      </c>
      <c r="V1332" s="8" t="str">
        <f t="shared" si="124"/>
        <v>Mon</v>
      </c>
    </row>
    <row r="1333" spans="1:22" hidden="1" x14ac:dyDescent="0.25">
      <c r="A1333" t="s">
        <v>376</v>
      </c>
      <c r="B1333" t="s">
        <v>36</v>
      </c>
      <c r="C1333" t="s">
        <v>7</v>
      </c>
      <c r="D1333" t="s">
        <v>12</v>
      </c>
      <c r="F1333" s="5">
        <v>44236</v>
      </c>
      <c r="G1333" s="5">
        <v>44251</v>
      </c>
      <c r="H1333" s="2">
        <v>2</v>
      </c>
      <c r="I1333" s="6"/>
      <c r="J1333" s="6"/>
      <c r="K1333" s="7">
        <v>0.75</v>
      </c>
      <c r="L1333" s="7">
        <v>36</v>
      </c>
      <c r="M1333" t="s">
        <v>17</v>
      </c>
      <c r="N1333" s="9"/>
      <c r="O1333" s="8">
        <f t="array" ref="O1333">INDEX(TechRate,MATCH(H1333,TechNum,0))</f>
        <v>140</v>
      </c>
      <c r="P1333" s="10">
        <f>WorkOrders278[[#This Row],[Techs]]*(WorkOrders278[[#This Row],[PartsCost]]*WorkOrders278[[#This Row],[LbrHrs]])</f>
        <v>54</v>
      </c>
      <c r="Q1333" s="10">
        <f t="shared" si="119"/>
        <v>54</v>
      </c>
      <c r="R1333" s="10">
        <f t="shared" si="120"/>
        <v>36</v>
      </c>
      <c r="S1333" s="10">
        <f t="shared" si="121"/>
        <v>90</v>
      </c>
      <c r="T1333" s="10">
        <f t="shared" si="122"/>
        <v>90</v>
      </c>
      <c r="U1333" s="8" t="str">
        <f t="shared" si="123"/>
        <v>Tue</v>
      </c>
      <c r="V1333" s="8" t="str">
        <f t="shared" si="124"/>
        <v>Wed</v>
      </c>
    </row>
    <row r="1334" spans="1:22" hidden="1" x14ac:dyDescent="0.25">
      <c r="A1334" t="s">
        <v>377</v>
      </c>
      <c r="B1334" t="s">
        <v>37</v>
      </c>
      <c r="C1334" t="s">
        <v>43</v>
      </c>
      <c r="D1334" t="s">
        <v>13</v>
      </c>
      <c r="F1334" s="5">
        <v>44236</v>
      </c>
      <c r="G1334" s="5">
        <v>44299</v>
      </c>
      <c r="H1334" s="2">
        <v>1</v>
      </c>
      <c r="I1334" s="6"/>
      <c r="J1334" s="6"/>
      <c r="K1334" s="7">
        <v>0.5</v>
      </c>
      <c r="L1334" s="7">
        <v>53.43</v>
      </c>
      <c r="M1334" t="s">
        <v>17</v>
      </c>
      <c r="N1334" s="9"/>
      <c r="O1334" s="8">
        <f t="array" ref="O1334">INDEX(TechRate,MATCH(H1334,TechNum,0))</f>
        <v>80</v>
      </c>
      <c r="P1334" s="10">
        <f>WorkOrders278[[#This Row],[Techs]]*(WorkOrders278[[#This Row],[PartsCost]]*WorkOrders278[[#This Row],[LbrHrs]])</f>
        <v>26.715</v>
      </c>
      <c r="Q1334" s="10">
        <f t="shared" si="119"/>
        <v>26.715</v>
      </c>
      <c r="R1334" s="10">
        <f t="shared" si="120"/>
        <v>53.43</v>
      </c>
      <c r="S1334" s="10">
        <f t="shared" si="121"/>
        <v>80.144999999999996</v>
      </c>
      <c r="T1334" s="10">
        <f t="shared" si="122"/>
        <v>80.144999999999996</v>
      </c>
      <c r="U1334" s="8" t="str">
        <f t="shared" si="123"/>
        <v>Tue</v>
      </c>
      <c r="V1334" s="8" t="str">
        <f t="shared" si="124"/>
        <v>Tue</v>
      </c>
    </row>
    <row r="1335" spans="1:22" hidden="1" x14ac:dyDescent="0.25">
      <c r="A1335" t="s">
        <v>378</v>
      </c>
      <c r="B1335" t="s">
        <v>36</v>
      </c>
      <c r="C1335" t="s">
        <v>7</v>
      </c>
      <c r="D1335" t="s">
        <v>12</v>
      </c>
      <c r="F1335" s="5">
        <v>44237</v>
      </c>
      <c r="G1335" s="5">
        <v>44244</v>
      </c>
      <c r="H1335" s="2">
        <v>1</v>
      </c>
      <c r="I1335" s="6"/>
      <c r="J1335" s="6"/>
      <c r="K1335" s="7">
        <v>0.5</v>
      </c>
      <c r="L1335" s="7">
        <v>76.787999999999997</v>
      </c>
      <c r="M1335" t="s">
        <v>17</v>
      </c>
      <c r="N1335" s="9"/>
      <c r="O1335" s="8">
        <f t="array" ref="O1335">INDEX(TechRate,MATCH(H1335,TechNum,0))</f>
        <v>80</v>
      </c>
      <c r="P1335" s="10">
        <f>WorkOrders278[[#This Row],[Techs]]*(WorkOrders278[[#This Row],[PartsCost]]*WorkOrders278[[#This Row],[LbrHrs]])</f>
        <v>38.393999999999998</v>
      </c>
      <c r="Q1335" s="10">
        <f t="shared" si="119"/>
        <v>38.393999999999998</v>
      </c>
      <c r="R1335" s="10">
        <f t="shared" si="120"/>
        <v>76.787999999999997</v>
      </c>
      <c r="S1335" s="10">
        <f t="shared" si="121"/>
        <v>115.18199999999999</v>
      </c>
      <c r="T1335" s="10">
        <f t="shared" si="122"/>
        <v>115.18199999999999</v>
      </c>
      <c r="U1335" s="8" t="str">
        <f t="shared" si="123"/>
        <v>Wed</v>
      </c>
      <c r="V1335" s="8" t="str">
        <f t="shared" si="124"/>
        <v>Wed</v>
      </c>
    </row>
    <row r="1336" spans="1:22" hidden="1" x14ac:dyDescent="0.25">
      <c r="A1336" t="s">
        <v>379</v>
      </c>
      <c r="B1336" t="s">
        <v>39</v>
      </c>
      <c r="C1336" t="s">
        <v>9</v>
      </c>
      <c r="D1336" t="s">
        <v>12</v>
      </c>
      <c r="F1336" s="5">
        <v>44237</v>
      </c>
      <c r="G1336" s="5">
        <v>44249</v>
      </c>
      <c r="H1336" s="2">
        <v>1</v>
      </c>
      <c r="I1336" s="6" t="s">
        <v>3</v>
      </c>
      <c r="J1336" s="6" t="s">
        <v>3</v>
      </c>
      <c r="K1336" s="7">
        <v>0.25</v>
      </c>
      <c r="L1336" s="7">
        <v>78</v>
      </c>
      <c r="M1336" t="s">
        <v>20</v>
      </c>
      <c r="N1336" s="9"/>
      <c r="O1336" s="8">
        <f t="array" ref="O1336">INDEX(TechRate,MATCH(H1336,TechNum,0))</f>
        <v>80</v>
      </c>
      <c r="P1336" s="10">
        <f>WorkOrders278[[#This Row],[Techs]]*(WorkOrders278[[#This Row],[PartsCost]]*WorkOrders278[[#This Row],[LbrHrs]])</f>
        <v>19.5</v>
      </c>
      <c r="Q1336" s="10">
        <f t="shared" si="119"/>
        <v>0</v>
      </c>
      <c r="R1336" s="10">
        <f t="shared" si="120"/>
        <v>0</v>
      </c>
      <c r="S1336" s="10">
        <f t="shared" si="121"/>
        <v>97.5</v>
      </c>
      <c r="T1336" s="10">
        <f t="shared" si="122"/>
        <v>0</v>
      </c>
      <c r="U1336" s="8" t="str">
        <f t="shared" si="123"/>
        <v>Wed</v>
      </c>
      <c r="V1336" s="8" t="str">
        <f t="shared" si="124"/>
        <v>Mon</v>
      </c>
    </row>
    <row r="1337" spans="1:22" hidden="1" x14ac:dyDescent="0.25">
      <c r="A1337" t="s">
        <v>380</v>
      </c>
      <c r="B1337" t="s">
        <v>35</v>
      </c>
      <c r="C1337" t="s">
        <v>9</v>
      </c>
      <c r="D1337" t="s">
        <v>13</v>
      </c>
      <c r="F1337" s="5">
        <v>44237</v>
      </c>
      <c r="G1337" s="5">
        <v>44252</v>
      </c>
      <c r="H1337" s="2">
        <v>2</v>
      </c>
      <c r="I1337" s="6"/>
      <c r="J1337" s="6"/>
      <c r="K1337" s="7">
        <v>2.75</v>
      </c>
      <c r="L1337" s="7">
        <v>666.4434</v>
      </c>
      <c r="M1337" t="s">
        <v>18</v>
      </c>
      <c r="N1337" s="9"/>
      <c r="O1337" s="8">
        <f t="array" ref="O1337">INDEX(TechRate,MATCH(H1337,TechNum,0))</f>
        <v>140</v>
      </c>
      <c r="P1337" s="10">
        <f>WorkOrders278[[#This Row],[Techs]]*(WorkOrders278[[#This Row],[PartsCost]]*WorkOrders278[[#This Row],[LbrHrs]])</f>
        <v>3665.4387000000002</v>
      </c>
      <c r="Q1337" s="10">
        <f t="shared" si="119"/>
        <v>3665.4387000000002</v>
      </c>
      <c r="R1337" s="10">
        <f t="shared" si="120"/>
        <v>666.4434</v>
      </c>
      <c r="S1337" s="10">
        <f t="shared" si="121"/>
        <v>4331.8820999999998</v>
      </c>
      <c r="T1337" s="10">
        <f t="shared" si="122"/>
        <v>4331.8820999999998</v>
      </c>
      <c r="U1337" s="8" t="str">
        <f t="shared" si="123"/>
        <v>Wed</v>
      </c>
      <c r="V1337" s="8" t="str">
        <f t="shared" si="124"/>
        <v>Thu</v>
      </c>
    </row>
    <row r="1338" spans="1:22" hidden="1" x14ac:dyDescent="0.25">
      <c r="A1338" t="s">
        <v>381</v>
      </c>
      <c r="B1338" t="s">
        <v>35</v>
      </c>
      <c r="C1338" t="s">
        <v>9</v>
      </c>
      <c r="D1338" t="s">
        <v>11</v>
      </c>
      <c r="E1338" t="s">
        <v>3</v>
      </c>
      <c r="F1338" s="5">
        <v>44238</v>
      </c>
      <c r="G1338" s="5">
        <v>44254</v>
      </c>
      <c r="H1338" s="2">
        <v>1</v>
      </c>
      <c r="I1338" s="6"/>
      <c r="J1338" s="6"/>
      <c r="K1338" s="7">
        <v>0.25</v>
      </c>
      <c r="L1338" s="7">
        <v>19.196999999999999</v>
      </c>
      <c r="M1338" t="s">
        <v>18</v>
      </c>
      <c r="N1338" s="9"/>
      <c r="O1338" s="8">
        <f t="array" ref="O1338">INDEX(TechRate,MATCH(H1338,TechNum,0))</f>
        <v>80</v>
      </c>
      <c r="P1338" s="10">
        <f>WorkOrders278[[#This Row],[Techs]]*(WorkOrders278[[#This Row],[PartsCost]]*WorkOrders278[[#This Row],[LbrHrs]])</f>
        <v>4.7992499999999998</v>
      </c>
      <c r="Q1338" s="10">
        <f t="shared" si="119"/>
        <v>4.7992499999999998</v>
      </c>
      <c r="R1338" s="10">
        <f t="shared" si="120"/>
        <v>19.196999999999999</v>
      </c>
      <c r="S1338" s="10">
        <f t="shared" si="121"/>
        <v>23.99625</v>
      </c>
      <c r="T1338" s="10">
        <f t="shared" si="122"/>
        <v>23.99625</v>
      </c>
      <c r="U1338" s="8" t="str">
        <f t="shared" si="123"/>
        <v>Thu</v>
      </c>
      <c r="V1338" s="8" t="str">
        <f t="shared" si="124"/>
        <v>Sat</v>
      </c>
    </row>
    <row r="1339" spans="1:22" hidden="1" x14ac:dyDescent="0.25">
      <c r="A1339" t="s">
        <v>382</v>
      </c>
      <c r="B1339" t="s">
        <v>37</v>
      </c>
      <c r="C1339" t="s">
        <v>43</v>
      </c>
      <c r="D1339" t="s">
        <v>12</v>
      </c>
      <c r="F1339" s="5">
        <v>44238</v>
      </c>
      <c r="G1339" s="5">
        <v>44266</v>
      </c>
      <c r="H1339" s="2">
        <v>1</v>
      </c>
      <c r="I1339" s="6"/>
      <c r="J1339" s="6"/>
      <c r="K1339" s="7">
        <v>0.75</v>
      </c>
      <c r="L1339" s="7">
        <v>414.53649999999999</v>
      </c>
      <c r="M1339" t="s">
        <v>19</v>
      </c>
      <c r="N1339" s="9"/>
      <c r="O1339" s="8">
        <f t="array" ref="O1339">INDEX(TechRate,MATCH(H1339,TechNum,0))</f>
        <v>80</v>
      </c>
      <c r="P1339" s="10">
        <f>WorkOrders278[[#This Row],[Techs]]*(WorkOrders278[[#This Row],[PartsCost]]*WorkOrders278[[#This Row],[LbrHrs]])</f>
        <v>310.90237500000001</v>
      </c>
      <c r="Q1339" s="10">
        <f t="shared" si="119"/>
        <v>310.90237500000001</v>
      </c>
      <c r="R1339" s="10">
        <f t="shared" si="120"/>
        <v>414.53649999999999</v>
      </c>
      <c r="S1339" s="10">
        <f t="shared" si="121"/>
        <v>725.43887500000005</v>
      </c>
      <c r="T1339" s="10">
        <f t="shared" si="122"/>
        <v>725.43887500000005</v>
      </c>
      <c r="U1339" s="8" t="str">
        <f t="shared" si="123"/>
        <v>Thu</v>
      </c>
      <c r="V1339" s="8" t="str">
        <f t="shared" si="124"/>
        <v>Thu</v>
      </c>
    </row>
    <row r="1340" spans="1:22" hidden="1" x14ac:dyDescent="0.25">
      <c r="A1340" t="s">
        <v>383</v>
      </c>
      <c r="B1340" t="s">
        <v>39</v>
      </c>
      <c r="C1340" t="s">
        <v>8</v>
      </c>
      <c r="D1340" t="s">
        <v>2</v>
      </c>
      <c r="F1340" s="5">
        <v>44240</v>
      </c>
      <c r="G1340" s="5">
        <v>44294</v>
      </c>
      <c r="H1340" s="2">
        <v>1</v>
      </c>
      <c r="I1340" s="6"/>
      <c r="J1340" s="6"/>
      <c r="K1340" s="7">
        <v>1</v>
      </c>
      <c r="L1340" s="7">
        <v>19.196999999999999</v>
      </c>
      <c r="M1340" t="s">
        <v>17</v>
      </c>
      <c r="N1340" s="9"/>
      <c r="O1340" s="8">
        <f t="array" ref="O1340">INDEX(TechRate,MATCH(H1340,TechNum,0))</f>
        <v>80</v>
      </c>
      <c r="P1340" s="10">
        <f>WorkOrders278[[#This Row],[Techs]]*(WorkOrders278[[#This Row],[PartsCost]]*WorkOrders278[[#This Row],[LbrHrs]])</f>
        <v>19.196999999999999</v>
      </c>
      <c r="Q1340" s="10">
        <f t="shared" si="119"/>
        <v>19.196999999999999</v>
      </c>
      <c r="R1340" s="10">
        <f t="shared" si="120"/>
        <v>19.196999999999999</v>
      </c>
      <c r="S1340" s="10">
        <f t="shared" si="121"/>
        <v>38.393999999999998</v>
      </c>
      <c r="T1340" s="10">
        <f t="shared" si="122"/>
        <v>38.393999999999998</v>
      </c>
      <c r="U1340" s="8" t="str">
        <f t="shared" si="123"/>
        <v>Sat</v>
      </c>
      <c r="V1340" s="8" t="str">
        <f t="shared" si="124"/>
        <v>Thu</v>
      </c>
    </row>
    <row r="1341" spans="1:22" hidden="1" x14ac:dyDescent="0.25">
      <c r="A1341" t="s">
        <v>384</v>
      </c>
      <c r="B1341" t="s">
        <v>36</v>
      </c>
      <c r="C1341" t="s">
        <v>7</v>
      </c>
      <c r="D1341" t="s">
        <v>1</v>
      </c>
      <c r="F1341" s="5">
        <v>44242</v>
      </c>
      <c r="G1341" s="5">
        <v>44245</v>
      </c>
      <c r="H1341" s="2">
        <v>2</v>
      </c>
      <c r="I1341" s="6"/>
      <c r="J1341" s="6"/>
      <c r="K1341" s="7">
        <v>1</v>
      </c>
      <c r="L1341" s="7">
        <v>157.86000000000001</v>
      </c>
      <c r="M1341" t="s">
        <v>17</v>
      </c>
      <c r="N1341" s="9"/>
      <c r="O1341" s="8">
        <f t="array" ref="O1341">INDEX(TechRate,MATCH(H1341,TechNum,0))</f>
        <v>140</v>
      </c>
      <c r="P1341" s="10">
        <f>WorkOrders278[[#This Row],[Techs]]*(WorkOrders278[[#This Row],[PartsCost]]*WorkOrders278[[#This Row],[LbrHrs]])</f>
        <v>315.72000000000003</v>
      </c>
      <c r="Q1341" s="10">
        <f t="shared" si="119"/>
        <v>315.72000000000003</v>
      </c>
      <c r="R1341" s="10">
        <f t="shared" si="120"/>
        <v>157.86000000000001</v>
      </c>
      <c r="S1341" s="10">
        <f t="shared" si="121"/>
        <v>473.58000000000004</v>
      </c>
      <c r="T1341" s="10">
        <f t="shared" si="122"/>
        <v>473.58000000000004</v>
      </c>
      <c r="U1341" s="8" t="str">
        <f t="shared" si="123"/>
        <v>Mon</v>
      </c>
      <c r="V1341" s="8" t="str">
        <f t="shared" si="124"/>
        <v>Thu</v>
      </c>
    </row>
    <row r="1342" spans="1:22" hidden="1" x14ac:dyDescent="0.25">
      <c r="A1342" t="s">
        <v>385</v>
      </c>
      <c r="B1342" t="s">
        <v>36</v>
      </c>
      <c r="C1342" t="s">
        <v>7</v>
      </c>
      <c r="D1342" t="s">
        <v>12</v>
      </c>
      <c r="F1342" s="5">
        <v>44242</v>
      </c>
      <c r="G1342" s="5">
        <v>44251</v>
      </c>
      <c r="H1342" s="2">
        <v>2</v>
      </c>
      <c r="I1342" s="6"/>
      <c r="J1342" s="6"/>
      <c r="K1342" s="7">
        <v>0.25</v>
      </c>
      <c r="L1342" s="7">
        <v>160.39080000000001</v>
      </c>
      <c r="M1342" t="s">
        <v>17</v>
      </c>
      <c r="N1342" s="9"/>
      <c r="O1342" s="8">
        <f t="array" ref="O1342">INDEX(TechRate,MATCH(H1342,TechNum,0))</f>
        <v>140</v>
      </c>
      <c r="P1342" s="10">
        <f>WorkOrders278[[#This Row],[Techs]]*(WorkOrders278[[#This Row],[PartsCost]]*WorkOrders278[[#This Row],[LbrHrs]])</f>
        <v>80.195400000000006</v>
      </c>
      <c r="Q1342" s="10">
        <f t="shared" si="119"/>
        <v>80.195400000000006</v>
      </c>
      <c r="R1342" s="10">
        <f t="shared" si="120"/>
        <v>160.39080000000001</v>
      </c>
      <c r="S1342" s="10">
        <f t="shared" si="121"/>
        <v>240.58620000000002</v>
      </c>
      <c r="T1342" s="10">
        <f t="shared" si="122"/>
        <v>240.58620000000002</v>
      </c>
      <c r="U1342" s="8" t="str">
        <f t="shared" si="123"/>
        <v>Mon</v>
      </c>
      <c r="V1342" s="8" t="str">
        <f t="shared" si="124"/>
        <v>Wed</v>
      </c>
    </row>
    <row r="1343" spans="1:22" hidden="1" x14ac:dyDescent="0.25">
      <c r="A1343" t="s">
        <v>386</v>
      </c>
      <c r="B1343" t="s">
        <v>36</v>
      </c>
      <c r="C1343" t="s">
        <v>7</v>
      </c>
      <c r="D1343" t="s">
        <v>12</v>
      </c>
      <c r="F1343" s="5">
        <v>44242</v>
      </c>
      <c r="G1343" s="5">
        <v>44252</v>
      </c>
      <c r="H1343" s="2">
        <v>2</v>
      </c>
      <c r="I1343" s="6"/>
      <c r="J1343" s="6"/>
      <c r="K1343" s="7">
        <v>0.25</v>
      </c>
      <c r="L1343" s="7">
        <v>46.845300000000002</v>
      </c>
      <c r="M1343" t="s">
        <v>17</v>
      </c>
      <c r="N1343" s="9"/>
      <c r="O1343" s="8">
        <f t="array" ref="O1343">INDEX(TechRate,MATCH(H1343,TechNum,0))</f>
        <v>140</v>
      </c>
      <c r="P1343" s="10">
        <f>WorkOrders278[[#This Row],[Techs]]*(WorkOrders278[[#This Row],[PartsCost]]*WorkOrders278[[#This Row],[LbrHrs]])</f>
        <v>23.422650000000001</v>
      </c>
      <c r="Q1343" s="10">
        <f t="shared" si="119"/>
        <v>23.422650000000001</v>
      </c>
      <c r="R1343" s="10">
        <f t="shared" si="120"/>
        <v>46.845300000000002</v>
      </c>
      <c r="S1343" s="10">
        <f t="shared" si="121"/>
        <v>70.267949999999999</v>
      </c>
      <c r="T1343" s="10">
        <f t="shared" si="122"/>
        <v>70.267949999999999</v>
      </c>
      <c r="U1343" s="8" t="str">
        <f t="shared" si="123"/>
        <v>Mon</v>
      </c>
      <c r="V1343" s="8" t="str">
        <f t="shared" si="124"/>
        <v>Thu</v>
      </c>
    </row>
    <row r="1344" spans="1:22" hidden="1" x14ac:dyDescent="0.25">
      <c r="A1344" t="s">
        <v>387</v>
      </c>
      <c r="B1344" t="s">
        <v>42</v>
      </c>
      <c r="C1344" t="s">
        <v>44</v>
      </c>
      <c r="D1344" t="s">
        <v>13</v>
      </c>
      <c r="E1344" t="s">
        <v>3</v>
      </c>
      <c r="F1344" s="5">
        <v>44242</v>
      </c>
      <c r="G1344" s="5">
        <v>44256</v>
      </c>
      <c r="H1344" s="2">
        <v>2</v>
      </c>
      <c r="I1344" s="6"/>
      <c r="J1344" s="6"/>
      <c r="K1344" s="7">
        <v>1.25</v>
      </c>
      <c r="L1344" s="7">
        <v>952.06380000000001</v>
      </c>
      <c r="M1344" t="s">
        <v>18</v>
      </c>
      <c r="N1344" s="9"/>
      <c r="O1344" s="8">
        <f t="array" ref="O1344">INDEX(TechRate,MATCH(H1344,TechNum,0))</f>
        <v>140</v>
      </c>
      <c r="P1344" s="10">
        <f>WorkOrders278[[#This Row],[Techs]]*(WorkOrders278[[#This Row],[PartsCost]]*WorkOrders278[[#This Row],[LbrHrs]])</f>
        <v>2380.1595000000002</v>
      </c>
      <c r="Q1344" s="10">
        <f t="shared" si="119"/>
        <v>2380.1595000000002</v>
      </c>
      <c r="R1344" s="10">
        <f t="shared" si="120"/>
        <v>952.06380000000001</v>
      </c>
      <c r="S1344" s="10">
        <f t="shared" si="121"/>
        <v>3332.2233000000001</v>
      </c>
      <c r="T1344" s="10">
        <f t="shared" si="122"/>
        <v>3332.2233000000001</v>
      </c>
      <c r="U1344" s="8" t="str">
        <f t="shared" si="123"/>
        <v>Mon</v>
      </c>
      <c r="V1344" s="8" t="str">
        <f t="shared" si="124"/>
        <v>Mon</v>
      </c>
    </row>
    <row r="1345" spans="1:22" hidden="1" x14ac:dyDescent="0.25">
      <c r="A1345" t="s">
        <v>388</v>
      </c>
      <c r="B1345" t="s">
        <v>38</v>
      </c>
      <c r="C1345" t="s">
        <v>8</v>
      </c>
      <c r="D1345" t="s">
        <v>11</v>
      </c>
      <c r="F1345" s="5">
        <v>44243</v>
      </c>
      <c r="G1345" s="5">
        <v>44258</v>
      </c>
      <c r="H1345" s="2">
        <v>1</v>
      </c>
      <c r="I1345" s="6"/>
      <c r="J1345" s="6"/>
      <c r="K1345" s="7">
        <v>0.25</v>
      </c>
      <c r="L1345" s="7">
        <v>17.420000000000002</v>
      </c>
      <c r="M1345" t="s">
        <v>17</v>
      </c>
      <c r="N1345" s="9"/>
      <c r="O1345" s="8">
        <f t="array" ref="O1345">INDEX(TechRate,MATCH(H1345,TechNum,0))</f>
        <v>80</v>
      </c>
      <c r="P1345" s="10">
        <f>WorkOrders278[[#This Row],[Techs]]*(WorkOrders278[[#This Row],[PartsCost]]*WorkOrders278[[#This Row],[LbrHrs]])</f>
        <v>4.3550000000000004</v>
      </c>
      <c r="Q1345" s="10">
        <f t="shared" si="119"/>
        <v>4.3550000000000004</v>
      </c>
      <c r="R1345" s="10">
        <f t="shared" si="120"/>
        <v>17.420000000000002</v>
      </c>
      <c r="S1345" s="10">
        <f t="shared" si="121"/>
        <v>21.775000000000002</v>
      </c>
      <c r="T1345" s="10">
        <f t="shared" si="122"/>
        <v>21.775000000000002</v>
      </c>
      <c r="U1345" s="8" t="str">
        <f t="shared" si="123"/>
        <v>Tue</v>
      </c>
      <c r="V1345" s="8" t="str">
        <f t="shared" si="124"/>
        <v>Wed</v>
      </c>
    </row>
    <row r="1346" spans="1:22" hidden="1" x14ac:dyDescent="0.25">
      <c r="A1346" t="s">
        <v>389</v>
      </c>
      <c r="B1346" t="s">
        <v>35</v>
      </c>
      <c r="C1346" t="s">
        <v>44</v>
      </c>
      <c r="D1346" t="s">
        <v>13</v>
      </c>
      <c r="F1346" s="5">
        <v>44243</v>
      </c>
      <c r="G1346" s="5">
        <v>44263</v>
      </c>
      <c r="H1346" s="2">
        <v>2</v>
      </c>
      <c r="I1346" s="6"/>
      <c r="J1346" s="6"/>
      <c r="K1346" s="7">
        <v>0.5</v>
      </c>
      <c r="L1346" s="7">
        <v>202</v>
      </c>
      <c r="M1346" t="s">
        <v>18</v>
      </c>
      <c r="N1346" s="9"/>
      <c r="O1346" s="8">
        <f t="array" ref="O1346">INDEX(TechRate,MATCH(H1346,TechNum,0))</f>
        <v>140</v>
      </c>
      <c r="P1346" s="10">
        <f>WorkOrders278[[#This Row],[Techs]]*(WorkOrders278[[#This Row],[PartsCost]]*WorkOrders278[[#This Row],[LbrHrs]])</f>
        <v>202</v>
      </c>
      <c r="Q1346" s="10">
        <f t="shared" si="119"/>
        <v>202</v>
      </c>
      <c r="R1346" s="10">
        <f t="shared" si="120"/>
        <v>202</v>
      </c>
      <c r="S1346" s="10">
        <f t="shared" si="121"/>
        <v>404</v>
      </c>
      <c r="T1346" s="10">
        <f t="shared" si="122"/>
        <v>404</v>
      </c>
      <c r="U1346" s="8" t="str">
        <f t="shared" si="123"/>
        <v>Tue</v>
      </c>
      <c r="V1346" s="8" t="str">
        <f t="shared" si="124"/>
        <v>Mon</v>
      </c>
    </row>
    <row r="1347" spans="1:22" hidden="1" x14ac:dyDescent="0.25">
      <c r="A1347" t="s">
        <v>390</v>
      </c>
      <c r="B1347" t="s">
        <v>39</v>
      </c>
      <c r="C1347" t="s">
        <v>9</v>
      </c>
      <c r="D1347" t="s">
        <v>12</v>
      </c>
      <c r="F1347" s="5">
        <v>44244</v>
      </c>
      <c r="G1347" s="5">
        <v>44249</v>
      </c>
      <c r="H1347" s="2">
        <v>1</v>
      </c>
      <c r="I1347" s="6"/>
      <c r="J1347" s="6"/>
      <c r="K1347" s="7">
        <v>0.75</v>
      </c>
      <c r="L1347" s="7">
        <v>137.13</v>
      </c>
      <c r="M1347" t="s">
        <v>17</v>
      </c>
      <c r="N1347" s="9"/>
      <c r="O1347" s="8">
        <f t="array" ref="O1347">INDEX(TechRate,MATCH(H1347,TechNum,0))</f>
        <v>80</v>
      </c>
      <c r="P1347" s="10">
        <f>WorkOrders278[[#This Row],[Techs]]*(WorkOrders278[[#This Row],[PartsCost]]*WorkOrders278[[#This Row],[LbrHrs]])</f>
        <v>102.8475</v>
      </c>
      <c r="Q1347" s="10">
        <f t="shared" si="119"/>
        <v>102.8475</v>
      </c>
      <c r="R1347" s="10">
        <f t="shared" si="120"/>
        <v>137.13</v>
      </c>
      <c r="S1347" s="10">
        <f t="shared" si="121"/>
        <v>239.97749999999999</v>
      </c>
      <c r="T1347" s="10">
        <f t="shared" si="122"/>
        <v>239.97749999999999</v>
      </c>
      <c r="U1347" s="8" t="str">
        <f t="shared" si="123"/>
        <v>Wed</v>
      </c>
      <c r="V1347" s="8" t="str">
        <f t="shared" si="124"/>
        <v>Mon</v>
      </c>
    </row>
    <row r="1348" spans="1:22" hidden="1" x14ac:dyDescent="0.25">
      <c r="A1348" t="s">
        <v>391</v>
      </c>
      <c r="B1348" t="s">
        <v>38</v>
      </c>
      <c r="C1348" t="s">
        <v>8</v>
      </c>
      <c r="D1348" t="s">
        <v>12</v>
      </c>
      <c r="F1348" s="5">
        <v>44244</v>
      </c>
      <c r="G1348" s="5">
        <v>44256</v>
      </c>
      <c r="H1348" s="2">
        <v>1</v>
      </c>
      <c r="I1348" s="6"/>
      <c r="J1348" s="6"/>
      <c r="K1348" s="7">
        <v>0.5</v>
      </c>
      <c r="L1348" s="7">
        <v>180</v>
      </c>
      <c r="M1348" t="s">
        <v>18</v>
      </c>
      <c r="N1348" s="9"/>
      <c r="O1348" s="8">
        <f t="array" ref="O1348">INDEX(TechRate,MATCH(H1348,TechNum,0))</f>
        <v>80</v>
      </c>
      <c r="P1348" s="10">
        <f>WorkOrders278[[#This Row],[Techs]]*(WorkOrders278[[#This Row],[PartsCost]]*WorkOrders278[[#This Row],[LbrHrs]])</f>
        <v>90</v>
      </c>
      <c r="Q1348" s="10">
        <f t="shared" si="119"/>
        <v>90</v>
      </c>
      <c r="R1348" s="10">
        <f t="shared" si="120"/>
        <v>180</v>
      </c>
      <c r="S1348" s="10">
        <f t="shared" si="121"/>
        <v>270</v>
      </c>
      <c r="T1348" s="10">
        <f t="shared" si="122"/>
        <v>270</v>
      </c>
      <c r="U1348" s="8" t="str">
        <f t="shared" si="123"/>
        <v>Wed</v>
      </c>
      <c r="V1348" s="8" t="str">
        <f t="shared" si="124"/>
        <v>Mon</v>
      </c>
    </row>
    <row r="1349" spans="1:22" hidden="1" x14ac:dyDescent="0.25">
      <c r="A1349" t="s">
        <v>392</v>
      </c>
      <c r="B1349" t="s">
        <v>34</v>
      </c>
      <c r="C1349" t="s">
        <v>8</v>
      </c>
      <c r="D1349" t="s">
        <v>12</v>
      </c>
      <c r="F1349" s="5">
        <v>44244</v>
      </c>
      <c r="G1349" s="5">
        <v>44256</v>
      </c>
      <c r="H1349" s="2">
        <v>1</v>
      </c>
      <c r="I1349" s="6"/>
      <c r="J1349" s="6"/>
      <c r="K1349" s="7">
        <v>0.25</v>
      </c>
      <c r="L1349" s="7">
        <v>255.3433</v>
      </c>
      <c r="M1349" t="s">
        <v>18</v>
      </c>
      <c r="N1349" s="9"/>
      <c r="O1349" s="8">
        <f t="array" ref="O1349">INDEX(TechRate,MATCH(H1349,TechNum,0))</f>
        <v>80</v>
      </c>
      <c r="P1349" s="10">
        <f>WorkOrders278[[#This Row],[Techs]]*(WorkOrders278[[#This Row],[PartsCost]]*WorkOrders278[[#This Row],[LbrHrs]])</f>
        <v>63.835825</v>
      </c>
      <c r="Q1349" s="10">
        <f t="shared" si="119"/>
        <v>63.835825</v>
      </c>
      <c r="R1349" s="10">
        <f t="shared" si="120"/>
        <v>255.3433</v>
      </c>
      <c r="S1349" s="10">
        <f t="shared" si="121"/>
        <v>319.179125</v>
      </c>
      <c r="T1349" s="10">
        <f t="shared" si="122"/>
        <v>319.179125</v>
      </c>
      <c r="U1349" s="8" t="str">
        <f t="shared" si="123"/>
        <v>Wed</v>
      </c>
      <c r="V1349" s="8" t="str">
        <f t="shared" si="124"/>
        <v>Mon</v>
      </c>
    </row>
    <row r="1350" spans="1:22" hidden="1" x14ac:dyDescent="0.25">
      <c r="A1350" t="s">
        <v>393</v>
      </c>
      <c r="B1350" t="s">
        <v>35</v>
      </c>
      <c r="C1350" t="s">
        <v>8</v>
      </c>
      <c r="D1350" t="s">
        <v>11</v>
      </c>
      <c r="F1350" s="5">
        <v>44244</v>
      </c>
      <c r="G1350" s="5">
        <v>44257</v>
      </c>
      <c r="H1350" s="2">
        <v>1</v>
      </c>
      <c r="I1350" s="6"/>
      <c r="J1350" s="6"/>
      <c r="K1350" s="7">
        <v>0.25</v>
      </c>
      <c r="L1350" s="7">
        <v>48.372999999999998</v>
      </c>
      <c r="M1350" t="s">
        <v>19</v>
      </c>
      <c r="N1350" s="9"/>
      <c r="O1350" s="8">
        <f t="array" ref="O1350">INDEX(TechRate,MATCH(H1350,TechNum,0))</f>
        <v>80</v>
      </c>
      <c r="P1350" s="10">
        <f>WorkOrders278[[#This Row],[Techs]]*(WorkOrders278[[#This Row],[PartsCost]]*WorkOrders278[[#This Row],[LbrHrs]])</f>
        <v>12.093249999999999</v>
      </c>
      <c r="Q1350" s="10">
        <f t="shared" si="119"/>
        <v>12.093249999999999</v>
      </c>
      <c r="R1350" s="10">
        <f t="shared" si="120"/>
        <v>48.372999999999998</v>
      </c>
      <c r="S1350" s="10">
        <f t="shared" si="121"/>
        <v>60.466249999999995</v>
      </c>
      <c r="T1350" s="10">
        <f t="shared" si="122"/>
        <v>60.466249999999995</v>
      </c>
      <c r="U1350" s="8" t="str">
        <f t="shared" si="123"/>
        <v>Wed</v>
      </c>
      <c r="V1350" s="8" t="str">
        <f t="shared" si="124"/>
        <v>Tue</v>
      </c>
    </row>
    <row r="1351" spans="1:22" hidden="1" x14ac:dyDescent="0.25">
      <c r="A1351" t="s">
        <v>394</v>
      </c>
      <c r="B1351" t="s">
        <v>36</v>
      </c>
      <c r="C1351" t="s">
        <v>7</v>
      </c>
      <c r="D1351" t="s">
        <v>11</v>
      </c>
      <c r="F1351" s="5">
        <v>44244</v>
      </c>
      <c r="G1351" s="5">
        <v>44263</v>
      </c>
      <c r="H1351" s="2">
        <v>1</v>
      </c>
      <c r="I1351" s="6"/>
      <c r="J1351" s="6"/>
      <c r="K1351" s="7">
        <v>0.25</v>
      </c>
      <c r="L1351" s="7">
        <v>40.200000000000003</v>
      </c>
      <c r="M1351" t="s">
        <v>17</v>
      </c>
      <c r="N1351" s="9"/>
      <c r="O1351" s="8">
        <f t="array" ref="O1351">INDEX(TechRate,MATCH(H1351,TechNum,0))</f>
        <v>80</v>
      </c>
      <c r="P1351" s="10">
        <f>WorkOrders278[[#This Row],[Techs]]*(WorkOrders278[[#This Row],[PartsCost]]*WorkOrders278[[#This Row],[LbrHrs]])</f>
        <v>10.050000000000001</v>
      </c>
      <c r="Q1351" s="10">
        <f t="shared" si="119"/>
        <v>10.050000000000001</v>
      </c>
      <c r="R1351" s="10">
        <f t="shared" si="120"/>
        <v>40.200000000000003</v>
      </c>
      <c r="S1351" s="10">
        <f t="shared" si="121"/>
        <v>50.25</v>
      </c>
      <c r="T1351" s="10">
        <f t="shared" si="122"/>
        <v>50.25</v>
      </c>
      <c r="U1351" s="8" t="str">
        <f t="shared" si="123"/>
        <v>Wed</v>
      </c>
      <c r="V1351" s="8" t="str">
        <f t="shared" si="124"/>
        <v>Mon</v>
      </c>
    </row>
    <row r="1352" spans="1:22" hidden="1" x14ac:dyDescent="0.25">
      <c r="A1352" t="s">
        <v>395</v>
      </c>
      <c r="B1352" t="s">
        <v>34</v>
      </c>
      <c r="C1352" t="s">
        <v>44</v>
      </c>
      <c r="D1352" t="s">
        <v>11</v>
      </c>
      <c r="F1352" s="5">
        <v>44245</v>
      </c>
      <c r="G1352" s="5">
        <v>44261</v>
      </c>
      <c r="H1352" s="2">
        <v>1</v>
      </c>
      <c r="I1352" s="6"/>
      <c r="J1352" s="6"/>
      <c r="K1352" s="7">
        <v>0.25</v>
      </c>
      <c r="L1352" s="7">
        <v>61.4985</v>
      </c>
      <c r="M1352" t="s">
        <v>17</v>
      </c>
      <c r="N1352" s="9"/>
      <c r="O1352" s="8">
        <f t="array" ref="O1352">INDEX(TechRate,MATCH(H1352,TechNum,0))</f>
        <v>80</v>
      </c>
      <c r="P1352" s="10">
        <f>WorkOrders278[[#This Row],[Techs]]*(WorkOrders278[[#This Row],[PartsCost]]*WorkOrders278[[#This Row],[LbrHrs]])</f>
        <v>15.374625</v>
      </c>
      <c r="Q1352" s="10">
        <f t="shared" si="119"/>
        <v>15.374625</v>
      </c>
      <c r="R1352" s="10">
        <f t="shared" si="120"/>
        <v>61.4985</v>
      </c>
      <c r="S1352" s="10">
        <f t="shared" si="121"/>
        <v>76.873125000000002</v>
      </c>
      <c r="T1352" s="10">
        <f t="shared" si="122"/>
        <v>76.873125000000002</v>
      </c>
      <c r="U1352" s="8" t="str">
        <f t="shared" si="123"/>
        <v>Thu</v>
      </c>
      <c r="V1352" s="8" t="str">
        <f t="shared" si="124"/>
        <v>Sat</v>
      </c>
    </row>
    <row r="1353" spans="1:22" hidden="1" x14ac:dyDescent="0.25">
      <c r="A1353" t="s">
        <v>396</v>
      </c>
      <c r="B1353" t="s">
        <v>35</v>
      </c>
      <c r="C1353" t="s">
        <v>8</v>
      </c>
      <c r="D1353" t="s">
        <v>13</v>
      </c>
      <c r="F1353" s="5">
        <v>44245</v>
      </c>
      <c r="G1353" s="5">
        <v>44257</v>
      </c>
      <c r="H1353" s="2">
        <v>1</v>
      </c>
      <c r="I1353" s="6"/>
      <c r="J1353" s="6"/>
      <c r="K1353" s="7">
        <v>0.5</v>
      </c>
      <c r="L1353" s="7">
        <v>42.66</v>
      </c>
      <c r="M1353" t="s">
        <v>17</v>
      </c>
      <c r="N1353" s="9"/>
      <c r="O1353" s="8">
        <f t="array" ref="O1353">INDEX(TechRate,MATCH(H1353,TechNum,0))</f>
        <v>80</v>
      </c>
      <c r="P1353" s="10">
        <f>WorkOrders278[[#This Row],[Techs]]*(WorkOrders278[[#This Row],[PartsCost]]*WorkOrders278[[#This Row],[LbrHrs]])</f>
        <v>21.33</v>
      </c>
      <c r="Q1353" s="10">
        <f t="shared" si="119"/>
        <v>21.33</v>
      </c>
      <c r="R1353" s="10">
        <f t="shared" si="120"/>
        <v>42.66</v>
      </c>
      <c r="S1353" s="10">
        <f t="shared" si="121"/>
        <v>63.989999999999995</v>
      </c>
      <c r="T1353" s="10">
        <f t="shared" si="122"/>
        <v>63.989999999999995</v>
      </c>
      <c r="U1353" s="8" t="str">
        <f t="shared" si="123"/>
        <v>Thu</v>
      </c>
      <c r="V1353" s="8" t="str">
        <f t="shared" si="124"/>
        <v>Tue</v>
      </c>
    </row>
    <row r="1354" spans="1:22" hidden="1" x14ac:dyDescent="0.25">
      <c r="A1354" t="s">
        <v>397</v>
      </c>
      <c r="B1354" t="s">
        <v>36</v>
      </c>
      <c r="C1354" t="s">
        <v>7</v>
      </c>
      <c r="D1354" t="s">
        <v>13</v>
      </c>
      <c r="F1354" s="5">
        <v>44245</v>
      </c>
      <c r="G1354" s="5">
        <v>44265</v>
      </c>
      <c r="H1354" s="2">
        <v>1</v>
      </c>
      <c r="I1354" s="6"/>
      <c r="J1354" s="6"/>
      <c r="K1354" s="7">
        <v>0.5</v>
      </c>
      <c r="L1354" s="7">
        <v>16.420000000000002</v>
      </c>
      <c r="M1354" t="s">
        <v>21</v>
      </c>
      <c r="N1354" s="9"/>
      <c r="O1354" s="8">
        <f t="array" ref="O1354">INDEX(TechRate,MATCH(H1354,TechNum,0))</f>
        <v>80</v>
      </c>
      <c r="P1354" s="10">
        <f>WorkOrders278[[#This Row],[Techs]]*(WorkOrders278[[#This Row],[PartsCost]]*WorkOrders278[[#This Row],[LbrHrs]])</f>
        <v>8.2100000000000009</v>
      </c>
      <c r="Q1354" s="10">
        <f t="shared" si="119"/>
        <v>8.2100000000000009</v>
      </c>
      <c r="R1354" s="10">
        <f t="shared" si="120"/>
        <v>16.420000000000002</v>
      </c>
      <c r="S1354" s="10">
        <f t="shared" si="121"/>
        <v>24.630000000000003</v>
      </c>
      <c r="T1354" s="10">
        <f t="shared" si="122"/>
        <v>24.630000000000003</v>
      </c>
      <c r="U1354" s="8" t="str">
        <f t="shared" si="123"/>
        <v>Thu</v>
      </c>
      <c r="V1354" s="8" t="str">
        <f t="shared" si="124"/>
        <v>Wed</v>
      </c>
    </row>
    <row r="1355" spans="1:22" hidden="1" x14ac:dyDescent="0.25">
      <c r="A1355" t="s">
        <v>398</v>
      </c>
      <c r="B1355" t="s">
        <v>39</v>
      </c>
      <c r="C1355" t="s">
        <v>9</v>
      </c>
      <c r="D1355" t="s">
        <v>12</v>
      </c>
      <c r="F1355" s="5">
        <v>44246</v>
      </c>
      <c r="G1355" s="5">
        <v>44264</v>
      </c>
      <c r="H1355" s="2">
        <v>2</v>
      </c>
      <c r="I1355" s="6"/>
      <c r="J1355" s="6"/>
      <c r="K1355" s="7">
        <v>0.5</v>
      </c>
      <c r="L1355" s="7">
        <v>31.807600000000001</v>
      </c>
      <c r="M1355" t="s">
        <v>17</v>
      </c>
      <c r="N1355" s="9"/>
      <c r="O1355" s="8">
        <f t="array" ref="O1355">INDEX(TechRate,MATCH(H1355,TechNum,0))</f>
        <v>140</v>
      </c>
      <c r="P1355" s="10">
        <f>WorkOrders278[[#This Row],[Techs]]*(WorkOrders278[[#This Row],[PartsCost]]*WorkOrders278[[#This Row],[LbrHrs]])</f>
        <v>31.807600000000001</v>
      </c>
      <c r="Q1355" s="10">
        <f t="shared" si="119"/>
        <v>31.807600000000001</v>
      </c>
      <c r="R1355" s="10">
        <f t="shared" si="120"/>
        <v>31.807600000000001</v>
      </c>
      <c r="S1355" s="10">
        <f t="shared" si="121"/>
        <v>63.615200000000002</v>
      </c>
      <c r="T1355" s="10">
        <f t="shared" si="122"/>
        <v>63.615200000000002</v>
      </c>
      <c r="U1355" s="8" t="str">
        <f t="shared" si="123"/>
        <v>Fri</v>
      </c>
      <c r="V1355" s="8" t="str">
        <f t="shared" si="124"/>
        <v>Tue</v>
      </c>
    </row>
    <row r="1356" spans="1:22" hidden="1" x14ac:dyDescent="0.25">
      <c r="A1356" t="s">
        <v>399</v>
      </c>
      <c r="B1356" t="s">
        <v>36</v>
      </c>
      <c r="C1356" t="s">
        <v>7</v>
      </c>
      <c r="D1356" t="s">
        <v>12</v>
      </c>
      <c r="F1356" s="5">
        <v>44249</v>
      </c>
      <c r="G1356" s="5">
        <v>44284</v>
      </c>
      <c r="H1356" s="2">
        <v>2</v>
      </c>
      <c r="I1356" s="6"/>
      <c r="J1356" s="6"/>
      <c r="K1356" s="7">
        <v>0.5</v>
      </c>
      <c r="L1356" s="7">
        <v>239.96940000000001</v>
      </c>
      <c r="M1356" t="s">
        <v>17</v>
      </c>
      <c r="N1356" s="9"/>
      <c r="O1356" s="8">
        <f t="array" ref="O1356">INDEX(TechRate,MATCH(H1356,TechNum,0))</f>
        <v>140</v>
      </c>
      <c r="P1356" s="10">
        <f>WorkOrders278[[#This Row],[Techs]]*(WorkOrders278[[#This Row],[PartsCost]]*WorkOrders278[[#This Row],[LbrHrs]])</f>
        <v>239.96940000000001</v>
      </c>
      <c r="Q1356" s="10">
        <f t="shared" si="119"/>
        <v>239.96940000000001</v>
      </c>
      <c r="R1356" s="10">
        <f t="shared" si="120"/>
        <v>239.96940000000001</v>
      </c>
      <c r="S1356" s="10">
        <f t="shared" si="121"/>
        <v>479.93880000000001</v>
      </c>
      <c r="T1356" s="10">
        <f t="shared" si="122"/>
        <v>479.93880000000001</v>
      </c>
      <c r="U1356" s="8" t="str">
        <f t="shared" si="123"/>
        <v>Mon</v>
      </c>
      <c r="V1356" s="8" t="str">
        <f t="shared" si="124"/>
        <v>Mon</v>
      </c>
    </row>
    <row r="1357" spans="1:22" hidden="1" x14ac:dyDescent="0.25">
      <c r="A1357" t="s">
        <v>400</v>
      </c>
      <c r="B1357" t="s">
        <v>34</v>
      </c>
      <c r="C1357" t="s">
        <v>9</v>
      </c>
      <c r="D1357" t="s">
        <v>2</v>
      </c>
      <c r="F1357" s="5">
        <v>44250</v>
      </c>
      <c r="G1357" s="5">
        <v>44257</v>
      </c>
      <c r="H1357" s="2">
        <v>1</v>
      </c>
      <c r="I1357" s="6"/>
      <c r="J1357" s="6"/>
      <c r="K1357" s="7">
        <v>1</v>
      </c>
      <c r="L1357" s="7">
        <v>90</v>
      </c>
      <c r="M1357" t="s">
        <v>18</v>
      </c>
      <c r="N1357" s="9"/>
      <c r="O1357" s="8">
        <f t="array" ref="O1357">INDEX(TechRate,MATCH(H1357,TechNum,0))</f>
        <v>80</v>
      </c>
      <c r="P1357" s="10">
        <f>WorkOrders278[[#This Row],[Techs]]*(WorkOrders278[[#This Row],[PartsCost]]*WorkOrders278[[#This Row],[LbrHrs]])</f>
        <v>90</v>
      </c>
      <c r="Q1357" s="10">
        <f t="shared" si="119"/>
        <v>90</v>
      </c>
      <c r="R1357" s="10">
        <f t="shared" si="120"/>
        <v>90</v>
      </c>
      <c r="S1357" s="10">
        <f t="shared" si="121"/>
        <v>180</v>
      </c>
      <c r="T1357" s="10">
        <f t="shared" si="122"/>
        <v>180</v>
      </c>
      <c r="U1357" s="8" t="str">
        <f t="shared" si="123"/>
        <v>Tue</v>
      </c>
      <c r="V1357" s="8" t="str">
        <f t="shared" si="124"/>
        <v>Tue</v>
      </c>
    </row>
    <row r="1358" spans="1:22" hidden="1" x14ac:dyDescent="0.25">
      <c r="A1358" t="s">
        <v>401</v>
      </c>
      <c r="B1358" t="s">
        <v>37</v>
      </c>
      <c r="C1358" t="s">
        <v>43</v>
      </c>
      <c r="D1358" t="s">
        <v>11</v>
      </c>
      <c r="F1358" s="5">
        <v>44250</v>
      </c>
      <c r="G1358" s="5">
        <v>44271</v>
      </c>
      <c r="H1358" s="2">
        <v>1</v>
      </c>
      <c r="I1358" s="6"/>
      <c r="J1358" s="6"/>
      <c r="K1358" s="7">
        <v>0.25</v>
      </c>
      <c r="L1358" s="7">
        <v>16.25</v>
      </c>
      <c r="M1358" t="s">
        <v>17</v>
      </c>
      <c r="N1358" s="9"/>
      <c r="O1358" s="8">
        <f t="array" ref="O1358">INDEX(TechRate,MATCH(H1358,TechNum,0))</f>
        <v>80</v>
      </c>
      <c r="P1358" s="10">
        <f>WorkOrders278[[#This Row],[Techs]]*(WorkOrders278[[#This Row],[PartsCost]]*WorkOrders278[[#This Row],[LbrHrs]])</f>
        <v>4.0625</v>
      </c>
      <c r="Q1358" s="10">
        <f t="shared" si="119"/>
        <v>4.0625</v>
      </c>
      <c r="R1358" s="10">
        <f t="shared" si="120"/>
        <v>16.25</v>
      </c>
      <c r="S1358" s="10">
        <f t="shared" si="121"/>
        <v>20.3125</v>
      </c>
      <c r="T1358" s="10">
        <f t="shared" si="122"/>
        <v>20.3125</v>
      </c>
      <c r="U1358" s="8" t="str">
        <f t="shared" si="123"/>
        <v>Tue</v>
      </c>
      <c r="V1358" s="8" t="str">
        <f t="shared" si="124"/>
        <v>Tue</v>
      </c>
    </row>
    <row r="1359" spans="1:22" hidden="1" x14ac:dyDescent="0.25">
      <c r="A1359" t="s">
        <v>402</v>
      </c>
      <c r="B1359" t="s">
        <v>34</v>
      </c>
      <c r="C1359" t="s">
        <v>44</v>
      </c>
      <c r="D1359" t="s">
        <v>12</v>
      </c>
      <c r="F1359" s="5">
        <v>44250</v>
      </c>
      <c r="G1359" s="5">
        <v>44287</v>
      </c>
      <c r="H1359" s="2">
        <v>2</v>
      </c>
      <c r="I1359" s="6"/>
      <c r="J1359" s="6"/>
      <c r="K1359" s="7">
        <v>0.25</v>
      </c>
      <c r="L1359" s="7">
        <v>269.40269999999998</v>
      </c>
      <c r="M1359" t="s">
        <v>18</v>
      </c>
      <c r="N1359" s="9"/>
      <c r="O1359" s="8">
        <f t="array" ref="O1359">INDEX(TechRate,MATCH(H1359,TechNum,0))</f>
        <v>140</v>
      </c>
      <c r="P1359" s="10">
        <f>WorkOrders278[[#This Row],[Techs]]*(WorkOrders278[[#This Row],[PartsCost]]*WorkOrders278[[#This Row],[LbrHrs]])</f>
        <v>134.70134999999999</v>
      </c>
      <c r="Q1359" s="10">
        <f t="shared" si="119"/>
        <v>134.70134999999999</v>
      </c>
      <c r="R1359" s="10">
        <f t="shared" si="120"/>
        <v>269.40269999999998</v>
      </c>
      <c r="S1359" s="10">
        <f t="shared" si="121"/>
        <v>404.10404999999997</v>
      </c>
      <c r="T1359" s="10">
        <f t="shared" si="122"/>
        <v>404.10404999999997</v>
      </c>
      <c r="U1359" s="8" t="str">
        <f t="shared" si="123"/>
        <v>Tue</v>
      </c>
      <c r="V1359" s="8" t="str">
        <f t="shared" si="124"/>
        <v>Thu</v>
      </c>
    </row>
    <row r="1360" spans="1:22" hidden="1" x14ac:dyDescent="0.25">
      <c r="A1360" t="s">
        <v>403</v>
      </c>
      <c r="B1360" t="s">
        <v>37</v>
      </c>
      <c r="C1360" t="s">
        <v>43</v>
      </c>
      <c r="D1360" t="s">
        <v>11</v>
      </c>
      <c r="F1360" s="5">
        <v>44251</v>
      </c>
      <c r="G1360" s="5">
        <v>44270</v>
      </c>
      <c r="H1360" s="2">
        <v>1</v>
      </c>
      <c r="I1360" s="6"/>
      <c r="J1360" s="6"/>
      <c r="K1360" s="7">
        <v>0.25</v>
      </c>
      <c r="L1360" s="7">
        <v>33.497100000000003</v>
      </c>
      <c r="M1360" t="s">
        <v>17</v>
      </c>
      <c r="N1360" s="9"/>
      <c r="O1360" s="8">
        <f t="array" ref="O1360">INDEX(TechRate,MATCH(H1360,TechNum,0))</f>
        <v>80</v>
      </c>
      <c r="P1360" s="10">
        <f>WorkOrders278[[#This Row],[Techs]]*(WorkOrders278[[#This Row],[PartsCost]]*WorkOrders278[[#This Row],[LbrHrs]])</f>
        <v>8.3742750000000008</v>
      </c>
      <c r="Q1360" s="10">
        <f t="shared" si="119"/>
        <v>8.3742750000000008</v>
      </c>
      <c r="R1360" s="10">
        <f t="shared" si="120"/>
        <v>33.497100000000003</v>
      </c>
      <c r="S1360" s="10">
        <f t="shared" si="121"/>
        <v>41.871375</v>
      </c>
      <c r="T1360" s="10">
        <f t="shared" si="122"/>
        <v>41.871375</v>
      </c>
      <c r="U1360" s="8" t="str">
        <f t="shared" si="123"/>
        <v>Wed</v>
      </c>
      <c r="V1360" s="8" t="str">
        <f t="shared" si="124"/>
        <v>Mon</v>
      </c>
    </row>
    <row r="1361" spans="1:22" hidden="1" x14ac:dyDescent="0.25">
      <c r="A1361" t="s">
        <v>404</v>
      </c>
      <c r="B1361" t="s">
        <v>34</v>
      </c>
      <c r="C1361" t="s">
        <v>9</v>
      </c>
      <c r="D1361" t="s">
        <v>12</v>
      </c>
      <c r="F1361" s="5">
        <v>44252</v>
      </c>
      <c r="G1361" s="5">
        <v>44263</v>
      </c>
      <c r="H1361" s="2">
        <v>1</v>
      </c>
      <c r="I1361" s="6"/>
      <c r="J1361" s="6"/>
      <c r="K1361" s="7">
        <v>0.25</v>
      </c>
      <c r="L1361" s="7">
        <v>305.46260000000001</v>
      </c>
      <c r="M1361" t="s">
        <v>17</v>
      </c>
      <c r="N1361" s="9"/>
      <c r="O1361" s="8">
        <f t="array" ref="O1361">INDEX(TechRate,MATCH(H1361,TechNum,0))</f>
        <v>80</v>
      </c>
      <c r="P1361" s="10">
        <f>WorkOrders278[[#This Row],[Techs]]*(WorkOrders278[[#This Row],[PartsCost]]*WorkOrders278[[#This Row],[LbrHrs]])</f>
        <v>76.365650000000002</v>
      </c>
      <c r="Q1361" s="10">
        <f t="shared" si="119"/>
        <v>76.365650000000002</v>
      </c>
      <c r="R1361" s="10">
        <f t="shared" si="120"/>
        <v>305.46260000000001</v>
      </c>
      <c r="S1361" s="10">
        <f t="shared" si="121"/>
        <v>381.82825000000003</v>
      </c>
      <c r="T1361" s="10">
        <f t="shared" si="122"/>
        <v>381.82825000000003</v>
      </c>
      <c r="U1361" s="8" t="str">
        <f t="shared" si="123"/>
        <v>Thu</v>
      </c>
      <c r="V1361" s="8" t="str">
        <f t="shared" si="124"/>
        <v>Mon</v>
      </c>
    </row>
    <row r="1362" spans="1:22" hidden="1" x14ac:dyDescent="0.25">
      <c r="A1362" t="s">
        <v>405</v>
      </c>
      <c r="B1362" t="s">
        <v>37</v>
      </c>
      <c r="C1362" t="s">
        <v>43</v>
      </c>
      <c r="D1362" t="s">
        <v>13</v>
      </c>
      <c r="F1362" s="5">
        <v>44252</v>
      </c>
      <c r="G1362" s="5">
        <v>44270</v>
      </c>
      <c r="H1362" s="2">
        <v>1</v>
      </c>
      <c r="I1362" s="6"/>
      <c r="J1362" s="6"/>
      <c r="K1362" s="7">
        <v>0.75</v>
      </c>
      <c r="L1362" s="7">
        <v>50.672400000000003</v>
      </c>
      <c r="M1362" t="s">
        <v>19</v>
      </c>
      <c r="N1362" s="9"/>
      <c r="O1362" s="8">
        <f t="array" ref="O1362">INDEX(TechRate,MATCH(H1362,TechNum,0))</f>
        <v>80</v>
      </c>
      <c r="P1362" s="10">
        <f>WorkOrders278[[#This Row],[Techs]]*(WorkOrders278[[#This Row],[PartsCost]]*WorkOrders278[[#This Row],[LbrHrs]])</f>
        <v>38.004300000000001</v>
      </c>
      <c r="Q1362" s="10">
        <f t="shared" si="119"/>
        <v>38.004300000000001</v>
      </c>
      <c r="R1362" s="10">
        <f t="shared" si="120"/>
        <v>50.672400000000003</v>
      </c>
      <c r="S1362" s="10">
        <f t="shared" si="121"/>
        <v>88.676700000000011</v>
      </c>
      <c r="T1362" s="10">
        <f t="shared" si="122"/>
        <v>88.676700000000011</v>
      </c>
      <c r="U1362" s="8" t="str">
        <f t="shared" si="123"/>
        <v>Thu</v>
      </c>
      <c r="V1362" s="8" t="str">
        <f t="shared" si="124"/>
        <v>Mon</v>
      </c>
    </row>
    <row r="1363" spans="1:22" hidden="1" x14ac:dyDescent="0.25">
      <c r="A1363" t="s">
        <v>406</v>
      </c>
      <c r="B1363" t="s">
        <v>37</v>
      </c>
      <c r="C1363" t="s">
        <v>43</v>
      </c>
      <c r="D1363" t="s">
        <v>13</v>
      </c>
      <c r="F1363" s="5">
        <v>44252</v>
      </c>
      <c r="G1363" s="5">
        <v>44271</v>
      </c>
      <c r="H1363" s="2">
        <v>1</v>
      </c>
      <c r="I1363" s="6"/>
      <c r="J1363" s="6"/>
      <c r="K1363" s="7">
        <v>0.5</v>
      </c>
      <c r="L1363" s="7">
        <v>45.63</v>
      </c>
      <c r="M1363" t="s">
        <v>19</v>
      </c>
      <c r="N1363" s="9"/>
      <c r="O1363" s="8">
        <f t="array" ref="O1363">INDEX(TechRate,MATCH(H1363,TechNum,0))</f>
        <v>80</v>
      </c>
      <c r="P1363" s="10">
        <f>WorkOrders278[[#This Row],[Techs]]*(WorkOrders278[[#This Row],[PartsCost]]*WorkOrders278[[#This Row],[LbrHrs]])</f>
        <v>22.815000000000001</v>
      </c>
      <c r="Q1363" s="10">
        <f t="shared" si="119"/>
        <v>22.815000000000001</v>
      </c>
      <c r="R1363" s="10">
        <f t="shared" si="120"/>
        <v>45.63</v>
      </c>
      <c r="S1363" s="10">
        <f t="shared" si="121"/>
        <v>68.445000000000007</v>
      </c>
      <c r="T1363" s="10">
        <f t="shared" si="122"/>
        <v>68.445000000000007</v>
      </c>
      <c r="U1363" s="8" t="str">
        <f t="shared" si="123"/>
        <v>Thu</v>
      </c>
      <c r="V1363" s="8" t="str">
        <f t="shared" si="124"/>
        <v>Tue</v>
      </c>
    </row>
    <row r="1364" spans="1:22" hidden="1" x14ac:dyDescent="0.25">
      <c r="A1364" t="s">
        <v>407</v>
      </c>
      <c r="B1364" t="s">
        <v>38</v>
      </c>
      <c r="C1364" t="s">
        <v>8</v>
      </c>
      <c r="D1364" t="s">
        <v>13</v>
      </c>
      <c r="F1364" s="5">
        <v>44252</v>
      </c>
      <c r="G1364" s="5">
        <v>44279</v>
      </c>
      <c r="H1364" s="2">
        <v>1</v>
      </c>
      <c r="I1364" s="6"/>
      <c r="J1364" s="6"/>
      <c r="K1364" s="7">
        <v>1</v>
      </c>
      <c r="L1364" s="7">
        <v>42.66</v>
      </c>
      <c r="M1364" t="s">
        <v>18</v>
      </c>
      <c r="N1364" s="9"/>
      <c r="O1364" s="8">
        <f t="array" ref="O1364">INDEX(TechRate,MATCH(H1364,TechNum,0))</f>
        <v>80</v>
      </c>
      <c r="P1364" s="10">
        <f>WorkOrders278[[#This Row],[Techs]]*(WorkOrders278[[#This Row],[PartsCost]]*WorkOrders278[[#This Row],[LbrHrs]])</f>
        <v>42.66</v>
      </c>
      <c r="Q1364" s="10">
        <f t="shared" si="119"/>
        <v>42.66</v>
      </c>
      <c r="R1364" s="10">
        <f t="shared" si="120"/>
        <v>42.66</v>
      </c>
      <c r="S1364" s="10">
        <f t="shared" si="121"/>
        <v>85.32</v>
      </c>
      <c r="T1364" s="10">
        <f t="shared" si="122"/>
        <v>85.32</v>
      </c>
      <c r="U1364" s="8" t="str">
        <f t="shared" si="123"/>
        <v>Thu</v>
      </c>
      <c r="V1364" s="8" t="str">
        <f t="shared" si="124"/>
        <v>Wed</v>
      </c>
    </row>
    <row r="1365" spans="1:22" hidden="1" x14ac:dyDescent="0.25">
      <c r="A1365" t="s">
        <v>408</v>
      </c>
      <c r="B1365" t="s">
        <v>34</v>
      </c>
      <c r="C1365" t="s">
        <v>9</v>
      </c>
      <c r="D1365" t="s">
        <v>12</v>
      </c>
      <c r="F1365" s="5">
        <v>44252</v>
      </c>
      <c r="G1365" s="5">
        <v>44293</v>
      </c>
      <c r="H1365" s="2">
        <v>1</v>
      </c>
      <c r="I1365" s="6"/>
      <c r="J1365" s="6"/>
      <c r="K1365" s="7">
        <v>0.25</v>
      </c>
      <c r="L1365" s="7">
        <v>38.698399999999999</v>
      </c>
      <c r="M1365" t="s">
        <v>19</v>
      </c>
      <c r="N1365" s="9"/>
      <c r="O1365" s="8">
        <f t="array" ref="O1365">INDEX(TechRate,MATCH(H1365,TechNum,0))</f>
        <v>80</v>
      </c>
      <c r="P1365" s="10">
        <f>WorkOrders278[[#This Row],[Techs]]*(WorkOrders278[[#This Row],[PartsCost]]*WorkOrders278[[#This Row],[LbrHrs]])</f>
        <v>9.6745999999999999</v>
      </c>
      <c r="Q1365" s="10">
        <f t="shared" si="119"/>
        <v>9.6745999999999999</v>
      </c>
      <c r="R1365" s="10">
        <f t="shared" si="120"/>
        <v>38.698399999999999</v>
      </c>
      <c r="S1365" s="10">
        <f t="shared" si="121"/>
        <v>48.372999999999998</v>
      </c>
      <c r="T1365" s="10">
        <f t="shared" si="122"/>
        <v>48.372999999999998</v>
      </c>
      <c r="U1365" s="8" t="str">
        <f t="shared" si="123"/>
        <v>Thu</v>
      </c>
      <c r="V1365" s="8" t="str">
        <f t="shared" si="124"/>
        <v>Wed</v>
      </c>
    </row>
    <row r="1366" spans="1:22" hidden="1" x14ac:dyDescent="0.25">
      <c r="A1366" t="s">
        <v>409</v>
      </c>
      <c r="B1366" t="s">
        <v>34</v>
      </c>
      <c r="C1366" t="s">
        <v>44</v>
      </c>
      <c r="D1366" t="s">
        <v>12</v>
      </c>
      <c r="F1366" s="5">
        <v>44256</v>
      </c>
      <c r="G1366" s="5">
        <v>44270</v>
      </c>
      <c r="H1366" s="2">
        <v>1</v>
      </c>
      <c r="I1366" s="6"/>
      <c r="J1366" s="6"/>
      <c r="K1366" s="7">
        <v>0.25</v>
      </c>
      <c r="L1366" s="7">
        <v>164.22120000000001</v>
      </c>
      <c r="M1366" t="s">
        <v>17</v>
      </c>
      <c r="N1366" s="9"/>
      <c r="O1366" s="8">
        <f t="array" ref="O1366">INDEX(TechRate,MATCH(H1366,TechNum,0))</f>
        <v>80</v>
      </c>
      <c r="P1366" s="10">
        <f>WorkOrders278[[#This Row],[Techs]]*(WorkOrders278[[#This Row],[PartsCost]]*WorkOrders278[[#This Row],[LbrHrs]])</f>
        <v>41.055300000000003</v>
      </c>
      <c r="Q1366" s="10">
        <f t="shared" si="119"/>
        <v>41.055300000000003</v>
      </c>
      <c r="R1366" s="10">
        <f t="shared" si="120"/>
        <v>164.22120000000001</v>
      </c>
      <c r="S1366" s="10">
        <f t="shared" si="121"/>
        <v>205.2765</v>
      </c>
      <c r="T1366" s="10">
        <f t="shared" si="122"/>
        <v>205.2765</v>
      </c>
      <c r="U1366" s="8" t="str">
        <f t="shared" si="123"/>
        <v>Mon</v>
      </c>
      <c r="V1366" s="8" t="str">
        <f t="shared" si="124"/>
        <v>Mon</v>
      </c>
    </row>
    <row r="1367" spans="1:22" hidden="1" x14ac:dyDescent="0.25">
      <c r="A1367" t="s">
        <v>410</v>
      </c>
      <c r="B1367" t="s">
        <v>38</v>
      </c>
      <c r="C1367" t="s">
        <v>8</v>
      </c>
      <c r="D1367" t="s">
        <v>13</v>
      </c>
      <c r="F1367" s="5">
        <v>44256</v>
      </c>
      <c r="G1367" s="5">
        <v>44270</v>
      </c>
      <c r="H1367" s="2">
        <v>2</v>
      </c>
      <c r="I1367" s="6"/>
      <c r="J1367" s="6"/>
      <c r="K1367" s="7">
        <v>0.5</v>
      </c>
      <c r="L1367" s="7">
        <v>24.38</v>
      </c>
      <c r="M1367" t="s">
        <v>17</v>
      </c>
      <c r="N1367" s="9"/>
      <c r="O1367" s="8">
        <f t="array" ref="O1367">INDEX(TechRate,MATCH(H1367,TechNum,0))</f>
        <v>140</v>
      </c>
      <c r="P1367" s="10">
        <f>WorkOrders278[[#This Row],[Techs]]*(WorkOrders278[[#This Row],[PartsCost]]*WorkOrders278[[#This Row],[LbrHrs]])</f>
        <v>24.38</v>
      </c>
      <c r="Q1367" s="10">
        <f t="shared" si="119"/>
        <v>24.38</v>
      </c>
      <c r="R1367" s="10">
        <f t="shared" si="120"/>
        <v>24.38</v>
      </c>
      <c r="S1367" s="10">
        <f t="shared" si="121"/>
        <v>48.76</v>
      </c>
      <c r="T1367" s="10">
        <f t="shared" si="122"/>
        <v>48.76</v>
      </c>
      <c r="U1367" s="8" t="str">
        <f t="shared" si="123"/>
        <v>Mon</v>
      </c>
      <c r="V1367" s="8" t="str">
        <f t="shared" si="124"/>
        <v>Mon</v>
      </c>
    </row>
    <row r="1368" spans="1:22" hidden="1" x14ac:dyDescent="0.25">
      <c r="A1368" t="s">
        <v>411</v>
      </c>
      <c r="B1368" t="s">
        <v>37</v>
      </c>
      <c r="C1368" t="s">
        <v>43</v>
      </c>
      <c r="D1368" t="s">
        <v>12</v>
      </c>
      <c r="F1368" s="5">
        <v>44256</v>
      </c>
      <c r="G1368" s="5">
        <v>44279</v>
      </c>
      <c r="H1368" s="2">
        <v>1</v>
      </c>
      <c r="I1368" s="6"/>
      <c r="J1368" s="6"/>
      <c r="K1368" s="7">
        <v>0.25</v>
      </c>
      <c r="L1368" s="7">
        <v>267.94040000000001</v>
      </c>
      <c r="M1368" t="s">
        <v>19</v>
      </c>
      <c r="N1368" s="9"/>
      <c r="O1368" s="8">
        <f t="array" ref="O1368">INDEX(TechRate,MATCH(H1368,TechNum,0))</f>
        <v>80</v>
      </c>
      <c r="P1368" s="10">
        <f>WorkOrders278[[#This Row],[Techs]]*(WorkOrders278[[#This Row],[PartsCost]]*WorkOrders278[[#This Row],[LbrHrs]])</f>
        <v>66.985100000000003</v>
      </c>
      <c r="Q1368" s="10">
        <f t="shared" si="119"/>
        <v>66.985100000000003</v>
      </c>
      <c r="R1368" s="10">
        <f t="shared" si="120"/>
        <v>267.94040000000001</v>
      </c>
      <c r="S1368" s="10">
        <f t="shared" si="121"/>
        <v>334.9255</v>
      </c>
      <c r="T1368" s="10">
        <f t="shared" si="122"/>
        <v>334.9255</v>
      </c>
      <c r="U1368" s="8" t="str">
        <f t="shared" si="123"/>
        <v>Mon</v>
      </c>
      <c r="V1368" s="8" t="str">
        <f t="shared" si="124"/>
        <v>Wed</v>
      </c>
    </row>
    <row r="1369" spans="1:22" hidden="1" x14ac:dyDescent="0.25">
      <c r="A1369" t="s">
        <v>412</v>
      </c>
      <c r="B1369" t="s">
        <v>40</v>
      </c>
      <c r="C1369" t="s">
        <v>7</v>
      </c>
      <c r="D1369" t="s">
        <v>12</v>
      </c>
      <c r="F1369" s="5">
        <v>44256</v>
      </c>
      <c r="G1369" s="5">
        <v>44299</v>
      </c>
      <c r="H1369" s="2">
        <v>2</v>
      </c>
      <c r="I1369" s="6"/>
      <c r="J1369" s="6"/>
      <c r="K1369" s="7">
        <v>0.5</v>
      </c>
      <c r="L1369" s="7">
        <v>175.8682</v>
      </c>
      <c r="M1369" t="s">
        <v>17</v>
      </c>
      <c r="N1369" s="9"/>
      <c r="O1369" s="8">
        <f t="array" ref="O1369">INDEX(TechRate,MATCH(H1369,TechNum,0))</f>
        <v>140</v>
      </c>
      <c r="P1369" s="10">
        <f>WorkOrders278[[#This Row],[Techs]]*(WorkOrders278[[#This Row],[PartsCost]]*WorkOrders278[[#This Row],[LbrHrs]])</f>
        <v>175.8682</v>
      </c>
      <c r="Q1369" s="10">
        <f t="shared" si="119"/>
        <v>175.8682</v>
      </c>
      <c r="R1369" s="10">
        <f t="shared" si="120"/>
        <v>175.8682</v>
      </c>
      <c r="S1369" s="10">
        <f t="shared" si="121"/>
        <v>351.7364</v>
      </c>
      <c r="T1369" s="10">
        <f t="shared" si="122"/>
        <v>351.7364</v>
      </c>
      <c r="U1369" s="8" t="str">
        <f t="shared" si="123"/>
        <v>Mon</v>
      </c>
      <c r="V1369" s="8" t="str">
        <f t="shared" si="124"/>
        <v>Tue</v>
      </c>
    </row>
    <row r="1370" spans="1:22" hidden="1" x14ac:dyDescent="0.25">
      <c r="A1370" t="s">
        <v>413</v>
      </c>
      <c r="B1370" t="s">
        <v>34</v>
      </c>
      <c r="C1370" t="s">
        <v>44</v>
      </c>
      <c r="D1370" t="s">
        <v>11</v>
      </c>
      <c r="F1370" s="5">
        <v>44256</v>
      </c>
      <c r="G1370" s="5">
        <v>44306</v>
      </c>
      <c r="H1370" s="2">
        <v>1</v>
      </c>
      <c r="I1370" s="6" t="s">
        <v>3</v>
      </c>
      <c r="J1370" s="6" t="s">
        <v>3</v>
      </c>
      <c r="K1370" s="7">
        <v>0.25</v>
      </c>
      <c r="L1370" s="7">
        <v>81.12</v>
      </c>
      <c r="M1370" t="s">
        <v>20</v>
      </c>
      <c r="N1370" s="9"/>
      <c r="O1370" s="8">
        <f t="array" ref="O1370">INDEX(TechRate,MATCH(H1370,TechNum,0))</f>
        <v>80</v>
      </c>
      <c r="P1370" s="10">
        <f>WorkOrders278[[#This Row],[Techs]]*(WorkOrders278[[#This Row],[PartsCost]]*WorkOrders278[[#This Row],[LbrHrs]])</f>
        <v>20.28</v>
      </c>
      <c r="Q1370" s="10">
        <f t="shared" si="119"/>
        <v>0</v>
      </c>
      <c r="R1370" s="10">
        <f t="shared" si="120"/>
        <v>0</v>
      </c>
      <c r="S1370" s="10">
        <f t="shared" si="121"/>
        <v>101.4</v>
      </c>
      <c r="T1370" s="10">
        <f t="shared" si="122"/>
        <v>0</v>
      </c>
      <c r="U1370" s="8" t="str">
        <f t="shared" si="123"/>
        <v>Mon</v>
      </c>
      <c r="V1370" s="8" t="str">
        <f t="shared" si="124"/>
        <v>Tue</v>
      </c>
    </row>
    <row r="1371" spans="1:22" hidden="1" x14ac:dyDescent="0.25">
      <c r="A1371" t="s">
        <v>414</v>
      </c>
      <c r="B1371" t="s">
        <v>36</v>
      </c>
      <c r="C1371" t="s">
        <v>7</v>
      </c>
      <c r="D1371" t="s">
        <v>12</v>
      </c>
      <c r="F1371" s="5">
        <v>44256</v>
      </c>
      <c r="G1371" s="5">
        <v>44315</v>
      </c>
      <c r="H1371" s="2">
        <v>2</v>
      </c>
      <c r="I1371" s="6" t="s">
        <v>3</v>
      </c>
      <c r="J1371" s="6" t="s">
        <v>3</v>
      </c>
      <c r="K1371" s="7">
        <v>1</v>
      </c>
      <c r="L1371" s="7">
        <v>9.98</v>
      </c>
      <c r="M1371" t="s">
        <v>20</v>
      </c>
      <c r="N1371" s="9"/>
      <c r="O1371" s="8">
        <f t="array" ref="O1371">INDEX(TechRate,MATCH(H1371,TechNum,0))</f>
        <v>140</v>
      </c>
      <c r="P1371" s="10">
        <f>WorkOrders278[[#This Row],[Techs]]*(WorkOrders278[[#This Row],[PartsCost]]*WorkOrders278[[#This Row],[LbrHrs]])</f>
        <v>19.96</v>
      </c>
      <c r="Q1371" s="10">
        <f t="shared" si="119"/>
        <v>0</v>
      </c>
      <c r="R1371" s="10">
        <f t="shared" si="120"/>
        <v>0</v>
      </c>
      <c r="S1371" s="10">
        <f t="shared" si="121"/>
        <v>29.94</v>
      </c>
      <c r="T1371" s="10">
        <f t="shared" si="122"/>
        <v>0</v>
      </c>
      <c r="U1371" s="8" t="str">
        <f t="shared" si="123"/>
        <v>Mon</v>
      </c>
      <c r="V1371" s="8" t="str">
        <f t="shared" si="124"/>
        <v>Thu</v>
      </c>
    </row>
    <row r="1372" spans="1:22" hidden="1" x14ac:dyDescent="0.25">
      <c r="A1372" t="s">
        <v>415</v>
      </c>
      <c r="B1372" t="s">
        <v>35</v>
      </c>
      <c r="C1372" t="s">
        <v>8</v>
      </c>
      <c r="D1372" t="s">
        <v>12</v>
      </c>
      <c r="F1372" s="5">
        <v>44257</v>
      </c>
      <c r="G1372" s="5">
        <v>44264</v>
      </c>
      <c r="H1372" s="2">
        <v>1</v>
      </c>
      <c r="I1372" s="6"/>
      <c r="J1372" s="6"/>
      <c r="K1372" s="7">
        <v>1.25</v>
      </c>
      <c r="L1372" s="7">
        <v>340.70060000000001</v>
      </c>
      <c r="M1372" t="s">
        <v>17</v>
      </c>
      <c r="N1372" s="9"/>
      <c r="O1372" s="8">
        <f t="array" ref="O1372">INDEX(TechRate,MATCH(H1372,TechNum,0))</f>
        <v>80</v>
      </c>
      <c r="P1372" s="10">
        <f>WorkOrders278[[#This Row],[Techs]]*(WorkOrders278[[#This Row],[PartsCost]]*WorkOrders278[[#This Row],[LbrHrs]])</f>
        <v>425.87575000000004</v>
      </c>
      <c r="Q1372" s="10">
        <f t="shared" si="119"/>
        <v>425.87575000000004</v>
      </c>
      <c r="R1372" s="10">
        <f t="shared" si="120"/>
        <v>340.70060000000001</v>
      </c>
      <c r="S1372" s="10">
        <f t="shared" si="121"/>
        <v>766.57635000000005</v>
      </c>
      <c r="T1372" s="10">
        <f t="shared" si="122"/>
        <v>766.57635000000005</v>
      </c>
      <c r="U1372" s="8" t="str">
        <f t="shared" si="123"/>
        <v>Tue</v>
      </c>
      <c r="V1372" s="8" t="str">
        <f t="shared" si="124"/>
        <v>Tue</v>
      </c>
    </row>
    <row r="1373" spans="1:22" hidden="1" x14ac:dyDescent="0.25">
      <c r="A1373" t="s">
        <v>416</v>
      </c>
      <c r="B1373" t="s">
        <v>35</v>
      </c>
      <c r="C1373" t="s">
        <v>8</v>
      </c>
      <c r="D1373" t="s">
        <v>13</v>
      </c>
      <c r="E1373" t="s">
        <v>3</v>
      </c>
      <c r="F1373" s="5">
        <v>44257</v>
      </c>
      <c r="G1373" s="5">
        <v>44265</v>
      </c>
      <c r="H1373" s="2">
        <v>1</v>
      </c>
      <c r="I1373" s="6"/>
      <c r="J1373" s="6"/>
      <c r="K1373" s="7">
        <v>0.75</v>
      </c>
      <c r="L1373" s="7">
        <v>22.84</v>
      </c>
      <c r="M1373" t="s">
        <v>19</v>
      </c>
      <c r="N1373" s="9"/>
      <c r="O1373" s="8">
        <f t="array" ref="O1373">INDEX(TechRate,MATCH(H1373,TechNum,0))</f>
        <v>80</v>
      </c>
      <c r="P1373" s="10">
        <f>WorkOrders278[[#This Row],[Techs]]*(WorkOrders278[[#This Row],[PartsCost]]*WorkOrders278[[#This Row],[LbrHrs]])</f>
        <v>17.13</v>
      </c>
      <c r="Q1373" s="10">
        <f t="shared" si="119"/>
        <v>17.13</v>
      </c>
      <c r="R1373" s="10">
        <f t="shared" si="120"/>
        <v>22.84</v>
      </c>
      <c r="S1373" s="10">
        <f t="shared" si="121"/>
        <v>39.97</v>
      </c>
      <c r="T1373" s="10">
        <f t="shared" si="122"/>
        <v>39.97</v>
      </c>
      <c r="U1373" s="8" t="str">
        <f t="shared" si="123"/>
        <v>Tue</v>
      </c>
      <c r="V1373" s="8" t="str">
        <f t="shared" si="124"/>
        <v>Wed</v>
      </c>
    </row>
    <row r="1374" spans="1:22" hidden="1" x14ac:dyDescent="0.25">
      <c r="A1374" t="s">
        <v>417</v>
      </c>
      <c r="B1374" t="s">
        <v>37</v>
      </c>
      <c r="C1374" t="s">
        <v>43</v>
      </c>
      <c r="D1374" t="s">
        <v>13</v>
      </c>
      <c r="F1374" s="5">
        <v>44257</v>
      </c>
      <c r="G1374" s="5">
        <v>44266</v>
      </c>
      <c r="H1374" s="2">
        <v>1</v>
      </c>
      <c r="I1374" s="6"/>
      <c r="J1374" s="6"/>
      <c r="K1374" s="7">
        <v>0.5</v>
      </c>
      <c r="L1374" s="7">
        <v>3.5750000000000002</v>
      </c>
      <c r="M1374" t="s">
        <v>17</v>
      </c>
      <c r="N1374" s="9"/>
      <c r="O1374" s="8">
        <f t="array" ref="O1374">INDEX(TechRate,MATCH(H1374,TechNum,0))</f>
        <v>80</v>
      </c>
      <c r="P1374" s="10">
        <f>WorkOrders278[[#This Row],[Techs]]*(WorkOrders278[[#This Row],[PartsCost]]*WorkOrders278[[#This Row],[LbrHrs]])</f>
        <v>1.7875000000000001</v>
      </c>
      <c r="Q1374" s="10">
        <f t="shared" si="119"/>
        <v>1.7875000000000001</v>
      </c>
      <c r="R1374" s="10">
        <f t="shared" si="120"/>
        <v>3.5750000000000002</v>
      </c>
      <c r="S1374" s="10">
        <f t="shared" si="121"/>
        <v>5.3625000000000007</v>
      </c>
      <c r="T1374" s="10">
        <f t="shared" si="122"/>
        <v>5.3625000000000007</v>
      </c>
      <c r="U1374" s="8" t="str">
        <f t="shared" si="123"/>
        <v>Tue</v>
      </c>
      <c r="V1374" s="8" t="str">
        <f t="shared" si="124"/>
        <v>Thu</v>
      </c>
    </row>
    <row r="1375" spans="1:22" hidden="1" x14ac:dyDescent="0.25">
      <c r="A1375" t="s">
        <v>418</v>
      </c>
      <c r="B1375" t="s">
        <v>37</v>
      </c>
      <c r="C1375" t="s">
        <v>43</v>
      </c>
      <c r="D1375" t="s">
        <v>12</v>
      </c>
      <c r="F1375" s="5">
        <v>44257</v>
      </c>
      <c r="G1375" s="5">
        <v>44266</v>
      </c>
      <c r="H1375" s="2">
        <v>1</v>
      </c>
      <c r="I1375" s="6"/>
      <c r="J1375" s="6"/>
      <c r="K1375" s="7">
        <v>0.25</v>
      </c>
      <c r="L1375" s="7">
        <v>16.25</v>
      </c>
      <c r="M1375" t="s">
        <v>17</v>
      </c>
      <c r="N1375" s="9"/>
      <c r="O1375" s="8">
        <f t="array" ref="O1375">INDEX(TechRate,MATCH(H1375,TechNum,0))</f>
        <v>80</v>
      </c>
      <c r="P1375" s="10">
        <f>WorkOrders278[[#This Row],[Techs]]*(WorkOrders278[[#This Row],[PartsCost]]*WorkOrders278[[#This Row],[LbrHrs]])</f>
        <v>4.0625</v>
      </c>
      <c r="Q1375" s="10">
        <f t="shared" si="119"/>
        <v>4.0625</v>
      </c>
      <c r="R1375" s="10">
        <f t="shared" si="120"/>
        <v>16.25</v>
      </c>
      <c r="S1375" s="10">
        <f t="shared" si="121"/>
        <v>20.3125</v>
      </c>
      <c r="T1375" s="10">
        <f t="shared" si="122"/>
        <v>20.3125</v>
      </c>
      <c r="U1375" s="8" t="str">
        <f t="shared" si="123"/>
        <v>Tue</v>
      </c>
      <c r="V1375" s="8" t="str">
        <f t="shared" si="124"/>
        <v>Thu</v>
      </c>
    </row>
    <row r="1376" spans="1:22" hidden="1" x14ac:dyDescent="0.25">
      <c r="A1376" t="s">
        <v>419</v>
      </c>
      <c r="B1376" t="s">
        <v>34</v>
      </c>
      <c r="C1376" t="s">
        <v>9</v>
      </c>
      <c r="D1376" t="s">
        <v>13</v>
      </c>
      <c r="F1376" s="5">
        <v>44257</v>
      </c>
      <c r="G1376" s="5">
        <v>44275</v>
      </c>
      <c r="H1376" s="2">
        <v>1</v>
      </c>
      <c r="I1376" s="6"/>
      <c r="J1376" s="6"/>
      <c r="K1376" s="7">
        <v>0.75</v>
      </c>
      <c r="L1376" s="7">
        <v>19.196999999999999</v>
      </c>
      <c r="M1376" t="s">
        <v>19</v>
      </c>
      <c r="N1376" s="9"/>
      <c r="O1376" s="8">
        <f t="array" ref="O1376">INDEX(TechRate,MATCH(H1376,TechNum,0))</f>
        <v>80</v>
      </c>
      <c r="P1376" s="10">
        <f>WorkOrders278[[#This Row],[Techs]]*(WorkOrders278[[#This Row],[PartsCost]]*WorkOrders278[[#This Row],[LbrHrs]])</f>
        <v>14.397749999999998</v>
      </c>
      <c r="Q1376" s="10">
        <f t="shared" si="119"/>
        <v>14.397749999999998</v>
      </c>
      <c r="R1376" s="10">
        <f t="shared" si="120"/>
        <v>19.196999999999999</v>
      </c>
      <c r="S1376" s="10">
        <f t="shared" si="121"/>
        <v>33.594749999999998</v>
      </c>
      <c r="T1376" s="10">
        <f t="shared" si="122"/>
        <v>33.594749999999998</v>
      </c>
      <c r="U1376" s="8" t="str">
        <f t="shared" si="123"/>
        <v>Tue</v>
      </c>
      <c r="V1376" s="8" t="str">
        <f t="shared" si="124"/>
        <v>Sat</v>
      </c>
    </row>
    <row r="1377" spans="1:22" hidden="1" x14ac:dyDescent="0.25">
      <c r="A1377" t="s">
        <v>420</v>
      </c>
      <c r="B1377" t="s">
        <v>39</v>
      </c>
      <c r="C1377" t="s">
        <v>44</v>
      </c>
      <c r="D1377" t="s">
        <v>11</v>
      </c>
      <c r="F1377" s="5">
        <v>44257</v>
      </c>
      <c r="G1377" s="5">
        <v>44271</v>
      </c>
      <c r="H1377" s="2">
        <v>1</v>
      </c>
      <c r="I1377" s="6"/>
      <c r="J1377" s="6"/>
      <c r="K1377" s="7">
        <v>0.25</v>
      </c>
      <c r="L1377" s="7">
        <v>73.508899999999997</v>
      </c>
      <c r="M1377" t="s">
        <v>19</v>
      </c>
      <c r="N1377" s="9"/>
      <c r="O1377" s="8">
        <f t="array" ref="O1377">INDEX(TechRate,MATCH(H1377,TechNum,0))</f>
        <v>80</v>
      </c>
      <c r="P1377" s="10">
        <f>WorkOrders278[[#This Row],[Techs]]*(WorkOrders278[[#This Row],[PartsCost]]*WorkOrders278[[#This Row],[LbrHrs]])</f>
        <v>18.377224999999999</v>
      </c>
      <c r="Q1377" s="10">
        <f t="shared" si="119"/>
        <v>18.377224999999999</v>
      </c>
      <c r="R1377" s="10">
        <f t="shared" si="120"/>
        <v>73.508899999999997</v>
      </c>
      <c r="S1377" s="10">
        <f t="shared" si="121"/>
        <v>91.886124999999993</v>
      </c>
      <c r="T1377" s="10">
        <f t="shared" si="122"/>
        <v>91.886124999999993</v>
      </c>
      <c r="U1377" s="8" t="str">
        <f t="shared" si="123"/>
        <v>Tue</v>
      </c>
      <c r="V1377" s="8" t="str">
        <f t="shared" si="124"/>
        <v>Tue</v>
      </c>
    </row>
    <row r="1378" spans="1:22" hidden="1" x14ac:dyDescent="0.25">
      <c r="A1378" t="s">
        <v>421</v>
      </c>
      <c r="B1378" t="s">
        <v>34</v>
      </c>
      <c r="C1378" t="s">
        <v>9</v>
      </c>
      <c r="D1378" t="s">
        <v>12</v>
      </c>
      <c r="F1378" s="5">
        <v>44257</v>
      </c>
      <c r="G1378" s="5">
        <v>44278</v>
      </c>
      <c r="H1378" s="2">
        <v>1</v>
      </c>
      <c r="I1378" s="6"/>
      <c r="J1378" s="6"/>
      <c r="K1378" s="7">
        <v>0.25</v>
      </c>
      <c r="L1378" s="7">
        <v>144</v>
      </c>
      <c r="M1378" t="s">
        <v>19</v>
      </c>
      <c r="N1378" s="9"/>
      <c r="O1378" s="8">
        <f t="array" ref="O1378">INDEX(TechRate,MATCH(H1378,TechNum,0))</f>
        <v>80</v>
      </c>
      <c r="P1378" s="10">
        <f>WorkOrders278[[#This Row],[Techs]]*(WorkOrders278[[#This Row],[PartsCost]]*WorkOrders278[[#This Row],[LbrHrs]])</f>
        <v>36</v>
      </c>
      <c r="Q1378" s="10">
        <f t="shared" si="119"/>
        <v>36</v>
      </c>
      <c r="R1378" s="10">
        <f t="shared" si="120"/>
        <v>144</v>
      </c>
      <c r="S1378" s="10">
        <f t="shared" si="121"/>
        <v>180</v>
      </c>
      <c r="T1378" s="10">
        <f t="shared" si="122"/>
        <v>180</v>
      </c>
      <c r="U1378" s="8" t="str">
        <f t="shared" si="123"/>
        <v>Tue</v>
      </c>
      <c r="V1378" s="8" t="str">
        <f t="shared" si="124"/>
        <v>Tue</v>
      </c>
    </row>
    <row r="1379" spans="1:22" hidden="1" x14ac:dyDescent="0.25">
      <c r="A1379" t="s">
        <v>422</v>
      </c>
      <c r="B1379" t="s">
        <v>39</v>
      </c>
      <c r="C1379" t="s">
        <v>9</v>
      </c>
      <c r="D1379" t="s">
        <v>1</v>
      </c>
      <c r="F1379" s="5">
        <v>44257</v>
      </c>
      <c r="G1379" s="5">
        <v>44278</v>
      </c>
      <c r="H1379" s="2">
        <v>1</v>
      </c>
      <c r="I1379" s="6"/>
      <c r="J1379" s="6" t="s">
        <v>3</v>
      </c>
      <c r="K1379" s="7">
        <v>2</v>
      </c>
      <c r="L1379" s="7">
        <v>94.71</v>
      </c>
      <c r="M1379" t="s">
        <v>18</v>
      </c>
      <c r="N1379" s="9"/>
      <c r="O1379" s="8">
        <f t="array" ref="O1379">INDEX(TechRate,MATCH(H1379,TechNum,0))</f>
        <v>80</v>
      </c>
      <c r="P1379" s="10">
        <f>WorkOrders278[[#This Row],[Techs]]*(WorkOrders278[[#This Row],[PartsCost]]*WorkOrders278[[#This Row],[LbrHrs]])</f>
        <v>189.42</v>
      </c>
      <c r="Q1379" s="10">
        <f t="shared" si="119"/>
        <v>189.42</v>
      </c>
      <c r="R1379" s="10">
        <f t="shared" si="120"/>
        <v>0</v>
      </c>
      <c r="S1379" s="10">
        <f t="shared" si="121"/>
        <v>284.13</v>
      </c>
      <c r="T1379" s="10">
        <f t="shared" si="122"/>
        <v>189.42</v>
      </c>
      <c r="U1379" s="8" t="str">
        <f t="shared" si="123"/>
        <v>Tue</v>
      </c>
      <c r="V1379" s="8" t="str">
        <f t="shared" si="124"/>
        <v>Tue</v>
      </c>
    </row>
    <row r="1380" spans="1:22" hidden="1" x14ac:dyDescent="0.25">
      <c r="A1380" t="s">
        <v>423</v>
      </c>
      <c r="B1380" t="s">
        <v>34</v>
      </c>
      <c r="C1380" t="s">
        <v>9</v>
      </c>
      <c r="D1380" t="s">
        <v>12</v>
      </c>
      <c r="E1380" t="s">
        <v>3</v>
      </c>
      <c r="F1380" s="5">
        <v>44258</v>
      </c>
      <c r="G1380" s="5">
        <v>44264</v>
      </c>
      <c r="H1380" s="2">
        <v>2</v>
      </c>
      <c r="I1380" s="6"/>
      <c r="J1380" s="6"/>
      <c r="K1380" s="7">
        <v>0.25</v>
      </c>
      <c r="L1380" s="7">
        <v>41.153799999999997</v>
      </c>
      <c r="M1380" t="s">
        <v>18</v>
      </c>
      <c r="N1380" s="9"/>
      <c r="O1380" s="8">
        <f t="array" ref="O1380">INDEX(TechRate,MATCH(H1380,TechNum,0))</f>
        <v>140</v>
      </c>
      <c r="P1380" s="10">
        <f>WorkOrders278[[#This Row],[Techs]]*(WorkOrders278[[#This Row],[PartsCost]]*WorkOrders278[[#This Row],[LbrHrs]])</f>
        <v>20.576899999999998</v>
      </c>
      <c r="Q1380" s="10">
        <f t="shared" si="119"/>
        <v>20.576899999999998</v>
      </c>
      <c r="R1380" s="10">
        <f t="shared" si="120"/>
        <v>41.153799999999997</v>
      </c>
      <c r="S1380" s="10">
        <f t="shared" si="121"/>
        <v>61.730699999999999</v>
      </c>
      <c r="T1380" s="10">
        <f t="shared" si="122"/>
        <v>61.730699999999999</v>
      </c>
      <c r="U1380" s="8" t="str">
        <f t="shared" si="123"/>
        <v>Wed</v>
      </c>
      <c r="V1380" s="8" t="str">
        <f t="shared" si="124"/>
        <v>Tue</v>
      </c>
    </row>
    <row r="1381" spans="1:22" hidden="1" x14ac:dyDescent="0.25">
      <c r="A1381" t="s">
        <v>424</v>
      </c>
      <c r="B1381" t="s">
        <v>40</v>
      </c>
      <c r="C1381" t="s">
        <v>7</v>
      </c>
      <c r="D1381" t="s">
        <v>13</v>
      </c>
      <c r="F1381" s="5">
        <v>44258</v>
      </c>
      <c r="G1381" s="5">
        <v>44292</v>
      </c>
      <c r="H1381" s="2">
        <v>2</v>
      </c>
      <c r="I1381" s="6"/>
      <c r="J1381" s="6"/>
      <c r="K1381" s="7">
        <v>0.5</v>
      </c>
      <c r="L1381" s="7">
        <v>76.9499</v>
      </c>
      <c r="M1381" t="s">
        <v>18</v>
      </c>
      <c r="N1381" s="9"/>
      <c r="O1381" s="8">
        <f t="array" ref="O1381">INDEX(TechRate,MATCH(H1381,TechNum,0))</f>
        <v>140</v>
      </c>
      <c r="P1381" s="10">
        <f>WorkOrders278[[#This Row],[Techs]]*(WorkOrders278[[#This Row],[PartsCost]]*WorkOrders278[[#This Row],[LbrHrs]])</f>
        <v>76.9499</v>
      </c>
      <c r="Q1381" s="10">
        <f t="shared" si="119"/>
        <v>76.9499</v>
      </c>
      <c r="R1381" s="10">
        <f t="shared" si="120"/>
        <v>76.9499</v>
      </c>
      <c r="S1381" s="10">
        <f t="shared" si="121"/>
        <v>153.8998</v>
      </c>
      <c r="T1381" s="10">
        <f t="shared" si="122"/>
        <v>153.8998</v>
      </c>
      <c r="U1381" s="8" t="str">
        <f t="shared" si="123"/>
        <v>Wed</v>
      </c>
      <c r="V1381" s="8" t="str">
        <f t="shared" si="124"/>
        <v>Tue</v>
      </c>
    </row>
    <row r="1382" spans="1:22" hidden="1" x14ac:dyDescent="0.25">
      <c r="A1382" t="s">
        <v>425</v>
      </c>
      <c r="B1382" t="s">
        <v>38</v>
      </c>
      <c r="C1382" t="s">
        <v>8</v>
      </c>
      <c r="D1382" t="s">
        <v>12</v>
      </c>
      <c r="F1382" s="5">
        <v>44258</v>
      </c>
      <c r="G1382" s="5">
        <v>44312</v>
      </c>
      <c r="H1382" s="2">
        <v>1</v>
      </c>
      <c r="I1382" s="6"/>
      <c r="J1382" s="6"/>
      <c r="K1382" s="7">
        <v>0.5</v>
      </c>
      <c r="L1382" s="7">
        <v>25.24</v>
      </c>
      <c r="M1382" t="s">
        <v>19</v>
      </c>
      <c r="N1382" s="9"/>
      <c r="O1382" s="8">
        <f t="array" ref="O1382">INDEX(TechRate,MATCH(H1382,TechNum,0))</f>
        <v>80</v>
      </c>
      <c r="P1382" s="10">
        <f>WorkOrders278[[#This Row],[Techs]]*(WorkOrders278[[#This Row],[PartsCost]]*WorkOrders278[[#This Row],[LbrHrs]])</f>
        <v>12.62</v>
      </c>
      <c r="Q1382" s="10">
        <f t="shared" si="119"/>
        <v>12.62</v>
      </c>
      <c r="R1382" s="10">
        <f t="shared" si="120"/>
        <v>25.24</v>
      </c>
      <c r="S1382" s="10">
        <f t="shared" si="121"/>
        <v>37.86</v>
      </c>
      <c r="T1382" s="10">
        <f t="shared" si="122"/>
        <v>37.86</v>
      </c>
      <c r="U1382" s="8" t="str">
        <f t="shared" si="123"/>
        <v>Wed</v>
      </c>
      <c r="V1382" s="8" t="str">
        <f t="shared" si="124"/>
        <v>Mon</v>
      </c>
    </row>
    <row r="1383" spans="1:22" hidden="1" x14ac:dyDescent="0.25">
      <c r="A1383" t="s">
        <v>426</v>
      </c>
      <c r="B1383" t="s">
        <v>35</v>
      </c>
      <c r="C1383" t="s">
        <v>9</v>
      </c>
      <c r="D1383" t="s">
        <v>12</v>
      </c>
      <c r="E1383" t="s">
        <v>3</v>
      </c>
      <c r="F1383" s="5">
        <v>44258</v>
      </c>
      <c r="G1383" s="5">
        <v>44329</v>
      </c>
      <c r="H1383" s="2">
        <v>2</v>
      </c>
      <c r="I1383" s="6"/>
      <c r="J1383" s="6"/>
      <c r="K1383" s="7">
        <v>0.75</v>
      </c>
      <c r="L1383" s="7">
        <v>572.62689999999998</v>
      </c>
      <c r="M1383" t="s">
        <v>18</v>
      </c>
      <c r="N1383" s="9"/>
      <c r="O1383" s="8">
        <f t="array" ref="O1383">INDEX(TechRate,MATCH(H1383,TechNum,0))</f>
        <v>140</v>
      </c>
      <c r="P1383" s="10">
        <f>WorkOrders278[[#This Row],[Techs]]*(WorkOrders278[[#This Row],[PartsCost]]*WorkOrders278[[#This Row],[LbrHrs]])</f>
        <v>858.94034999999997</v>
      </c>
      <c r="Q1383" s="10">
        <f t="shared" si="119"/>
        <v>858.94034999999997</v>
      </c>
      <c r="R1383" s="10">
        <f t="shared" si="120"/>
        <v>572.62689999999998</v>
      </c>
      <c r="S1383" s="10">
        <f t="shared" si="121"/>
        <v>1431.5672500000001</v>
      </c>
      <c r="T1383" s="10">
        <f t="shared" si="122"/>
        <v>1431.5672500000001</v>
      </c>
      <c r="U1383" s="8" t="str">
        <f t="shared" si="123"/>
        <v>Wed</v>
      </c>
      <c r="V1383" s="8" t="str">
        <f t="shared" si="124"/>
        <v>Thu</v>
      </c>
    </row>
    <row r="1384" spans="1:22" hidden="1" x14ac:dyDescent="0.25">
      <c r="A1384" t="s">
        <v>427</v>
      </c>
      <c r="B1384" t="s">
        <v>37</v>
      </c>
      <c r="C1384" t="s">
        <v>9</v>
      </c>
      <c r="D1384" t="s">
        <v>13</v>
      </c>
      <c r="F1384" s="5">
        <v>44258</v>
      </c>
      <c r="G1384" s="5">
        <v>44389</v>
      </c>
      <c r="H1384" s="2">
        <v>2</v>
      </c>
      <c r="I1384" s="6"/>
      <c r="J1384" s="6"/>
      <c r="K1384" s="7">
        <v>1.25</v>
      </c>
      <c r="L1384" s="7">
        <v>361.90370000000001</v>
      </c>
      <c r="M1384" t="s">
        <v>17</v>
      </c>
      <c r="N1384" s="9"/>
      <c r="O1384" s="8">
        <f t="array" ref="O1384">INDEX(TechRate,MATCH(H1384,TechNum,0))</f>
        <v>140</v>
      </c>
      <c r="P1384" s="10">
        <f>WorkOrders278[[#This Row],[Techs]]*(WorkOrders278[[#This Row],[PartsCost]]*WorkOrders278[[#This Row],[LbrHrs]])</f>
        <v>904.75925000000007</v>
      </c>
      <c r="Q1384" s="10">
        <f t="shared" si="119"/>
        <v>904.75925000000007</v>
      </c>
      <c r="R1384" s="10">
        <f t="shared" si="120"/>
        <v>361.90370000000001</v>
      </c>
      <c r="S1384" s="10">
        <f t="shared" si="121"/>
        <v>1266.6629500000001</v>
      </c>
      <c r="T1384" s="10">
        <f t="shared" si="122"/>
        <v>1266.6629500000001</v>
      </c>
      <c r="U1384" s="8" t="str">
        <f t="shared" si="123"/>
        <v>Wed</v>
      </c>
      <c r="V1384" s="8" t="str">
        <f t="shared" si="124"/>
        <v>Mon</v>
      </c>
    </row>
    <row r="1385" spans="1:22" hidden="1" x14ac:dyDescent="0.25">
      <c r="A1385" t="s">
        <v>428</v>
      </c>
      <c r="B1385" t="s">
        <v>35</v>
      </c>
      <c r="C1385" t="s">
        <v>44</v>
      </c>
      <c r="D1385" t="s">
        <v>12</v>
      </c>
      <c r="F1385" s="5">
        <v>44259</v>
      </c>
      <c r="G1385" s="5">
        <v>44263</v>
      </c>
      <c r="H1385" s="2">
        <v>1</v>
      </c>
      <c r="I1385" s="6"/>
      <c r="J1385" s="6"/>
      <c r="K1385" s="7">
        <v>0.25</v>
      </c>
      <c r="L1385" s="7">
        <v>110.2272</v>
      </c>
      <c r="M1385" t="s">
        <v>17</v>
      </c>
      <c r="N1385" s="9"/>
      <c r="O1385" s="8">
        <f t="array" ref="O1385">INDEX(TechRate,MATCH(H1385,TechNum,0))</f>
        <v>80</v>
      </c>
      <c r="P1385" s="10">
        <f>WorkOrders278[[#This Row],[Techs]]*(WorkOrders278[[#This Row],[PartsCost]]*WorkOrders278[[#This Row],[LbrHrs]])</f>
        <v>27.556799999999999</v>
      </c>
      <c r="Q1385" s="10">
        <f t="shared" si="119"/>
        <v>27.556799999999999</v>
      </c>
      <c r="R1385" s="10">
        <f t="shared" si="120"/>
        <v>110.2272</v>
      </c>
      <c r="S1385" s="10">
        <f t="shared" si="121"/>
        <v>137.78399999999999</v>
      </c>
      <c r="T1385" s="10">
        <f t="shared" si="122"/>
        <v>137.78399999999999</v>
      </c>
      <c r="U1385" s="8" t="str">
        <f t="shared" si="123"/>
        <v>Thu</v>
      </c>
      <c r="V1385" s="8" t="str">
        <f t="shared" si="124"/>
        <v>Mon</v>
      </c>
    </row>
    <row r="1386" spans="1:22" hidden="1" x14ac:dyDescent="0.25">
      <c r="A1386" t="s">
        <v>429</v>
      </c>
      <c r="B1386" t="s">
        <v>37</v>
      </c>
      <c r="C1386" t="s">
        <v>43</v>
      </c>
      <c r="D1386" t="s">
        <v>12</v>
      </c>
      <c r="F1386" s="5">
        <v>44259</v>
      </c>
      <c r="G1386" s="5">
        <v>44270</v>
      </c>
      <c r="H1386" s="2">
        <v>1</v>
      </c>
      <c r="I1386" s="6"/>
      <c r="J1386" s="6"/>
      <c r="K1386" s="7">
        <v>0.25</v>
      </c>
      <c r="L1386" s="7">
        <v>33.910499999999999</v>
      </c>
      <c r="M1386" t="s">
        <v>17</v>
      </c>
      <c r="N1386" s="9"/>
      <c r="O1386" s="8">
        <f t="array" ref="O1386">INDEX(TechRate,MATCH(H1386,TechNum,0))</f>
        <v>80</v>
      </c>
      <c r="P1386" s="10">
        <f>WorkOrders278[[#This Row],[Techs]]*(WorkOrders278[[#This Row],[PartsCost]]*WorkOrders278[[#This Row],[LbrHrs]])</f>
        <v>8.4776249999999997</v>
      </c>
      <c r="Q1386" s="10">
        <f t="shared" si="119"/>
        <v>8.4776249999999997</v>
      </c>
      <c r="R1386" s="10">
        <f t="shared" si="120"/>
        <v>33.910499999999999</v>
      </c>
      <c r="S1386" s="10">
        <f t="shared" si="121"/>
        <v>42.388125000000002</v>
      </c>
      <c r="T1386" s="10">
        <f t="shared" si="122"/>
        <v>42.388125000000002</v>
      </c>
      <c r="U1386" s="8" t="str">
        <f t="shared" si="123"/>
        <v>Thu</v>
      </c>
      <c r="V1386" s="8" t="str">
        <f t="shared" si="124"/>
        <v>Mon</v>
      </c>
    </row>
    <row r="1387" spans="1:22" hidden="1" x14ac:dyDescent="0.25">
      <c r="A1387" t="s">
        <v>430</v>
      </c>
      <c r="B1387" t="s">
        <v>36</v>
      </c>
      <c r="C1387" t="s">
        <v>7</v>
      </c>
      <c r="D1387" t="s">
        <v>12</v>
      </c>
      <c r="F1387" s="5">
        <v>44259</v>
      </c>
      <c r="G1387" s="5">
        <v>44279</v>
      </c>
      <c r="H1387" s="2">
        <v>2</v>
      </c>
      <c r="I1387" s="6"/>
      <c r="J1387" s="6"/>
      <c r="K1387" s="7">
        <v>0.25</v>
      </c>
      <c r="L1387" s="7">
        <v>19</v>
      </c>
      <c r="M1387" t="s">
        <v>17</v>
      </c>
      <c r="N1387" s="9"/>
      <c r="O1387" s="8">
        <f t="array" ref="O1387">INDEX(TechRate,MATCH(H1387,TechNum,0))</f>
        <v>140</v>
      </c>
      <c r="P1387" s="10">
        <f>WorkOrders278[[#This Row],[Techs]]*(WorkOrders278[[#This Row],[PartsCost]]*WorkOrders278[[#This Row],[LbrHrs]])</f>
        <v>9.5</v>
      </c>
      <c r="Q1387" s="10">
        <f t="shared" si="119"/>
        <v>9.5</v>
      </c>
      <c r="R1387" s="10">
        <f t="shared" si="120"/>
        <v>19</v>
      </c>
      <c r="S1387" s="10">
        <f t="shared" si="121"/>
        <v>28.5</v>
      </c>
      <c r="T1387" s="10">
        <f t="shared" si="122"/>
        <v>28.5</v>
      </c>
      <c r="U1387" s="8" t="str">
        <f t="shared" si="123"/>
        <v>Thu</v>
      </c>
      <c r="V1387" s="8" t="str">
        <f t="shared" si="124"/>
        <v>Wed</v>
      </c>
    </row>
    <row r="1388" spans="1:22" hidden="1" x14ac:dyDescent="0.25">
      <c r="A1388" t="s">
        <v>431</v>
      </c>
      <c r="B1388" t="s">
        <v>38</v>
      </c>
      <c r="C1388" t="s">
        <v>8</v>
      </c>
      <c r="D1388" t="s">
        <v>1</v>
      </c>
      <c r="F1388" s="5">
        <v>44259</v>
      </c>
      <c r="G1388" s="5">
        <v>44279</v>
      </c>
      <c r="H1388" s="2">
        <v>1</v>
      </c>
      <c r="I1388" s="6"/>
      <c r="J1388" s="6"/>
      <c r="K1388" s="7">
        <v>1.25</v>
      </c>
      <c r="L1388" s="7">
        <v>294.77999999999997</v>
      </c>
      <c r="M1388" t="s">
        <v>19</v>
      </c>
      <c r="N1388" s="9"/>
      <c r="O1388" s="8">
        <f t="array" ref="O1388">INDEX(TechRate,MATCH(H1388,TechNum,0))</f>
        <v>80</v>
      </c>
      <c r="P1388" s="10">
        <f>WorkOrders278[[#This Row],[Techs]]*(WorkOrders278[[#This Row],[PartsCost]]*WorkOrders278[[#This Row],[LbrHrs]])</f>
        <v>368.47499999999997</v>
      </c>
      <c r="Q1388" s="10">
        <f t="shared" ref="Q1388:Q1451" si="125">IF(I1388="Yes",0,P1388)</f>
        <v>368.47499999999997</v>
      </c>
      <c r="R1388" s="10">
        <f t="shared" ref="R1388:R1451" si="126">IF(J1388="Yes",0,L1388)</f>
        <v>294.77999999999997</v>
      </c>
      <c r="S1388" s="10">
        <f t="shared" ref="S1388:S1451" si="127">SUM(L1388,P1388)</f>
        <v>663.25499999999988</v>
      </c>
      <c r="T1388" s="10">
        <f t="shared" ref="T1388:T1451" si="128">SUM(Q1388,R1388)</f>
        <v>663.25499999999988</v>
      </c>
      <c r="U1388" s="8" t="str">
        <f t="shared" ref="U1388:U1451" si="129">TEXT(F1388,"ddd")</f>
        <v>Thu</v>
      </c>
      <c r="V1388" s="8" t="str">
        <f t="shared" ref="V1388:V1451" si="130">TEXT(G1388,"ddd")</f>
        <v>Wed</v>
      </c>
    </row>
    <row r="1389" spans="1:22" hidden="1" x14ac:dyDescent="0.25">
      <c r="A1389" t="s">
        <v>432</v>
      </c>
      <c r="B1389" t="s">
        <v>40</v>
      </c>
      <c r="C1389" t="s">
        <v>7</v>
      </c>
      <c r="D1389" t="s">
        <v>12</v>
      </c>
      <c r="F1389" s="5">
        <v>44259</v>
      </c>
      <c r="G1389" s="5">
        <v>44312</v>
      </c>
      <c r="H1389" s="2">
        <v>2</v>
      </c>
      <c r="I1389" s="6"/>
      <c r="J1389" s="6"/>
      <c r="K1389" s="7">
        <v>0.25</v>
      </c>
      <c r="L1389" s="7">
        <v>83.231700000000004</v>
      </c>
      <c r="M1389" t="s">
        <v>17</v>
      </c>
      <c r="N1389" s="9"/>
      <c r="O1389" s="8">
        <f t="array" ref="O1389">INDEX(TechRate,MATCH(H1389,TechNum,0))</f>
        <v>140</v>
      </c>
      <c r="P1389" s="10">
        <f>WorkOrders278[[#This Row],[Techs]]*(WorkOrders278[[#This Row],[PartsCost]]*WorkOrders278[[#This Row],[LbrHrs]])</f>
        <v>41.615850000000002</v>
      </c>
      <c r="Q1389" s="10">
        <f t="shared" si="125"/>
        <v>41.615850000000002</v>
      </c>
      <c r="R1389" s="10">
        <f t="shared" si="126"/>
        <v>83.231700000000004</v>
      </c>
      <c r="S1389" s="10">
        <f t="shared" si="127"/>
        <v>124.84755000000001</v>
      </c>
      <c r="T1389" s="10">
        <f t="shared" si="128"/>
        <v>124.84755000000001</v>
      </c>
      <c r="U1389" s="8" t="str">
        <f t="shared" si="129"/>
        <v>Thu</v>
      </c>
      <c r="V1389" s="8" t="str">
        <f t="shared" si="130"/>
        <v>Mon</v>
      </c>
    </row>
    <row r="1390" spans="1:22" hidden="1" x14ac:dyDescent="0.25">
      <c r="A1390" t="s">
        <v>433</v>
      </c>
      <c r="B1390" t="s">
        <v>37</v>
      </c>
      <c r="C1390" t="s">
        <v>43</v>
      </c>
      <c r="D1390" t="s">
        <v>12</v>
      </c>
      <c r="F1390" s="5">
        <v>44263</v>
      </c>
      <c r="G1390" s="5">
        <v>44271</v>
      </c>
      <c r="H1390" s="2">
        <v>1</v>
      </c>
      <c r="I1390" s="6"/>
      <c r="J1390" s="6"/>
      <c r="K1390" s="7">
        <v>0.75</v>
      </c>
      <c r="L1390" s="7">
        <v>103.0842</v>
      </c>
      <c r="M1390" t="s">
        <v>17</v>
      </c>
      <c r="N1390" s="9"/>
      <c r="O1390" s="8">
        <f t="array" ref="O1390">INDEX(TechRate,MATCH(H1390,TechNum,0))</f>
        <v>80</v>
      </c>
      <c r="P1390" s="10">
        <f>WorkOrders278[[#This Row],[Techs]]*(WorkOrders278[[#This Row],[PartsCost]]*WorkOrders278[[#This Row],[LbrHrs]])</f>
        <v>77.313149999999993</v>
      </c>
      <c r="Q1390" s="10">
        <f t="shared" si="125"/>
        <v>77.313149999999993</v>
      </c>
      <c r="R1390" s="10">
        <f t="shared" si="126"/>
        <v>103.0842</v>
      </c>
      <c r="S1390" s="10">
        <f t="shared" si="127"/>
        <v>180.39734999999999</v>
      </c>
      <c r="T1390" s="10">
        <f t="shared" si="128"/>
        <v>180.39734999999999</v>
      </c>
      <c r="U1390" s="8" t="str">
        <f t="shared" si="129"/>
        <v>Mon</v>
      </c>
      <c r="V1390" s="8" t="str">
        <f t="shared" si="130"/>
        <v>Tue</v>
      </c>
    </row>
    <row r="1391" spans="1:22" hidden="1" x14ac:dyDescent="0.25">
      <c r="A1391" t="s">
        <v>434</v>
      </c>
      <c r="B1391" t="s">
        <v>34</v>
      </c>
      <c r="C1391" t="s">
        <v>44</v>
      </c>
      <c r="D1391" t="s">
        <v>13</v>
      </c>
      <c r="F1391" s="5">
        <v>44263</v>
      </c>
      <c r="G1391" s="5">
        <v>44271</v>
      </c>
      <c r="H1391" s="2">
        <v>2</v>
      </c>
      <c r="I1391" s="6"/>
      <c r="J1391" s="6"/>
      <c r="K1391" s="7">
        <v>0.5</v>
      </c>
      <c r="L1391" s="7">
        <v>144.30529999999999</v>
      </c>
      <c r="M1391" t="s">
        <v>18</v>
      </c>
      <c r="N1391" s="9"/>
      <c r="O1391" s="8">
        <f t="array" ref="O1391">INDEX(TechRate,MATCH(H1391,TechNum,0))</f>
        <v>140</v>
      </c>
      <c r="P1391" s="10">
        <f>WorkOrders278[[#This Row],[Techs]]*(WorkOrders278[[#This Row],[PartsCost]]*WorkOrders278[[#This Row],[LbrHrs]])</f>
        <v>144.30529999999999</v>
      </c>
      <c r="Q1391" s="10">
        <f t="shared" si="125"/>
        <v>144.30529999999999</v>
      </c>
      <c r="R1391" s="10">
        <f t="shared" si="126"/>
        <v>144.30529999999999</v>
      </c>
      <c r="S1391" s="10">
        <f t="shared" si="127"/>
        <v>288.61059999999998</v>
      </c>
      <c r="T1391" s="10">
        <f t="shared" si="128"/>
        <v>288.61059999999998</v>
      </c>
      <c r="U1391" s="8" t="str">
        <f t="shared" si="129"/>
        <v>Mon</v>
      </c>
      <c r="V1391" s="8" t="str">
        <f t="shared" si="130"/>
        <v>Tue</v>
      </c>
    </row>
    <row r="1392" spans="1:22" hidden="1" x14ac:dyDescent="0.25">
      <c r="A1392" t="s">
        <v>435</v>
      </c>
      <c r="B1392" t="s">
        <v>36</v>
      </c>
      <c r="C1392" t="s">
        <v>7</v>
      </c>
      <c r="D1392" t="s">
        <v>12</v>
      </c>
      <c r="F1392" s="5">
        <v>44263</v>
      </c>
      <c r="G1392" s="5">
        <v>44280</v>
      </c>
      <c r="H1392" s="2">
        <v>2</v>
      </c>
      <c r="I1392" s="6"/>
      <c r="J1392" s="6"/>
      <c r="K1392" s="7">
        <v>0.25</v>
      </c>
      <c r="L1392" s="7">
        <v>39</v>
      </c>
      <c r="M1392" t="s">
        <v>17</v>
      </c>
      <c r="N1392" s="9"/>
      <c r="O1392" s="8">
        <f t="array" ref="O1392">INDEX(TechRate,MATCH(H1392,TechNum,0))</f>
        <v>140</v>
      </c>
      <c r="P1392" s="10">
        <f>WorkOrders278[[#This Row],[Techs]]*(WorkOrders278[[#This Row],[PartsCost]]*WorkOrders278[[#This Row],[LbrHrs]])</f>
        <v>19.5</v>
      </c>
      <c r="Q1392" s="10">
        <f t="shared" si="125"/>
        <v>19.5</v>
      </c>
      <c r="R1392" s="10">
        <f t="shared" si="126"/>
        <v>39</v>
      </c>
      <c r="S1392" s="10">
        <f t="shared" si="127"/>
        <v>58.5</v>
      </c>
      <c r="T1392" s="10">
        <f t="shared" si="128"/>
        <v>58.5</v>
      </c>
      <c r="U1392" s="8" t="str">
        <f t="shared" si="129"/>
        <v>Mon</v>
      </c>
      <c r="V1392" s="8" t="str">
        <f t="shared" si="130"/>
        <v>Thu</v>
      </c>
    </row>
    <row r="1393" spans="1:22" hidden="1" x14ac:dyDescent="0.25">
      <c r="A1393" t="s">
        <v>436</v>
      </c>
      <c r="B1393" t="s">
        <v>34</v>
      </c>
      <c r="C1393" t="s">
        <v>9</v>
      </c>
      <c r="D1393" t="s">
        <v>1</v>
      </c>
      <c r="F1393" s="5">
        <v>44263</v>
      </c>
      <c r="G1393" s="5">
        <v>44282</v>
      </c>
      <c r="H1393" s="2">
        <v>2</v>
      </c>
      <c r="I1393" s="6"/>
      <c r="J1393" s="6"/>
      <c r="K1393" s="7">
        <v>2.5</v>
      </c>
      <c r="L1393" s="7">
        <v>224</v>
      </c>
      <c r="M1393" t="s">
        <v>18</v>
      </c>
      <c r="N1393" s="9"/>
      <c r="O1393" s="8">
        <f t="array" ref="O1393">INDEX(TechRate,MATCH(H1393,TechNum,0))</f>
        <v>140</v>
      </c>
      <c r="P1393" s="10">
        <f>WorkOrders278[[#This Row],[Techs]]*(WorkOrders278[[#This Row],[PartsCost]]*WorkOrders278[[#This Row],[LbrHrs]])</f>
        <v>1120</v>
      </c>
      <c r="Q1393" s="10">
        <f t="shared" si="125"/>
        <v>1120</v>
      </c>
      <c r="R1393" s="10">
        <f t="shared" si="126"/>
        <v>224</v>
      </c>
      <c r="S1393" s="10">
        <f t="shared" si="127"/>
        <v>1344</v>
      </c>
      <c r="T1393" s="10">
        <f t="shared" si="128"/>
        <v>1344</v>
      </c>
      <c r="U1393" s="8" t="str">
        <f t="shared" si="129"/>
        <v>Mon</v>
      </c>
      <c r="V1393" s="8" t="str">
        <f t="shared" si="130"/>
        <v>Sat</v>
      </c>
    </row>
    <row r="1394" spans="1:22" hidden="1" x14ac:dyDescent="0.25">
      <c r="A1394" t="s">
        <v>437</v>
      </c>
      <c r="B1394" t="s">
        <v>37</v>
      </c>
      <c r="C1394" t="s">
        <v>43</v>
      </c>
      <c r="D1394" t="s">
        <v>12</v>
      </c>
      <c r="F1394" s="5">
        <v>44263</v>
      </c>
      <c r="G1394" s="5">
        <v>44359</v>
      </c>
      <c r="H1394" s="2">
        <v>1</v>
      </c>
      <c r="I1394" s="6"/>
      <c r="J1394" s="6"/>
      <c r="K1394" s="7">
        <v>0.5</v>
      </c>
      <c r="L1394" s="7">
        <v>475.54</v>
      </c>
      <c r="M1394" t="s">
        <v>17</v>
      </c>
      <c r="N1394" s="9"/>
      <c r="O1394" s="8">
        <f t="array" ref="O1394">INDEX(TechRate,MATCH(H1394,TechNum,0))</f>
        <v>80</v>
      </c>
      <c r="P1394" s="10">
        <f>WorkOrders278[[#This Row],[Techs]]*(WorkOrders278[[#This Row],[PartsCost]]*WorkOrders278[[#This Row],[LbrHrs]])</f>
        <v>237.77</v>
      </c>
      <c r="Q1394" s="10">
        <f t="shared" si="125"/>
        <v>237.77</v>
      </c>
      <c r="R1394" s="10">
        <f t="shared" si="126"/>
        <v>475.54</v>
      </c>
      <c r="S1394" s="10">
        <f t="shared" si="127"/>
        <v>713.31000000000006</v>
      </c>
      <c r="T1394" s="10">
        <f t="shared" si="128"/>
        <v>713.31000000000006</v>
      </c>
      <c r="U1394" s="8" t="str">
        <f t="shared" si="129"/>
        <v>Mon</v>
      </c>
      <c r="V1394" s="8" t="str">
        <f t="shared" si="130"/>
        <v>Sat</v>
      </c>
    </row>
    <row r="1395" spans="1:22" hidden="1" x14ac:dyDescent="0.25">
      <c r="A1395" t="s">
        <v>438</v>
      </c>
      <c r="B1395" t="s">
        <v>34</v>
      </c>
      <c r="C1395" t="s">
        <v>8</v>
      </c>
      <c r="D1395" t="s">
        <v>12</v>
      </c>
      <c r="F1395" s="5">
        <v>44264</v>
      </c>
      <c r="G1395" s="5">
        <v>44271</v>
      </c>
      <c r="H1395" s="2">
        <v>1</v>
      </c>
      <c r="I1395" s="6"/>
      <c r="J1395" s="6"/>
      <c r="K1395" s="7">
        <v>1</v>
      </c>
      <c r="L1395" s="7">
        <v>46.036799999999999</v>
      </c>
      <c r="M1395" t="s">
        <v>18</v>
      </c>
      <c r="N1395" s="9"/>
      <c r="O1395" s="8">
        <f t="array" ref="O1395">INDEX(TechRate,MATCH(H1395,TechNum,0))</f>
        <v>80</v>
      </c>
      <c r="P1395" s="10">
        <f>WorkOrders278[[#This Row],[Techs]]*(WorkOrders278[[#This Row],[PartsCost]]*WorkOrders278[[#This Row],[LbrHrs]])</f>
        <v>46.036799999999999</v>
      </c>
      <c r="Q1395" s="10">
        <f t="shared" si="125"/>
        <v>46.036799999999999</v>
      </c>
      <c r="R1395" s="10">
        <f t="shared" si="126"/>
        <v>46.036799999999999</v>
      </c>
      <c r="S1395" s="10">
        <f t="shared" si="127"/>
        <v>92.073599999999999</v>
      </c>
      <c r="T1395" s="10">
        <f t="shared" si="128"/>
        <v>92.073599999999999</v>
      </c>
      <c r="U1395" s="8" t="str">
        <f t="shared" si="129"/>
        <v>Tue</v>
      </c>
      <c r="V1395" s="8" t="str">
        <f t="shared" si="130"/>
        <v>Tue</v>
      </c>
    </row>
    <row r="1396" spans="1:22" hidden="1" x14ac:dyDescent="0.25">
      <c r="A1396" t="s">
        <v>439</v>
      </c>
      <c r="B1396" t="s">
        <v>37</v>
      </c>
      <c r="C1396" t="s">
        <v>43</v>
      </c>
      <c r="D1396" t="s">
        <v>12</v>
      </c>
      <c r="F1396" s="5">
        <v>44264</v>
      </c>
      <c r="G1396" s="5">
        <v>44271</v>
      </c>
      <c r="H1396" s="2">
        <v>1</v>
      </c>
      <c r="I1396" s="6"/>
      <c r="J1396" s="6"/>
      <c r="K1396" s="7">
        <v>0.75</v>
      </c>
      <c r="L1396" s="7">
        <v>294.5514</v>
      </c>
      <c r="M1396" t="s">
        <v>17</v>
      </c>
      <c r="N1396" s="9"/>
      <c r="O1396" s="8">
        <f t="array" ref="O1396">INDEX(TechRate,MATCH(H1396,TechNum,0))</f>
        <v>80</v>
      </c>
      <c r="P1396" s="10">
        <f>WorkOrders278[[#This Row],[Techs]]*(WorkOrders278[[#This Row],[PartsCost]]*WorkOrders278[[#This Row],[LbrHrs]])</f>
        <v>220.91354999999999</v>
      </c>
      <c r="Q1396" s="10">
        <f t="shared" si="125"/>
        <v>220.91354999999999</v>
      </c>
      <c r="R1396" s="10">
        <f t="shared" si="126"/>
        <v>294.5514</v>
      </c>
      <c r="S1396" s="10">
        <f t="shared" si="127"/>
        <v>515.46495000000004</v>
      </c>
      <c r="T1396" s="10">
        <f t="shared" si="128"/>
        <v>515.46495000000004</v>
      </c>
      <c r="U1396" s="8" t="str">
        <f t="shared" si="129"/>
        <v>Tue</v>
      </c>
      <c r="V1396" s="8" t="str">
        <f t="shared" si="130"/>
        <v>Tue</v>
      </c>
    </row>
    <row r="1397" spans="1:22" hidden="1" x14ac:dyDescent="0.25">
      <c r="A1397" t="s">
        <v>440</v>
      </c>
      <c r="B1397" t="s">
        <v>38</v>
      </c>
      <c r="C1397" t="s">
        <v>8</v>
      </c>
      <c r="D1397" t="s">
        <v>13</v>
      </c>
      <c r="F1397" s="5">
        <v>44264</v>
      </c>
      <c r="G1397" s="5">
        <v>44341</v>
      </c>
      <c r="H1397" s="2">
        <v>2</v>
      </c>
      <c r="I1397" s="6"/>
      <c r="J1397" s="6"/>
      <c r="K1397" s="7">
        <v>1</v>
      </c>
      <c r="L1397" s="7">
        <v>28.5</v>
      </c>
      <c r="M1397" t="s">
        <v>19</v>
      </c>
      <c r="N1397" s="9"/>
      <c r="O1397" s="8">
        <f t="array" ref="O1397">INDEX(TechRate,MATCH(H1397,TechNum,0))</f>
        <v>140</v>
      </c>
      <c r="P1397" s="10">
        <f>WorkOrders278[[#This Row],[Techs]]*(WorkOrders278[[#This Row],[PartsCost]]*WorkOrders278[[#This Row],[LbrHrs]])</f>
        <v>57</v>
      </c>
      <c r="Q1397" s="10">
        <f t="shared" si="125"/>
        <v>57</v>
      </c>
      <c r="R1397" s="10">
        <f t="shared" si="126"/>
        <v>28.5</v>
      </c>
      <c r="S1397" s="10">
        <f t="shared" si="127"/>
        <v>85.5</v>
      </c>
      <c r="T1397" s="10">
        <f t="shared" si="128"/>
        <v>85.5</v>
      </c>
      <c r="U1397" s="8" t="str">
        <f t="shared" si="129"/>
        <v>Tue</v>
      </c>
      <c r="V1397" s="8" t="str">
        <f t="shared" si="130"/>
        <v>Tue</v>
      </c>
    </row>
    <row r="1398" spans="1:22" hidden="1" x14ac:dyDescent="0.25">
      <c r="A1398" t="s">
        <v>441</v>
      </c>
      <c r="B1398" t="s">
        <v>40</v>
      </c>
      <c r="C1398" t="s">
        <v>7</v>
      </c>
      <c r="D1398" t="s">
        <v>1</v>
      </c>
      <c r="F1398" s="5">
        <v>44265</v>
      </c>
      <c r="G1398" s="5">
        <v>44267</v>
      </c>
      <c r="H1398" s="2">
        <v>2</v>
      </c>
      <c r="I1398" s="6"/>
      <c r="J1398" s="6"/>
      <c r="K1398" s="7">
        <v>1.5</v>
      </c>
      <c r="L1398" s="7">
        <v>50</v>
      </c>
      <c r="M1398" t="s">
        <v>17</v>
      </c>
      <c r="N1398" s="9"/>
      <c r="O1398" s="8">
        <f t="array" ref="O1398">INDEX(TechRate,MATCH(H1398,TechNum,0))</f>
        <v>140</v>
      </c>
      <c r="P1398" s="10">
        <f>WorkOrders278[[#This Row],[Techs]]*(WorkOrders278[[#This Row],[PartsCost]]*WorkOrders278[[#This Row],[LbrHrs]])</f>
        <v>150</v>
      </c>
      <c r="Q1398" s="10">
        <f t="shared" si="125"/>
        <v>150</v>
      </c>
      <c r="R1398" s="10">
        <f t="shared" si="126"/>
        <v>50</v>
      </c>
      <c r="S1398" s="10">
        <f t="shared" si="127"/>
        <v>200</v>
      </c>
      <c r="T1398" s="10">
        <f t="shared" si="128"/>
        <v>200</v>
      </c>
      <c r="U1398" s="8" t="str">
        <f t="shared" si="129"/>
        <v>Wed</v>
      </c>
      <c r="V1398" s="8" t="str">
        <f t="shared" si="130"/>
        <v>Fri</v>
      </c>
    </row>
    <row r="1399" spans="1:22" hidden="1" x14ac:dyDescent="0.25">
      <c r="A1399" t="s">
        <v>442</v>
      </c>
      <c r="B1399" t="s">
        <v>39</v>
      </c>
      <c r="C1399" t="s">
        <v>8</v>
      </c>
      <c r="D1399" t="s">
        <v>12</v>
      </c>
      <c r="F1399" s="5">
        <v>44265</v>
      </c>
      <c r="G1399" s="5">
        <v>44265</v>
      </c>
      <c r="H1399" s="2">
        <v>1</v>
      </c>
      <c r="I1399" s="6"/>
      <c r="J1399" s="6"/>
      <c r="K1399" s="7">
        <v>0.5</v>
      </c>
      <c r="L1399" s="7">
        <v>10</v>
      </c>
      <c r="M1399" t="s">
        <v>17</v>
      </c>
      <c r="N1399" s="9"/>
      <c r="O1399" s="8">
        <f t="array" ref="O1399">INDEX(TechRate,MATCH(H1399,TechNum,0))</f>
        <v>80</v>
      </c>
      <c r="P1399" s="10">
        <f>WorkOrders278[[#This Row],[Techs]]*(WorkOrders278[[#This Row],[PartsCost]]*WorkOrders278[[#This Row],[LbrHrs]])</f>
        <v>5</v>
      </c>
      <c r="Q1399" s="10">
        <f t="shared" si="125"/>
        <v>5</v>
      </c>
      <c r="R1399" s="10">
        <f t="shared" si="126"/>
        <v>10</v>
      </c>
      <c r="S1399" s="10">
        <f t="shared" si="127"/>
        <v>15</v>
      </c>
      <c r="T1399" s="10">
        <f t="shared" si="128"/>
        <v>15</v>
      </c>
      <c r="U1399" s="8" t="str">
        <f t="shared" si="129"/>
        <v>Wed</v>
      </c>
      <c r="V1399" s="8" t="str">
        <f t="shared" si="130"/>
        <v>Wed</v>
      </c>
    </row>
    <row r="1400" spans="1:22" hidden="1" x14ac:dyDescent="0.25">
      <c r="A1400" t="s">
        <v>443</v>
      </c>
      <c r="B1400" t="s">
        <v>36</v>
      </c>
      <c r="C1400" t="s">
        <v>7</v>
      </c>
      <c r="D1400" t="s">
        <v>1</v>
      </c>
      <c r="E1400" t="s">
        <v>3</v>
      </c>
      <c r="F1400" s="5">
        <v>44265</v>
      </c>
      <c r="G1400" s="5">
        <v>44272</v>
      </c>
      <c r="H1400" s="2">
        <v>2</v>
      </c>
      <c r="I1400" s="6"/>
      <c r="J1400" s="6"/>
      <c r="K1400" s="7">
        <v>1.5</v>
      </c>
      <c r="L1400" s="7">
        <v>29.33</v>
      </c>
      <c r="M1400" t="s">
        <v>17</v>
      </c>
      <c r="N1400" s="9"/>
      <c r="O1400" s="8">
        <f t="array" ref="O1400">INDEX(TechRate,MATCH(H1400,TechNum,0))</f>
        <v>140</v>
      </c>
      <c r="P1400" s="10">
        <f>WorkOrders278[[#This Row],[Techs]]*(WorkOrders278[[#This Row],[PartsCost]]*WorkOrders278[[#This Row],[LbrHrs]])</f>
        <v>87.99</v>
      </c>
      <c r="Q1400" s="10">
        <f t="shared" si="125"/>
        <v>87.99</v>
      </c>
      <c r="R1400" s="10">
        <f t="shared" si="126"/>
        <v>29.33</v>
      </c>
      <c r="S1400" s="10">
        <f t="shared" si="127"/>
        <v>117.32</v>
      </c>
      <c r="T1400" s="10">
        <f t="shared" si="128"/>
        <v>117.32</v>
      </c>
      <c r="U1400" s="8" t="str">
        <f t="shared" si="129"/>
        <v>Wed</v>
      </c>
      <c r="V1400" s="8" t="str">
        <f t="shared" si="130"/>
        <v>Wed</v>
      </c>
    </row>
    <row r="1401" spans="1:22" hidden="1" x14ac:dyDescent="0.25">
      <c r="A1401" t="s">
        <v>444</v>
      </c>
      <c r="B1401" t="s">
        <v>37</v>
      </c>
      <c r="C1401" t="s">
        <v>9</v>
      </c>
      <c r="D1401" t="s">
        <v>12</v>
      </c>
      <c r="E1401" t="s">
        <v>3</v>
      </c>
      <c r="F1401" s="5">
        <v>44265</v>
      </c>
      <c r="G1401" s="5">
        <v>44272</v>
      </c>
      <c r="H1401" s="2">
        <v>1</v>
      </c>
      <c r="I1401" s="6"/>
      <c r="J1401" s="6" t="s">
        <v>3</v>
      </c>
      <c r="K1401" s="7">
        <v>0.25</v>
      </c>
      <c r="L1401" s="7">
        <v>19.196999999999999</v>
      </c>
      <c r="M1401" t="s">
        <v>18</v>
      </c>
      <c r="N1401" s="9"/>
      <c r="O1401" s="8">
        <f t="array" ref="O1401">INDEX(TechRate,MATCH(H1401,TechNum,0))</f>
        <v>80</v>
      </c>
      <c r="P1401" s="10">
        <f>WorkOrders278[[#This Row],[Techs]]*(WorkOrders278[[#This Row],[PartsCost]]*WorkOrders278[[#This Row],[LbrHrs]])</f>
        <v>4.7992499999999998</v>
      </c>
      <c r="Q1401" s="10">
        <f t="shared" si="125"/>
        <v>4.7992499999999998</v>
      </c>
      <c r="R1401" s="10">
        <f t="shared" si="126"/>
        <v>0</v>
      </c>
      <c r="S1401" s="10">
        <f t="shared" si="127"/>
        <v>23.99625</v>
      </c>
      <c r="T1401" s="10">
        <f t="shared" si="128"/>
        <v>4.7992499999999998</v>
      </c>
      <c r="U1401" s="8" t="str">
        <f t="shared" si="129"/>
        <v>Wed</v>
      </c>
      <c r="V1401" s="8" t="str">
        <f t="shared" si="130"/>
        <v>Wed</v>
      </c>
    </row>
    <row r="1402" spans="1:22" hidden="1" x14ac:dyDescent="0.25">
      <c r="A1402" t="s">
        <v>445</v>
      </c>
      <c r="B1402" t="s">
        <v>38</v>
      </c>
      <c r="C1402" t="s">
        <v>8</v>
      </c>
      <c r="D1402" t="s">
        <v>13</v>
      </c>
      <c r="F1402" s="5">
        <v>44265</v>
      </c>
      <c r="G1402" s="5">
        <v>44272</v>
      </c>
      <c r="H1402" s="2">
        <v>2</v>
      </c>
      <c r="I1402" s="6"/>
      <c r="J1402" s="6"/>
      <c r="K1402" s="7">
        <v>0.5</v>
      </c>
      <c r="L1402" s="7">
        <v>24.186499999999999</v>
      </c>
      <c r="M1402" t="s">
        <v>18</v>
      </c>
      <c r="N1402" s="9"/>
      <c r="O1402" s="8">
        <f t="array" ref="O1402">INDEX(TechRate,MATCH(H1402,TechNum,0))</f>
        <v>140</v>
      </c>
      <c r="P1402" s="10">
        <f>WorkOrders278[[#This Row],[Techs]]*(WorkOrders278[[#This Row],[PartsCost]]*WorkOrders278[[#This Row],[LbrHrs]])</f>
        <v>24.186499999999999</v>
      </c>
      <c r="Q1402" s="10">
        <f t="shared" si="125"/>
        <v>24.186499999999999</v>
      </c>
      <c r="R1402" s="10">
        <f t="shared" si="126"/>
        <v>24.186499999999999</v>
      </c>
      <c r="S1402" s="10">
        <f t="shared" si="127"/>
        <v>48.372999999999998</v>
      </c>
      <c r="T1402" s="10">
        <f t="shared" si="128"/>
        <v>48.372999999999998</v>
      </c>
      <c r="U1402" s="8" t="str">
        <f t="shared" si="129"/>
        <v>Wed</v>
      </c>
      <c r="V1402" s="8" t="str">
        <f t="shared" si="130"/>
        <v>Wed</v>
      </c>
    </row>
    <row r="1403" spans="1:22" hidden="1" x14ac:dyDescent="0.25">
      <c r="A1403" t="s">
        <v>446</v>
      </c>
      <c r="B1403" t="s">
        <v>40</v>
      </c>
      <c r="C1403" t="s">
        <v>7</v>
      </c>
      <c r="D1403" t="s">
        <v>12</v>
      </c>
      <c r="F1403" s="5">
        <v>44265</v>
      </c>
      <c r="G1403" s="5">
        <v>44273</v>
      </c>
      <c r="H1403" s="2">
        <v>2</v>
      </c>
      <c r="I1403" s="6"/>
      <c r="J1403" s="6"/>
      <c r="K1403" s="7">
        <v>0.5</v>
      </c>
      <c r="L1403" s="7">
        <v>159</v>
      </c>
      <c r="M1403" t="s">
        <v>17</v>
      </c>
      <c r="N1403" s="9"/>
      <c r="O1403" s="8">
        <f t="array" ref="O1403">INDEX(TechRate,MATCH(H1403,TechNum,0))</f>
        <v>140</v>
      </c>
      <c r="P1403" s="10">
        <f>WorkOrders278[[#This Row],[Techs]]*(WorkOrders278[[#This Row],[PartsCost]]*WorkOrders278[[#This Row],[LbrHrs]])</f>
        <v>159</v>
      </c>
      <c r="Q1403" s="10">
        <f t="shared" si="125"/>
        <v>159</v>
      </c>
      <c r="R1403" s="10">
        <f t="shared" si="126"/>
        <v>159</v>
      </c>
      <c r="S1403" s="10">
        <f t="shared" si="127"/>
        <v>318</v>
      </c>
      <c r="T1403" s="10">
        <f t="shared" si="128"/>
        <v>318</v>
      </c>
      <c r="U1403" s="8" t="str">
        <f t="shared" si="129"/>
        <v>Wed</v>
      </c>
      <c r="V1403" s="8" t="str">
        <f t="shared" si="130"/>
        <v>Thu</v>
      </c>
    </row>
    <row r="1404" spans="1:22" hidden="1" x14ac:dyDescent="0.25">
      <c r="A1404" t="s">
        <v>447</v>
      </c>
      <c r="B1404" t="s">
        <v>39</v>
      </c>
      <c r="C1404" t="s">
        <v>9</v>
      </c>
      <c r="D1404" t="s">
        <v>12</v>
      </c>
      <c r="F1404" s="5">
        <v>44265</v>
      </c>
      <c r="G1404" s="5">
        <v>44279</v>
      </c>
      <c r="H1404" s="2">
        <v>2</v>
      </c>
      <c r="I1404" s="6"/>
      <c r="J1404" s="6" t="s">
        <v>3</v>
      </c>
      <c r="K1404" s="7">
        <v>0.5</v>
      </c>
      <c r="L1404" s="7">
        <v>411.09530000000001</v>
      </c>
      <c r="M1404" t="s">
        <v>18</v>
      </c>
      <c r="N1404" s="9"/>
      <c r="O1404" s="8">
        <f t="array" ref="O1404">INDEX(TechRate,MATCH(H1404,TechNum,0))</f>
        <v>140</v>
      </c>
      <c r="P1404" s="10">
        <f>WorkOrders278[[#This Row],[Techs]]*(WorkOrders278[[#This Row],[PartsCost]]*WorkOrders278[[#This Row],[LbrHrs]])</f>
        <v>411.09530000000001</v>
      </c>
      <c r="Q1404" s="10">
        <f t="shared" si="125"/>
        <v>411.09530000000001</v>
      </c>
      <c r="R1404" s="10">
        <f t="shared" si="126"/>
        <v>0</v>
      </c>
      <c r="S1404" s="10">
        <f t="shared" si="127"/>
        <v>822.19060000000002</v>
      </c>
      <c r="T1404" s="10">
        <f t="shared" si="128"/>
        <v>411.09530000000001</v>
      </c>
      <c r="U1404" s="8" t="str">
        <f t="shared" si="129"/>
        <v>Wed</v>
      </c>
      <c r="V1404" s="8" t="str">
        <f t="shared" si="130"/>
        <v>Wed</v>
      </c>
    </row>
    <row r="1405" spans="1:22" hidden="1" x14ac:dyDescent="0.25">
      <c r="A1405" t="s">
        <v>448</v>
      </c>
      <c r="B1405" t="s">
        <v>36</v>
      </c>
      <c r="C1405" t="s">
        <v>7</v>
      </c>
      <c r="D1405" t="s">
        <v>12</v>
      </c>
      <c r="F1405" s="5">
        <v>44265</v>
      </c>
      <c r="G1405" s="5">
        <v>44294</v>
      </c>
      <c r="H1405" s="2">
        <v>1</v>
      </c>
      <c r="I1405" s="6"/>
      <c r="J1405" s="6"/>
      <c r="K1405" s="7">
        <v>0.75</v>
      </c>
      <c r="L1405" s="7">
        <v>58.361699999999999</v>
      </c>
      <c r="M1405" t="s">
        <v>17</v>
      </c>
      <c r="N1405" s="9"/>
      <c r="O1405" s="8">
        <f t="array" ref="O1405">INDEX(TechRate,MATCH(H1405,TechNum,0))</f>
        <v>80</v>
      </c>
      <c r="P1405" s="10">
        <f>WorkOrders278[[#This Row],[Techs]]*(WorkOrders278[[#This Row],[PartsCost]]*WorkOrders278[[#This Row],[LbrHrs]])</f>
        <v>43.771275000000003</v>
      </c>
      <c r="Q1405" s="10">
        <f t="shared" si="125"/>
        <v>43.771275000000003</v>
      </c>
      <c r="R1405" s="10">
        <f t="shared" si="126"/>
        <v>58.361699999999999</v>
      </c>
      <c r="S1405" s="10">
        <f t="shared" si="127"/>
        <v>102.132975</v>
      </c>
      <c r="T1405" s="10">
        <f t="shared" si="128"/>
        <v>102.132975</v>
      </c>
      <c r="U1405" s="8" t="str">
        <f t="shared" si="129"/>
        <v>Wed</v>
      </c>
      <c r="V1405" s="8" t="str">
        <f t="shared" si="130"/>
        <v>Thu</v>
      </c>
    </row>
    <row r="1406" spans="1:22" hidden="1" x14ac:dyDescent="0.25">
      <c r="A1406" t="s">
        <v>449</v>
      </c>
      <c r="B1406" t="s">
        <v>39</v>
      </c>
      <c r="C1406" t="s">
        <v>9</v>
      </c>
      <c r="D1406" t="s">
        <v>2</v>
      </c>
      <c r="F1406" s="5">
        <v>44265</v>
      </c>
      <c r="G1406" s="5">
        <v>44306</v>
      </c>
      <c r="H1406" s="2">
        <v>1</v>
      </c>
      <c r="I1406" s="6"/>
      <c r="J1406" s="6" t="s">
        <v>3</v>
      </c>
      <c r="K1406" s="7">
        <v>1.75</v>
      </c>
      <c r="L1406" s="7">
        <v>98.547600000000003</v>
      </c>
      <c r="M1406" t="s">
        <v>18</v>
      </c>
      <c r="N1406" s="9"/>
      <c r="O1406" s="8">
        <f t="array" ref="O1406">INDEX(TechRate,MATCH(H1406,TechNum,0))</f>
        <v>80</v>
      </c>
      <c r="P1406" s="10">
        <f>WorkOrders278[[#This Row],[Techs]]*(WorkOrders278[[#This Row],[PartsCost]]*WorkOrders278[[#This Row],[LbrHrs]])</f>
        <v>172.45830000000001</v>
      </c>
      <c r="Q1406" s="10">
        <f t="shared" si="125"/>
        <v>172.45830000000001</v>
      </c>
      <c r="R1406" s="10">
        <f t="shared" si="126"/>
        <v>0</v>
      </c>
      <c r="S1406" s="10">
        <f t="shared" si="127"/>
        <v>271.0059</v>
      </c>
      <c r="T1406" s="10">
        <f t="shared" si="128"/>
        <v>172.45830000000001</v>
      </c>
      <c r="U1406" s="8" t="str">
        <f t="shared" si="129"/>
        <v>Wed</v>
      </c>
      <c r="V1406" s="8" t="str">
        <f t="shared" si="130"/>
        <v>Tue</v>
      </c>
    </row>
    <row r="1407" spans="1:22" hidden="1" x14ac:dyDescent="0.25">
      <c r="A1407" t="s">
        <v>450</v>
      </c>
      <c r="B1407" t="s">
        <v>40</v>
      </c>
      <c r="C1407" t="s">
        <v>7</v>
      </c>
      <c r="D1407" t="s">
        <v>2</v>
      </c>
      <c r="F1407" s="5">
        <v>44265</v>
      </c>
      <c r="G1407" s="5">
        <v>44307</v>
      </c>
      <c r="H1407" s="2">
        <v>2</v>
      </c>
      <c r="I1407" s="6" t="s">
        <v>3</v>
      </c>
      <c r="J1407" s="6" t="s">
        <v>3</v>
      </c>
      <c r="K1407" s="7">
        <v>2</v>
      </c>
      <c r="L1407" s="7">
        <v>145.14920000000001</v>
      </c>
      <c r="M1407" t="s">
        <v>20</v>
      </c>
      <c r="N1407" s="9"/>
      <c r="O1407" s="8">
        <f t="array" ref="O1407">INDEX(TechRate,MATCH(H1407,TechNum,0))</f>
        <v>140</v>
      </c>
      <c r="P1407" s="10">
        <f>WorkOrders278[[#This Row],[Techs]]*(WorkOrders278[[#This Row],[PartsCost]]*WorkOrders278[[#This Row],[LbrHrs]])</f>
        <v>580.59680000000003</v>
      </c>
      <c r="Q1407" s="10">
        <f t="shared" si="125"/>
        <v>0</v>
      </c>
      <c r="R1407" s="10">
        <f t="shared" si="126"/>
        <v>0</v>
      </c>
      <c r="S1407" s="10">
        <f t="shared" si="127"/>
        <v>725.74600000000009</v>
      </c>
      <c r="T1407" s="10">
        <f t="shared" si="128"/>
        <v>0</v>
      </c>
      <c r="U1407" s="8" t="str">
        <f t="shared" si="129"/>
        <v>Wed</v>
      </c>
      <c r="V1407" s="8" t="str">
        <f t="shared" si="130"/>
        <v>Wed</v>
      </c>
    </row>
    <row r="1408" spans="1:22" hidden="1" x14ac:dyDescent="0.25">
      <c r="A1408" t="s">
        <v>451</v>
      </c>
      <c r="B1408" t="s">
        <v>39</v>
      </c>
      <c r="C1408" t="s">
        <v>9</v>
      </c>
      <c r="D1408" t="s">
        <v>13</v>
      </c>
      <c r="F1408" s="5">
        <v>44266</v>
      </c>
      <c r="G1408" s="5">
        <v>44266</v>
      </c>
      <c r="H1408" s="2">
        <v>2</v>
      </c>
      <c r="I1408" s="6"/>
      <c r="J1408" s="6"/>
      <c r="K1408" s="7">
        <v>0.75</v>
      </c>
      <c r="L1408" s="7">
        <v>125.7273</v>
      </c>
      <c r="M1408" t="s">
        <v>17</v>
      </c>
      <c r="N1408" s="9"/>
      <c r="O1408" s="8">
        <f t="array" ref="O1408">INDEX(TechRate,MATCH(H1408,TechNum,0))</f>
        <v>140</v>
      </c>
      <c r="P1408" s="10">
        <f>WorkOrders278[[#This Row],[Techs]]*(WorkOrders278[[#This Row],[PartsCost]]*WorkOrders278[[#This Row],[LbrHrs]])</f>
        <v>188.59094999999999</v>
      </c>
      <c r="Q1408" s="10">
        <f t="shared" si="125"/>
        <v>188.59094999999999</v>
      </c>
      <c r="R1408" s="10">
        <f t="shared" si="126"/>
        <v>125.7273</v>
      </c>
      <c r="S1408" s="10">
        <f t="shared" si="127"/>
        <v>314.31824999999998</v>
      </c>
      <c r="T1408" s="10">
        <f t="shared" si="128"/>
        <v>314.31824999999998</v>
      </c>
      <c r="U1408" s="8" t="str">
        <f t="shared" si="129"/>
        <v>Thu</v>
      </c>
      <c r="V1408" s="8" t="str">
        <f t="shared" si="130"/>
        <v>Thu</v>
      </c>
    </row>
    <row r="1409" spans="1:22" hidden="1" x14ac:dyDescent="0.25">
      <c r="A1409" t="s">
        <v>452</v>
      </c>
      <c r="B1409" t="s">
        <v>35</v>
      </c>
      <c r="C1409" t="s">
        <v>8</v>
      </c>
      <c r="D1409" t="s">
        <v>12</v>
      </c>
      <c r="E1409" t="s">
        <v>3</v>
      </c>
      <c r="F1409" s="5">
        <v>44266</v>
      </c>
      <c r="G1409" s="5">
        <v>44348</v>
      </c>
      <c r="H1409" s="2">
        <v>1</v>
      </c>
      <c r="I1409" s="6"/>
      <c r="J1409" s="6"/>
      <c r="K1409" s="7">
        <v>0.25</v>
      </c>
      <c r="L1409" s="7">
        <v>204.28399999999999</v>
      </c>
      <c r="M1409" t="s">
        <v>18</v>
      </c>
      <c r="N1409" s="9"/>
      <c r="O1409" s="8">
        <f t="array" ref="O1409">INDEX(TechRate,MATCH(H1409,TechNum,0))</f>
        <v>80</v>
      </c>
      <c r="P1409" s="10">
        <f>WorkOrders278[[#This Row],[Techs]]*(WorkOrders278[[#This Row],[PartsCost]]*WorkOrders278[[#This Row],[LbrHrs]])</f>
        <v>51.070999999999998</v>
      </c>
      <c r="Q1409" s="10">
        <f t="shared" si="125"/>
        <v>51.070999999999998</v>
      </c>
      <c r="R1409" s="10">
        <f t="shared" si="126"/>
        <v>204.28399999999999</v>
      </c>
      <c r="S1409" s="10">
        <f t="shared" si="127"/>
        <v>255.35499999999999</v>
      </c>
      <c r="T1409" s="10">
        <f t="shared" si="128"/>
        <v>255.35499999999999</v>
      </c>
      <c r="U1409" s="8" t="str">
        <f t="shared" si="129"/>
        <v>Thu</v>
      </c>
      <c r="V1409" s="8" t="str">
        <f t="shared" si="130"/>
        <v>Tue</v>
      </c>
    </row>
    <row r="1410" spans="1:22" hidden="1" x14ac:dyDescent="0.25">
      <c r="A1410" t="s">
        <v>453</v>
      </c>
      <c r="B1410" t="s">
        <v>34</v>
      </c>
      <c r="C1410" t="s">
        <v>44</v>
      </c>
      <c r="D1410" t="s">
        <v>11</v>
      </c>
      <c r="F1410" s="5">
        <v>44266</v>
      </c>
      <c r="G1410" s="5">
        <v>44394</v>
      </c>
      <c r="H1410" s="2">
        <v>1</v>
      </c>
      <c r="I1410" s="6"/>
      <c r="J1410" s="6"/>
      <c r="K1410" s="7">
        <v>0.25</v>
      </c>
      <c r="L1410" s="7">
        <v>120</v>
      </c>
      <c r="M1410" t="s">
        <v>17</v>
      </c>
      <c r="N1410" s="9"/>
      <c r="O1410" s="8">
        <f t="array" ref="O1410">INDEX(TechRate,MATCH(H1410,TechNum,0))</f>
        <v>80</v>
      </c>
      <c r="P1410" s="10">
        <f>WorkOrders278[[#This Row],[Techs]]*(WorkOrders278[[#This Row],[PartsCost]]*WorkOrders278[[#This Row],[LbrHrs]])</f>
        <v>30</v>
      </c>
      <c r="Q1410" s="10">
        <f t="shared" si="125"/>
        <v>30</v>
      </c>
      <c r="R1410" s="10">
        <f t="shared" si="126"/>
        <v>120</v>
      </c>
      <c r="S1410" s="10">
        <f t="shared" si="127"/>
        <v>150</v>
      </c>
      <c r="T1410" s="10">
        <f t="shared" si="128"/>
        <v>150</v>
      </c>
      <c r="U1410" s="8" t="str">
        <f t="shared" si="129"/>
        <v>Thu</v>
      </c>
      <c r="V1410" s="8" t="str">
        <f t="shared" si="130"/>
        <v>Sat</v>
      </c>
    </row>
    <row r="1411" spans="1:22" hidden="1" x14ac:dyDescent="0.25">
      <c r="A1411" t="s">
        <v>454</v>
      </c>
      <c r="B1411" t="s">
        <v>36</v>
      </c>
      <c r="C1411" t="s">
        <v>7</v>
      </c>
      <c r="D1411" t="s">
        <v>12</v>
      </c>
      <c r="F1411" s="5">
        <v>44270</v>
      </c>
      <c r="G1411" s="5">
        <v>44282</v>
      </c>
      <c r="H1411" s="2">
        <v>2</v>
      </c>
      <c r="I1411" s="6"/>
      <c r="J1411" s="6"/>
      <c r="K1411" s="7">
        <v>1</v>
      </c>
      <c r="L1411" s="7">
        <v>203</v>
      </c>
      <c r="M1411" t="s">
        <v>17</v>
      </c>
      <c r="N1411" s="9"/>
      <c r="O1411" s="8">
        <f t="array" ref="O1411">INDEX(TechRate,MATCH(H1411,TechNum,0))</f>
        <v>140</v>
      </c>
      <c r="P1411" s="10">
        <f>WorkOrders278[[#This Row],[Techs]]*(WorkOrders278[[#This Row],[PartsCost]]*WorkOrders278[[#This Row],[LbrHrs]])</f>
        <v>406</v>
      </c>
      <c r="Q1411" s="10">
        <f t="shared" si="125"/>
        <v>406</v>
      </c>
      <c r="R1411" s="10">
        <f t="shared" si="126"/>
        <v>203</v>
      </c>
      <c r="S1411" s="10">
        <f t="shared" si="127"/>
        <v>609</v>
      </c>
      <c r="T1411" s="10">
        <f t="shared" si="128"/>
        <v>609</v>
      </c>
      <c r="U1411" s="8" t="str">
        <f t="shared" si="129"/>
        <v>Mon</v>
      </c>
      <c r="V1411" s="8" t="str">
        <f t="shared" si="130"/>
        <v>Sat</v>
      </c>
    </row>
    <row r="1412" spans="1:22" hidden="1" x14ac:dyDescent="0.25">
      <c r="A1412" t="s">
        <v>455</v>
      </c>
      <c r="B1412" t="s">
        <v>40</v>
      </c>
      <c r="C1412" t="s">
        <v>7</v>
      </c>
      <c r="D1412" t="s">
        <v>12</v>
      </c>
      <c r="F1412" s="5">
        <v>44270</v>
      </c>
      <c r="G1412" s="5">
        <v>44278</v>
      </c>
      <c r="H1412" s="2">
        <v>2</v>
      </c>
      <c r="I1412" s="6" t="s">
        <v>3</v>
      </c>
      <c r="J1412" s="6" t="s">
        <v>3</v>
      </c>
      <c r="K1412" s="7">
        <v>0.75</v>
      </c>
      <c r="L1412" s="7">
        <v>222.33</v>
      </c>
      <c r="M1412" t="s">
        <v>20</v>
      </c>
      <c r="N1412" s="9"/>
      <c r="O1412" s="8">
        <f t="array" ref="O1412">INDEX(TechRate,MATCH(H1412,TechNum,0))</f>
        <v>140</v>
      </c>
      <c r="P1412" s="10">
        <f>WorkOrders278[[#This Row],[Techs]]*(WorkOrders278[[#This Row],[PartsCost]]*WorkOrders278[[#This Row],[LbrHrs]])</f>
        <v>333.495</v>
      </c>
      <c r="Q1412" s="10">
        <f t="shared" si="125"/>
        <v>0</v>
      </c>
      <c r="R1412" s="10">
        <f t="shared" si="126"/>
        <v>0</v>
      </c>
      <c r="S1412" s="10">
        <f t="shared" si="127"/>
        <v>555.82500000000005</v>
      </c>
      <c r="T1412" s="10">
        <f t="shared" si="128"/>
        <v>0</v>
      </c>
      <c r="U1412" s="8" t="str">
        <f t="shared" si="129"/>
        <v>Mon</v>
      </c>
      <c r="V1412" s="8" t="str">
        <f t="shared" si="130"/>
        <v>Tue</v>
      </c>
    </row>
    <row r="1413" spans="1:22" hidden="1" x14ac:dyDescent="0.25">
      <c r="A1413" t="s">
        <v>456</v>
      </c>
      <c r="B1413" t="s">
        <v>35</v>
      </c>
      <c r="C1413" t="s">
        <v>44</v>
      </c>
      <c r="D1413" t="s">
        <v>1</v>
      </c>
      <c r="F1413" s="5">
        <v>44270</v>
      </c>
      <c r="G1413" s="5">
        <v>44279</v>
      </c>
      <c r="H1413" s="2">
        <v>2</v>
      </c>
      <c r="I1413" s="6"/>
      <c r="J1413" s="6"/>
      <c r="K1413" s="7">
        <v>4.75</v>
      </c>
      <c r="L1413" s="7">
        <v>56.4</v>
      </c>
      <c r="M1413" t="s">
        <v>17</v>
      </c>
      <c r="N1413" s="9"/>
      <c r="O1413" s="8">
        <f t="array" ref="O1413">INDEX(TechRate,MATCH(H1413,TechNum,0))</f>
        <v>140</v>
      </c>
      <c r="P1413" s="10">
        <f>WorkOrders278[[#This Row],[Techs]]*(WorkOrders278[[#This Row],[PartsCost]]*WorkOrders278[[#This Row],[LbrHrs]])</f>
        <v>535.79999999999995</v>
      </c>
      <c r="Q1413" s="10">
        <f t="shared" si="125"/>
        <v>535.79999999999995</v>
      </c>
      <c r="R1413" s="10">
        <f t="shared" si="126"/>
        <v>56.4</v>
      </c>
      <c r="S1413" s="10">
        <f t="shared" si="127"/>
        <v>592.19999999999993</v>
      </c>
      <c r="T1413" s="10">
        <f t="shared" si="128"/>
        <v>592.19999999999993</v>
      </c>
      <c r="U1413" s="8" t="str">
        <f t="shared" si="129"/>
        <v>Mon</v>
      </c>
      <c r="V1413" s="8" t="str">
        <f t="shared" si="130"/>
        <v>Wed</v>
      </c>
    </row>
    <row r="1414" spans="1:22" hidden="1" x14ac:dyDescent="0.25">
      <c r="A1414" t="s">
        <v>457</v>
      </c>
      <c r="B1414" t="s">
        <v>36</v>
      </c>
      <c r="C1414" t="s">
        <v>7</v>
      </c>
      <c r="D1414" t="s">
        <v>1</v>
      </c>
      <c r="F1414" s="5">
        <v>44270</v>
      </c>
      <c r="G1414" s="5">
        <v>44284</v>
      </c>
      <c r="H1414" s="2">
        <v>2</v>
      </c>
      <c r="I1414" s="6"/>
      <c r="J1414" s="6" t="s">
        <v>3</v>
      </c>
      <c r="K1414" s="7">
        <v>1</v>
      </c>
      <c r="L1414" s="7">
        <v>60</v>
      </c>
      <c r="M1414" t="s">
        <v>18</v>
      </c>
      <c r="N1414" s="9"/>
      <c r="O1414" s="8">
        <f t="array" ref="O1414">INDEX(TechRate,MATCH(H1414,TechNum,0))</f>
        <v>140</v>
      </c>
      <c r="P1414" s="10">
        <f>WorkOrders278[[#This Row],[Techs]]*(WorkOrders278[[#This Row],[PartsCost]]*WorkOrders278[[#This Row],[LbrHrs]])</f>
        <v>120</v>
      </c>
      <c r="Q1414" s="10">
        <f t="shared" si="125"/>
        <v>120</v>
      </c>
      <c r="R1414" s="10">
        <f t="shared" si="126"/>
        <v>0</v>
      </c>
      <c r="S1414" s="10">
        <f t="shared" si="127"/>
        <v>180</v>
      </c>
      <c r="T1414" s="10">
        <f t="shared" si="128"/>
        <v>120</v>
      </c>
      <c r="U1414" s="8" t="str">
        <f t="shared" si="129"/>
        <v>Mon</v>
      </c>
      <c r="V1414" s="8" t="str">
        <f t="shared" si="130"/>
        <v>Mon</v>
      </c>
    </row>
    <row r="1415" spans="1:22" hidden="1" x14ac:dyDescent="0.25">
      <c r="A1415" t="s">
        <v>458</v>
      </c>
      <c r="B1415" t="s">
        <v>36</v>
      </c>
      <c r="C1415" t="s">
        <v>7</v>
      </c>
      <c r="D1415" t="s">
        <v>12</v>
      </c>
      <c r="F1415" s="5">
        <v>44270</v>
      </c>
      <c r="G1415" s="5">
        <v>44286</v>
      </c>
      <c r="H1415" s="2">
        <v>1</v>
      </c>
      <c r="I1415" s="6"/>
      <c r="J1415" s="6"/>
      <c r="K1415" s="7">
        <v>0.75</v>
      </c>
      <c r="L1415" s="7">
        <v>21.33</v>
      </c>
      <c r="M1415" t="s">
        <v>17</v>
      </c>
      <c r="N1415" s="9"/>
      <c r="O1415" s="8">
        <f t="array" ref="O1415">INDEX(TechRate,MATCH(H1415,TechNum,0))</f>
        <v>80</v>
      </c>
      <c r="P1415" s="10">
        <f>WorkOrders278[[#This Row],[Techs]]*(WorkOrders278[[#This Row],[PartsCost]]*WorkOrders278[[#This Row],[LbrHrs]])</f>
        <v>15.997499999999999</v>
      </c>
      <c r="Q1415" s="10">
        <f t="shared" si="125"/>
        <v>15.997499999999999</v>
      </c>
      <c r="R1415" s="10">
        <f t="shared" si="126"/>
        <v>21.33</v>
      </c>
      <c r="S1415" s="10">
        <f t="shared" si="127"/>
        <v>37.327500000000001</v>
      </c>
      <c r="T1415" s="10">
        <f t="shared" si="128"/>
        <v>37.327500000000001</v>
      </c>
      <c r="U1415" s="8" t="str">
        <f t="shared" si="129"/>
        <v>Mon</v>
      </c>
      <c r="V1415" s="8" t="str">
        <f t="shared" si="130"/>
        <v>Wed</v>
      </c>
    </row>
    <row r="1416" spans="1:22" hidden="1" x14ac:dyDescent="0.25">
      <c r="A1416" t="s">
        <v>459</v>
      </c>
      <c r="B1416" t="s">
        <v>36</v>
      </c>
      <c r="C1416" t="s">
        <v>7</v>
      </c>
      <c r="D1416" t="s">
        <v>11</v>
      </c>
      <c r="F1416" s="5">
        <v>44270</v>
      </c>
      <c r="G1416" s="5">
        <v>44285</v>
      </c>
      <c r="H1416" s="2">
        <v>1</v>
      </c>
      <c r="I1416" s="6"/>
      <c r="J1416" s="6"/>
      <c r="K1416" s="7">
        <v>0.25</v>
      </c>
      <c r="L1416" s="7">
        <v>204.28399999999999</v>
      </c>
      <c r="M1416" t="s">
        <v>17</v>
      </c>
      <c r="N1416" s="9"/>
      <c r="O1416" s="8">
        <f t="array" ref="O1416">INDEX(TechRate,MATCH(H1416,TechNum,0))</f>
        <v>80</v>
      </c>
      <c r="P1416" s="10">
        <f>WorkOrders278[[#This Row],[Techs]]*(WorkOrders278[[#This Row],[PartsCost]]*WorkOrders278[[#This Row],[LbrHrs]])</f>
        <v>51.070999999999998</v>
      </c>
      <c r="Q1416" s="10">
        <f t="shared" si="125"/>
        <v>51.070999999999998</v>
      </c>
      <c r="R1416" s="10">
        <f t="shared" si="126"/>
        <v>204.28399999999999</v>
      </c>
      <c r="S1416" s="10">
        <f t="shared" si="127"/>
        <v>255.35499999999999</v>
      </c>
      <c r="T1416" s="10">
        <f t="shared" si="128"/>
        <v>255.35499999999999</v>
      </c>
      <c r="U1416" s="8" t="str">
        <f t="shared" si="129"/>
        <v>Mon</v>
      </c>
      <c r="V1416" s="8" t="str">
        <f t="shared" si="130"/>
        <v>Tue</v>
      </c>
    </row>
    <row r="1417" spans="1:22" hidden="1" x14ac:dyDescent="0.25">
      <c r="A1417" t="s">
        <v>460</v>
      </c>
      <c r="B1417" t="s">
        <v>34</v>
      </c>
      <c r="C1417" t="s">
        <v>9</v>
      </c>
      <c r="D1417" t="s">
        <v>2</v>
      </c>
      <c r="F1417" s="5">
        <v>44270</v>
      </c>
      <c r="G1417" s="5">
        <v>44293</v>
      </c>
      <c r="H1417" s="2">
        <v>1</v>
      </c>
      <c r="I1417" s="6"/>
      <c r="J1417" s="6" t="s">
        <v>3</v>
      </c>
      <c r="K1417" s="7">
        <v>1.5</v>
      </c>
      <c r="L1417" s="7">
        <v>95.042900000000003</v>
      </c>
      <c r="M1417" t="s">
        <v>18</v>
      </c>
      <c r="N1417" s="9"/>
      <c r="O1417" s="8">
        <f t="array" ref="O1417">INDEX(TechRate,MATCH(H1417,TechNum,0))</f>
        <v>80</v>
      </c>
      <c r="P1417" s="10">
        <f>WorkOrders278[[#This Row],[Techs]]*(WorkOrders278[[#This Row],[PartsCost]]*WorkOrders278[[#This Row],[LbrHrs]])</f>
        <v>142.56434999999999</v>
      </c>
      <c r="Q1417" s="10">
        <f t="shared" si="125"/>
        <v>142.56434999999999</v>
      </c>
      <c r="R1417" s="10">
        <f t="shared" si="126"/>
        <v>0</v>
      </c>
      <c r="S1417" s="10">
        <f t="shared" si="127"/>
        <v>237.60724999999999</v>
      </c>
      <c r="T1417" s="10">
        <f t="shared" si="128"/>
        <v>142.56434999999999</v>
      </c>
      <c r="U1417" s="8" t="str">
        <f t="shared" si="129"/>
        <v>Mon</v>
      </c>
      <c r="V1417" s="8" t="str">
        <f t="shared" si="130"/>
        <v>Wed</v>
      </c>
    </row>
    <row r="1418" spans="1:22" hidden="1" x14ac:dyDescent="0.25">
      <c r="A1418" t="s">
        <v>461</v>
      </c>
      <c r="B1418" t="s">
        <v>35</v>
      </c>
      <c r="C1418" t="s">
        <v>44</v>
      </c>
      <c r="D1418" t="s">
        <v>11</v>
      </c>
      <c r="E1418" t="s">
        <v>3</v>
      </c>
      <c r="F1418" s="5">
        <v>44270</v>
      </c>
      <c r="G1418" s="5">
        <v>44305</v>
      </c>
      <c r="H1418" s="2">
        <v>1</v>
      </c>
      <c r="I1418" s="6"/>
      <c r="J1418" s="6"/>
      <c r="K1418" s="7">
        <v>0.25</v>
      </c>
      <c r="L1418" s="7">
        <v>23.401</v>
      </c>
      <c r="M1418" t="s">
        <v>17</v>
      </c>
      <c r="N1418" s="9"/>
      <c r="O1418" s="8">
        <f t="array" ref="O1418">INDEX(TechRate,MATCH(H1418,TechNum,0))</f>
        <v>80</v>
      </c>
      <c r="P1418" s="10">
        <f>WorkOrders278[[#This Row],[Techs]]*(WorkOrders278[[#This Row],[PartsCost]]*WorkOrders278[[#This Row],[LbrHrs]])</f>
        <v>5.85025</v>
      </c>
      <c r="Q1418" s="10">
        <f t="shared" si="125"/>
        <v>5.85025</v>
      </c>
      <c r="R1418" s="10">
        <f t="shared" si="126"/>
        <v>23.401</v>
      </c>
      <c r="S1418" s="10">
        <f t="shared" si="127"/>
        <v>29.251249999999999</v>
      </c>
      <c r="T1418" s="10">
        <f t="shared" si="128"/>
        <v>29.251249999999999</v>
      </c>
      <c r="U1418" s="8" t="str">
        <f t="shared" si="129"/>
        <v>Mon</v>
      </c>
      <c r="V1418" s="8" t="str">
        <f t="shared" si="130"/>
        <v>Mon</v>
      </c>
    </row>
    <row r="1419" spans="1:22" hidden="1" x14ac:dyDescent="0.25">
      <c r="A1419" t="s">
        <v>462</v>
      </c>
      <c r="B1419" t="s">
        <v>34</v>
      </c>
      <c r="C1419" t="s">
        <v>7</v>
      </c>
      <c r="D1419" t="s">
        <v>2</v>
      </c>
      <c r="F1419" s="5">
        <v>44270</v>
      </c>
      <c r="G1419" s="5">
        <v>44324</v>
      </c>
      <c r="H1419" s="2">
        <v>2</v>
      </c>
      <c r="I1419" s="6" t="s">
        <v>3</v>
      </c>
      <c r="J1419" s="6" t="s">
        <v>3</v>
      </c>
      <c r="K1419" s="7">
        <v>2.25</v>
      </c>
      <c r="L1419" s="7">
        <v>934.45389999999998</v>
      </c>
      <c r="M1419" t="s">
        <v>20</v>
      </c>
      <c r="N1419" s="9"/>
      <c r="O1419" s="8">
        <f t="array" ref="O1419">INDEX(TechRate,MATCH(H1419,TechNum,0))</f>
        <v>140</v>
      </c>
      <c r="P1419" s="10">
        <f>WorkOrders278[[#This Row],[Techs]]*(WorkOrders278[[#This Row],[PartsCost]]*WorkOrders278[[#This Row],[LbrHrs]])</f>
        <v>4205.0425500000001</v>
      </c>
      <c r="Q1419" s="10">
        <f t="shared" si="125"/>
        <v>0</v>
      </c>
      <c r="R1419" s="10">
        <f t="shared" si="126"/>
        <v>0</v>
      </c>
      <c r="S1419" s="10">
        <f t="shared" si="127"/>
        <v>5139.4964500000006</v>
      </c>
      <c r="T1419" s="10">
        <f t="shared" si="128"/>
        <v>0</v>
      </c>
      <c r="U1419" s="8" t="str">
        <f t="shared" si="129"/>
        <v>Mon</v>
      </c>
      <c r="V1419" s="8" t="str">
        <f t="shared" si="130"/>
        <v>Sat</v>
      </c>
    </row>
    <row r="1420" spans="1:22" hidden="1" x14ac:dyDescent="0.25">
      <c r="A1420" t="s">
        <v>463</v>
      </c>
      <c r="B1420" t="s">
        <v>38</v>
      </c>
      <c r="C1420" t="s">
        <v>8</v>
      </c>
      <c r="D1420" t="s">
        <v>13</v>
      </c>
      <c r="F1420" s="5">
        <v>44271</v>
      </c>
      <c r="G1420" s="5">
        <v>44272</v>
      </c>
      <c r="H1420" s="2">
        <v>1</v>
      </c>
      <c r="I1420" s="6"/>
      <c r="J1420" s="6"/>
      <c r="K1420" s="7">
        <v>0.5</v>
      </c>
      <c r="L1420" s="7">
        <v>18</v>
      </c>
      <c r="M1420" t="s">
        <v>19</v>
      </c>
      <c r="N1420" s="9"/>
      <c r="O1420" s="8">
        <f t="array" ref="O1420">INDEX(TechRate,MATCH(H1420,TechNum,0))</f>
        <v>80</v>
      </c>
      <c r="P1420" s="10">
        <f>WorkOrders278[[#This Row],[Techs]]*(WorkOrders278[[#This Row],[PartsCost]]*WorkOrders278[[#This Row],[LbrHrs]])</f>
        <v>9</v>
      </c>
      <c r="Q1420" s="10">
        <f t="shared" si="125"/>
        <v>9</v>
      </c>
      <c r="R1420" s="10">
        <f t="shared" si="126"/>
        <v>18</v>
      </c>
      <c r="S1420" s="10">
        <f t="shared" si="127"/>
        <v>27</v>
      </c>
      <c r="T1420" s="10">
        <f t="shared" si="128"/>
        <v>27</v>
      </c>
      <c r="U1420" s="8" t="str">
        <f t="shared" si="129"/>
        <v>Tue</v>
      </c>
      <c r="V1420" s="8" t="str">
        <f t="shared" si="130"/>
        <v>Wed</v>
      </c>
    </row>
    <row r="1421" spans="1:22" hidden="1" x14ac:dyDescent="0.25">
      <c r="A1421" t="s">
        <v>464</v>
      </c>
      <c r="B1421" t="s">
        <v>39</v>
      </c>
      <c r="C1421" t="s">
        <v>44</v>
      </c>
      <c r="D1421" t="s">
        <v>12</v>
      </c>
      <c r="E1421" t="s">
        <v>3</v>
      </c>
      <c r="F1421" s="5">
        <v>44271</v>
      </c>
      <c r="G1421" s="5">
        <v>44280</v>
      </c>
      <c r="H1421" s="2">
        <v>1</v>
      </c>
      <c r="I1421" s="6"/>
      <c r="J1421" s="6"/>
      <c r="K1421" s="7">
        <v>0.25</v>
      </c>
      <c r="L1421" s="7">
        <v>134.84690000000001</v>
      </c>
      <c r="M1421" t="s">
        <v>18</v>
      </c>
      <c r="N1421" s="9"/>
      <c r="O1421" s="8">
        <f t="array" ref="O1421">INDEX(TechRate,MATCH(H1421,TechNum,0))</f>
        <v>80</v>
      </c>
      <c r="P1421" s="10">
        <f>WorkOrders278[[#This Row],[Techs]]*(WorkOrders278[[#This Row],[PartsCost]]*WorkOrders278[[#This Row],[LbrHrs]])</f>
        <v>33.711725000000001</v>
      </c>
      <c r="Q1421" s="10">
        <f t="shared" si="125"/>
        <v>33.711725000000001</v>
      </c>
      <c r="R1421" s="10">
        <f t="shared" si="126"/>
        <v>134.84690000000001</v>
      </c>
      <c r="S1421" s="10">
        <f t="shared" si="127"/>
        <v>168.55862500000001</v>
      </c>
      <c r="T1421" s="10">
        <f t="shared" si="128"/>
        <v>168.55862500000001</v>
      </c>
      <c r="U1421" s="8" t="str">
        <f t="shared" si="129"/>
        <v>Tue</v>
      </c>
      <c r="V1421" s="8" t="str">
        <f t="shared" si="130"/>
        <v>Thu</v>
      </c>
    </row>
    <row r="1422" spans="1:22" hidden="1" x14ac:dyDescent="0.25">
      <c r="A1422" t="s">
        <v>465</v>
      </c>
      <c r="B1422" t="s">
        <v>35</v>
      </c>
      <c r="C1422" t="s">
        <v>44</v>
      </c>
      <c r="D1422" t="s">
        <v>12</v>
      </c>
      <c r="E1422" t="s">
        <v>3</v>
      </c>
      <c r="F1422" s="5">
        <v>44271</v>
      </c>
      <c r="G1422" s="5">
        <v>44278</v>
      </c>
      <c r="H1422" s="2">
        <v>1</v>
      </c>
      <c r="I1422" s="6"/>
      <c r="J1422" s="6"/>
      <c r="K1422" s="7">
        <v>0.5</v>
      </c>
      <c r="L1422" s="7">
        <v>61.259</v>
      </c>
      <c r="M1422" t="s">
        <v>17</v>
      </c>
      <c r="N1422" s="9"/>
      <c r="O1422" s="8">
        <f t="array" ref="O1422">INDEX(TechRate,MATCH(H1422,TechNum,0))</f>
        <v>80</v>
      </c>
      <c r="P1422" s="10">
        <f>WorkOrders278[[#This Row],[Techs]]*(WorkOrders278[[#This Row],[PartsCost]]*WorkOrders278[[#This Row],[LbrHrs]])</f>
        <v>30.6295</v>
      </c>
      <c r="Q1422" s="10">
        <f t="shared" si="125"/>
        <v>30.6295</v>
      </c>
      <c r="R1422" s="10">
        <f t="shared" si="126"/>
        <v>61.259</v>
      </c>
      <c r="S1422" s="10">
        <f t="shared" si="127"/>
        <v>91.888499999999993</v>
      </c>
      <c r="T1422" s="10">
        <f t="shared" si="128"/>
        <v>91.888499999999993</v>
      </c>
      <c r="U1422" s="8" t="str">
        <f t="shared" si="129"/>
        <v>Tue</v>
      </c>
      <c r="V1422" s="8" t="str">
        <f t="shared" si="130"/>
        <v>Tue</v>
      </c>
    </row>
    <row r="1423" spans="1:22" hidden="1" x14ac:dyDescent="0.25">
      <c r="A1423" t="s">
        <v>466</v>
      </c>
      <c r="B1423" t="s">
        <v>34</v>
      </c>
      <c r="C1423" t="s">
        <v>9</v>
      </c>
      <c r="D1423" t="s">
        <v>13</v>
      </c>
      <c r="F1423" s="5">
        <v>44271</v>
      </c>
      <c r="G1423" s="5">
        <v>44288</v>
      </c>
      <c r="H1423" s="2">
        <v>2</v>
      </c>
      <c r="I1423" s="6"/>
      <c r="J1423" s="6"/>
      <c r="K1423" s="7">
        <v>4.5</v>
      </c>
      <c r="L1423" s="7">
        <v>658.67510000000004</v>
      </c>
      <c r="M1423" t="s">
        <v>17</v>
      </c>
      <c r="N1423" s="9"/>
      <c r="O1423" s="8">
        <f t="array" ref="O1423">INDEX(TechRate,MATCH(H1423,TechNum,0))</f>
        <v>140</v>
      </c>
      <c r="P1423" s="10">
        <f>WorkOrders278[[#This Row],[Techs]]*(WorkOrders278[[#This Row],[PartsCost]]*WorkOrders278[[#This Row],[LbrHrs]])</f>
        <v>5928.0759000000007</v>
      </c>
      <c r="Q1423" s="10">
        <f t="shared" si="125"/>
        <v>5928.0759000000007</v>
      </c>
      <c r="R1423" s="10">
        <f t="shared" si="126"/>
        <v>658.67510000000004</v>
      </c>
      <c r="S1423" s="10">
        <f t="shared" si="127"/>
        <v>6586.7510000000011</v>
      </c>
      <c r="T1423" s="10">
        <f t="shared" si="128"/>
        <v>6586.7510000000011</v>
      </c>
      <c r="U1423" s="8" t="str">
        <f t="shared" si="129"/>
        <v>Tue</v>
      </c>
      <c r="V1423" s="8" t="str">
        <f t="shared" si="130"/>
        <v>Fri</v>
      </c>
    </row>
    <row r="1424" spans="1:22" hidden="1" x14ac:dyDescent="0.25">
      <c r="A1424" t="s">
        <v>467</v>
      </c>
      <c r="B1424" t="s">
        <v>34</v>
      </c>
      <c r="C1424" t="s">
        <v>9</v>
      </c>
      <c r="D1424" t="s">
        <v>2</v>
      </c>
      <c r="F1424" s="5">
        <v>44271</v>
      </c>
      <c r="G1424" s="5">
        <v>44289</v>
      </c>
      <c r="H1424" s="2">
        <v>2</v>
      </c>
      <c r="I1424" s="6"/>
      <c r="J1424" s="6"/>
      <c r="K1424" s="7">
        <v>8</v>
      </c>
      <c r="L1424" s="7">
        <v>1468.5196000000001</v>
      </c>
      <c r="M1424" t="s">
        <v>17</v>
      </c>
      <c r="N1424" s="9"/>
      <c r="O1424" s="8">
        <f t="array" ref="O1424">INDEX(TechRate,MATCH(H1424,TechNum,0))</f>
        <v>140</v>
      </c>
      <c r="P1424" s="10">
        <f>WorkOrders278[[#This Row],[Techs]]*(WorkOrders278[[#This Row],[PartsCost]]*WorkOrders278[[#This Row],[LbrHrs]])</f>
        <v>23496.313600000001</v>
      </c>
      <c r="Q1424" s="10">
        <f t="shared" si="125"/>
        <v>23496.313600000001</v>
      </c>
      <c r="R1424" s="10">
        <f t="shared" si="126"/>
        <v>1468.5196000000001</v>
      </c>
      <c r="S1424" s="10">
        <f t="shared" si="127"/>
        <v>24964.833200000001</v>
      </c>
      <c r="T1424" s="10">
        <f t="shared" si="128"/>
        <v>24964.833200000001</v>
      </c>
      <c r="U1424" s="8" t="str">
        <f t="shared" si="129"/>
        <v>Tue</v>
      </c>
      <c r="V1424" s="8" t="str">
        <f t="shared" si="130"/>
        <v>Sat</v>
      </c>
    </row>
    <row r="1425" spans="1:22" hidden="1" x14ac:dyDescent="0.25">
      <c r="A1425" t="s">
        <v>468</v>
      </c>
      <c r="B1425" t="s">
        <v>37</v>
      </c>
      <c r="C1425" t="s">
        <v>43</v>
      </c>
      <c r="D1425" t="s">
        <v>13</v>
      </c>
      <c r="F1425" s="5">
        <v>44271</v>
      </c>
      <c r="G1425" s="5">
        <v>44286</v>
      </c>
      <c r="H1425" s="2">
        <v>1</v>
      </c>
      <c r="I1425" s="6"/>
      <c r="J1425" s="6"/>
      <c r="K1425" s="7">
        <v>0.75</v>
      </c>
      <c r="L1425" s="7">
        <v>82.586500000000001</v>
      </c>
      <c r="M1425" t="s">
        <v>17</v>
      </c>
      <c r="N1425" s="9"/>
      <c r="O1425" s="8">
        <f t="array" ref="O1425">INDEX(TechRate,MATCH(H1425,TechNum,0))</f>
        <v>80</v>
      </c>
      <c r="P1425" s="10">
        <f>WorkOrders278[[#This Row],[Techs]]*(WorkOrders278[[#This Row],[PartsCost]]*WorkOrders278[[#This Row],[LbrHrs]])</f>
        <v>61.939875000000001</v>
      </c>
      <c r="Q1425" s="10">
        <f t="shared" si="125"/>
        <v>61.939875000000001</v>
      </c>
      <c r="R1425" s="10">
        <f t="shared" si="126"/>
        <v>82.586500000000001</v>
      </c>
      <c r="S1425" s="10">
        <f t="shared" si="127"/>
        <v>144.526375</v>
      </c>
      <c r="T1425" s="10">
        <f t="shared" si="128"/>
        <v>144.526375</v>
      </c>
      <c r="U1425" s="8" t="str">
        <f t="shared" si="129"/>
        <v>Tue</v>
      </c>
      <c r="V1425" s="8" t="str">
        <f t="shared" si="130"/>
        <v>Wed</v>
      </c>
    </row>
    <row r="1426" spans="1:22" hidden="1" x14ac:dyDescent="0.25">
      <c r="A1426" t="s">
        <v>469</v>
      </c>
      <c r="B1426" t="s">
        <v>41</v>
      </c>
      <c r="C1426" t="s">
        <v>7</v>
      </c>
      <c r="D1426" t="s">
        <v>1</v>
      </c>
      <c r="F1426" s="5">
        <v>44271</v>
      </c>
      <c r="G1426" s="5">
        <v>44302</v>
      </c>
      <c r="H1426" s="2">
        <v>2</v>
      </c>
      <c r="I1426" s="6"/>
      <c r="J1426" s="6" t="s">
        <v>3</v>
      </c>
      <c r="K1426" s="7">
        <v>2.75</v>
      </c>
      <c r="L1426" s="7">
        <v>340.54520000000002</v>
      </c>
      <c r="M1426" t="s">
        <v>18</v>
      </c>
      <c r="N1426" s="9"/>
      <c r="O1426" s="8">
        <f t="array" ref="O1426">INDEX(TechRate,MATCH(H1426,TechNum,0))</f>
        <v>140</v>
      </c>
      <c r="P1426" s="10">
        <f>WorkOrders278[[#This Row],[Techs]]*(WorkOrders278[[#This Row],[PartsCost]]*WorkOrders278[[#This Row],[LbrHrs]])</f>
        <v>1872.9986000000001</v>
      </c>
      <c r="Q1426" s="10">
        <f t="shared" si="125"/>
        <v>1872.9986000000001</v>
      </c>
      <c r="R1426" s="10">
        <f t="shared" si="126"/>
        <v>0</v>
      </c>
      <c r="S1426" s="10">
        <f t="shared" si="127"/>
        <v>2213.5438000000004</v>
      </c>
      <c r="T1426" s="10">
        <f t="shared" si="128"/>
        <v>1872.9986000000001</v>
      </c>
      <c r="U1426" s="8" t="str">
        <f t="shared" si="129"/>
        <v>Tue</v>
      </c>
      <c r="V1426" s="8" t="str">
        <f t="shared" si="130"/>
        <v>Fri</v>
      </c>
    </row>
    <row r="1427" spans="1:22" hidden="1" x14ac:dyDescent="0.25">
      <c r="A1427" t="s">
        <v>470</v>
      </c>
      <c r="B1427" t="s">
        <v>39</v>
      </c>
      <c r="C1427" t="s">
        <v>8</v>
      </c>
      <c r="D1427" t="s">
        <v>12</v>
      </c>
      <c r="F1427" s="5">
        <v>44271</v>
      </c>
      <c r="G1427" s="5">
        <v>44322</v>
      </c>
      <c r="H1427" s="2">
        <v>1</v>
      </c>
      <c r="I1427" s="6"/>
      <c r="J1427" s="6"/>
      <c r="K1427" s="7">
        <v>0.25</v>
      </c>
      <c r="L1427" s="7">
        <v>72.061000000000007</v>
      </c>
      <c r="M1427" t="s">
        <v>18</v>
      </c>
      <c r="N1427" s="9"/>
      <c r="O1427" s="8">
        <f t="array" ref="O1427">INDEX(TechRate,MATCH(H1427,TechNum,0))</f>
        <v>80</v>
      </c>
      <c r="P1427" s="10">
        <f>WorkOrders278[[#This Row],[Techs]]*(WorkOrders278[[#This Row],[PartsCost]]*WorkOrders278[[#This Row],[LbrHrs]])</f>
        <v>18.015250000000002</v>
      </c>
      <c r="Q1427" s="10">
        <f t="shared" si="125"/>
        <v>18.015250000000002</v>
      </c>
      <c r="R1427" s="10">
        <f t="shared" si="126"/>
        <v>72.061000000000007</v>
      </c>
      <c r="S1427" s="10">
        <f t="shared" si="127"/>
        <v>90.076250000000016</v>
      </c>
      <c r="T1427" s="10">
        <f t="shared" si="128"/>
        <v>90.076250000000016</v>
      </c>
      <c r="U1427" s="8" t="str">
        <f t="shared" si="129"/>
        <v>Tue</v>
      </c>
      <c r="V1427" s="8" t="str">
        <f t="shared" si="130"/>
        <v>Thu</v>
      </c>
    </row>
    <row r="1428" spans="1:22" hidden="1" x14ac:dyDescent="0.25">
      <c r="A1428" t="s">
        <v>471</v>
      </c>
      <c r="B1428" t="s">
        <v>41</v>
      </c>
      <c r="C1428" t="s">
        <v>9</v>
      </c>
      <c r="D1428" t="s">
        <v>12</v>
      </c>
      <c r="F1428" s="5">
        <v>44272</v>
      </c>
      <c r="G1428" s="5">
        <v>44296</v>
      </c>
      <c r="H1428" s="2">
        <v>1</v>
      </c>
      <c r="I1428" s="6"/>
      <c r="J1428" s="6"/>
      <c r="K1428" s="7">
        <v>0.5</v>
      </c>
      <c r="L1428" s="7">
        <v>48.990699999999997</v>
      </c>
      <c r="M1428" t="s">
        <v>17</v>
      </c>
      <c r="N1428" s="9"/>
      <c r="O1428" s="8">
        <f t="array" ref="O1428">INDEX(TechRate,MATCH(H1428,TechNum,0))</f>
        <v>80</v>
      </c>
      <c r="P1428" s="10">
        <f>WorkOrders278[[#This Row],[Techs]]*(WorkOrders278[[#This Row],[PartsCost]]*WorkOrders278[[#This Row],[LbrHrs]])</f>
        <v>24.495349999999998</v>
      </c>
      <c r="Q1428" s="10">
        <f t="shared" si="125"/>
        <v>24.495349999999998</v>
      </c>
      <c r="R1428" s="10">
        <f t="shared" si="126"/>
        <v>48.990699999999997</v>
      </c>
      <c r="S1428" s="10">
        <f t="shared" si="127"/>
        <v>73.486049999999992</v>
      </c>
      <c r="T1428" s="10">
        <f t="shared" si="128"/>
        <v>73.486049999999992</v>
      </c>
      <c r="U1428" s="8" t="str">
        <f t="shared" si="129"/>
        <v>Wed</v>
      </c>
      <c r="V1428" s="8" t="str">
        <f t="shared" si="130"/>
        <v>Sat</v>
      </c>
    </row>
    <row r="1429" spans="1:22" hidden="1" x14ac:dyDescent="0.25">
      <c r="A1429" t="s">
        <v>472</v>
      </c>
      <c r="B1429" t="s">
        <v>36</v>
      </c>
      <c r="C1429" t="s">
        <v>7</v>
      </c>
      <c r="D1429" t="s">
        <v>11</v>
      </c>
      <c r="F1429" s="5">
        <v>44272</v>
      </c>
      <c r="G1429" s="5">
        <v>44296</v>
      </c>
      <c r="H1429" s="2">
        <v>1</v>
      </c>
      <c r="I1429" s="6"/>
      <c r="J1429" s="6"/>
      <c r="K1429" s="7">
        <v>0.25</v>
      </c>
      <c r="L1429" s="7">
        <v>15.401</v>
      </c>
      <c r="M1429" t="s">
        <v>17</v>
      </c>
      <c r="N1429" s="9"/>
      <c r="O1429" s="8">
        <f t="array" ref="O1429">INDEX(TechRate,MATCH(H1429,TechNum,0))</f>
        <v>80</v>
      </c>
      <c r="P1429" s="10">
        <f>WorkOrders278[[#This Row],[Techs]]*(WorkOrders278[[#This Row],[PartsCost]]*WorkOrders278[[#This Row],[LbrHrs]])</f>
        <v>3.85025</v>
      </c>
      <c r="Q1429" s="10">
        <f t="shared" si="125"/>
        <v>3.85025</v>
      </c>
      <c r="R1429" s="10">
        <f t="shared" si="126"/>
        <v>15.401</v>
      </c>
      <c r="S1429" s="10">
        <f t="shared" si="127"/>
        <v>19.251249999999999</v>
      </c>
      <c r="T1429" s="10">
        <f t="shared" si="128"/>
        <v>19.251249999999999</v>
      </c>
      <c r="U1429" s="8" t="str">
        <f t="shared" si="129"/>
        <v>Wed</v>
      </c>
      <c r="V1429" s="8" t="str">
        <f t="shared" si="130"/>
        <v>Sat</v>
      </c>
    </row>
    <row r="1430" spans="1:22" hidden="1" x14ac:dyDescent="0.25">
      <c r="A1430" t="s">
        <v>473</v>
      </c>
      <c r="B1430" t="s">
        <v>40</v>
      </c>
      <c r="C1430" t="s">
        <v>8</v>
      </c>
      <c r="D1430" t="s">
        <v>13</v>
      </c>
      <c r="F1430" s="5">
        <v>44274</v>
      </c>
      <c r="G1430" s="5">
        <v>44322</v>
      </c>
      <c r="H1430" s="2">
        <v>1</v>
      </c>
      <c r="I1430" s="6"/>
      <c r="J1430" s="6"/>
      <c r="K1430" s="7">
        <v>0.75</v>
      </c>
      <c r="L1430" s="7">
        <v>204.10079999999999</v>
      </c>
      <c r="M1430" t="s">
        <v>18</v>
      </c>
      <c r="N1430" s="9"/>
      <c r="O1430" s="8">
        <f t="array" ref="O1430">INDEX(TechRate,MATCH(H1430,TechNum,0))</f>
        <v>80</v>
      </c>
      <c r="P1430" s="10">
        <f>WorkOrders278[[#This Row],[Techs]]*(WorkOrders278[[#This Row],[PartsCost]]*WorkOrders278[[#This Row],[LbrHrs]])</f>
        <v>153.07560000000001</v>
      </c>
      <c r="Q1430" s="10">
        <f t="shared" si="125"/>
        <v>153.07560000000001</v>
      </c>
      <c r="R1430" s="10">
        <f t="shared" si="126"/>
        <v>204.10079999999999</v>
      </c>
      <c r="S1430" s="10">
        <f t="shared" si="127"/>
        <v>357.1764</v>
      </c>
      <c r="T1430" s="10">
        <f t="shared" si="128"/>
        <v>357.1764</v>
      </c>
      <c r="U1430" s="8" t="str">
        <f t="shared" si="129"/>
        <v>Fri</v>
      </c>
      <c r="V1430" s="8" t="str">
        <f t="shared" si="130"/>
        <v>Thu</v>
      </c>
    </row>
    <row r="1431" spans="1:22" hidden="1" x14ac:dyDescent="0.25">
      <c r="A1431" t="s">
        <v>474</v>
      </c>
      <c r="B1431" t="s">
        <v>36</v>
      </c>
      <c r="C1431" t="s">
        <v>7</v>
      </c>
      <c r="D1431" t="s">
        <v>12</v>
      </c>
      <c r="F1431" s="5">
        <v>44275</v>
      </c>
      <c r="G1431" s="5">
        <v>44296</v>
      </c>
      <c r="H1431" s="2">
        <v>1</v>
      </c>
      <c r="I1431" s="6"/>
      <c r="J1431" s="6"/>
      <c r="K1431" s="7">
        <v>0.25</v>
      </c>
      <c r="L1431" s="7">
        <v>12.63</v>
      </c>
      <c r="M1431" t="s">
        <v>17</v>
      </c>
      <c r="N1431" s="9"/>
      <c r="O1431" s="8">
        <f t="array" ref="O1431">INDEX(TechRate,MATCH(H1431,TechNum,0))</f>
        <v>80</v>
      </c>
      <c r="P1431" s="10">
        <f>WorkOrders278[[#This Row],[Techs]]*(WorkOrders278[[#This Row],[PartsCost]]*WorkOrders278[[#This Row],[LbrHrs]])</f>
        <v>3.1575000000000002</v>
      </c>
      <c r="Q1431" s="10">
        <f t="shared" si="125"/>
        <v>3.1575000000000002</v>
      </c>
      <c r="R1431" s="10">
        <f t="shared" si="126"/>
        <v>12.63</v>
      </c>
      <c r="S1431" s="10">
        <f t="shared" si="127"/>
        <v>15.787500000000001</v>
      </c>
      <c r="T1431" s="10">
        <f t="shared" si="128"/>
        <v>15.787500000000001</v>
      </c>
      <c r="U1431" s="8" t="str">
        <f t="shared" si="129"/>
        <v>Sat</v>
      </c>
      <c r="V1431" s="8" t="str">
        <f t="shared" si="130"/>
        <v>Sat</v>
      </c>
    </row>
    <row r="1432" spans="1:22" hidden="1" x14ac:dyDescent="0.25">
      <c r="A1432" t="s">
        <v>475</v>
      </c>
      <c r="B1432" t="s">
        <v>41</v>
      </c>
      <c r="C1432" t="s">
        <v>7</v>
      </c>
      <c r="D1432" t="s">
        <v>12</v>
      </c>
      <c r="F1432" s="5">
        <v>44275</v>
      </c>
      <c r="G1432" s="5">
        <v>44299</v>
      </c>
      <c r="H1432" s="2">
        <v>1</v>
      </c>
      <c r="I1432" s="6"/>
      <c r="J1432" s="6"/>
      <c r="K1432" s="7">
        <v>0.25</v>
      </c>
      <c r="L1432" s="7">
        <v>15.24</v>
      </c>
      <c r="M1432" t="s">
        <v>19</v>
      </c>
      <c r="N1432" s="9"/>
      <c r="O1432" s="8">
        <f t="array" ref="O1432">INDEX(TechRate,MATCH(H1432,TechNum,0))</f>
        <v>80</v>
      </c>
      <c r="P1432" s="10">
        <f>WorkOrders278[[#This Row],[Techs]]*(WorkOrders278[[#This Row],[PartsCost]]*WorkOrders278[[#This Row],[LbrHrs]])</f>
        <v>3.81</v>
      </c>
      <c r="Q1432" s="10">
        <f t="shared" si="125"/>
        <v>3.81</v>
      </c>
      <c r="R1432" s="10">
        <f t="shared" si="126"/>
        <v>15.24</v>
      </c>
      <c r="S1432" s="10">
        <f t="shared" si="127"/>
        <v>19.05</v>
      </c>
      <c r="T1432" s="10">
        <f t="shared" si="128"/>
        <v>19.05</v>
      </c>
      <c r="U1432" s="8" t="str">
        <f t="shared" si="129"/>
        <v>Sat</v>
      </c>
      <c r="V1432" s="8" t="str">
        <f t="shared" si="130"/>
        <v>Tue</v>
      </c>
    </row>
    <row r="1433" spans="1:22" hidden="1" x14ac:dyDescent="0.25">
      <c r="A1433" t="s">
        <v>476</v>
      </c>
      <c r="B1433" t="s">
        <v>38</v>
      </c>
      <c r="C1433" t="s">
        <v>8</v>
      </c>
      <c r="D1433" t="s">
        <v>12</v>
      </c>
      <c r="F1433" s="5">
        <v>44277</v>
      </c>
      <c r="G1433" s="5">
        <v>44286</v>
      </c>
      <c r="H1433" s="2">
        <v>1</v>
      </c>
      <c r="I1433" s="6" t="s">
        <v>3</v>
      </c>
      <c r="J1433" s="6" t="s">
        <v>3</v>
      </c>
      <c r="K1433" s="7">
        <v>0.5</v>
      </c>
      <c r="L1433" s="7">
        <v>50</v>
      </c>
      <c r="M1433" t="s">
        <v>20</v>
      </c>
      <c r="N1433" s="9"/>
      <c r="O1433" s="8">
        <f t="array" ref="O1433">INDEX(TechRate,MATCH(H1433,TechNum,0))</f>
        <v>80</v>
      </c>
      <c r="P1433" s="10">
        <f>WorkOrders278[[#This Row],[Techs]]*(WorkOrders278[[#This Row],[PartsCost]]*WorkOrders278[[#This Row],[LbrHrs]])</f>
        <v>25</v>
      </c>
      <c r="Q1433" s="10">
        <f t="shared" si="125"/>
        <v>0</v>
      </c>
      <c r="R1433" s="10">
        <f t="shared" si="126"/>
        <v>0</v>
      </c>
      <c r="S1433" s="10">
        <f t="shared" si="127"/>
        <v>75</v>
      </c>
      <c r="T1433" s="10">
        <f t="shared" si="128"/>
        <v>0</v>
      </c>
      <c r="U1433" s="8" t="str">
        <f t="shared" si="129"/>
        <v>Mon</v>
      </c>
      <c r="V1433" s="8" t="str">
        <f t="shared" si="130"/>
        <v>Wed</v>
      </c>
    </row>
    <row r="1434" spans="1:22" hidden="1" x14ac:dyDescent="0.25">
      <c r="A1434" t="s">
        <v>477</v>
      </c>
      <c r="B1434" t="s">
        <v>37</v>
      </c>
      <c r="C1434" t="s">
        <v>9</v>
      </c>
      <c r="D1434" t="s">
        <v>2</v>
      </c>
      <c r="F1434" s="5">
        <v>44277</v>
      </c>
      <c r="G1434" s="5">
        <v>44306</v>
      </c>
      <c r="H1434" s="2">
        <v>1</v>
      </c>
      <c r="I1434" s="6"/>
      <c r="J1434" s="6" t="s">
        <v>3</v>
      </c>
      <c r="K1434" s="7">
        <v>1.5</v>
      </c>
      <c r="L1434" s="7">
        <v>272.55329999999998</v>
      </c>
      <c r="M1434" t="s">
        <v>18</v>
      </c>
      <c r="N1434" s="9"/>
      <c r="O1434" s="8">
        <f t="array" ref="O1434">INDEX(TechRate,MATCH(H1434,TechNum,0))</f>
        <v>80</v>
      </c>
      <c r="P1434" s="10">
        <f>WorkOrders278[[#This Row],[Techs]]*(WorkOrders278[[#This Row],[PartsCost]]*WorkOrders278[[#This Row],[LbrHrs]])</f>
        <v>408.82994999999994</v>
      </c>
      <c r="Q1434" s="10">
        <f t="shared" si="125"/>
        <v>408.82994999999994</v>
      </c>
      <c r="R1434" s="10">
        <f t="shared" si="126"/>
        <v>0</v>
      </c>
      <c r="S1434" s="10">
        <f t="shared" si="127"/>
        <v>681.38324999999986</v>
      </c>
      <c r="T1434" s="10">
        <f t="shared" si="128"/>
        <v>408.82994999999994</v>
      </c>
      <c r="U1434" s="8" t="str">
        <f t="shared" si="129"/>
        <v>Mon</v>
      </c>
      <c r="V1434" s="8" t="str">
        <f t="shared" si="130"/>
        <v>Tue</v>
      </c>
    </row>
    <row r="1435" spans="1:22" hidden="1" x14ac:dyDescent="0.25">
      <c r="A1435" t="s">
        <v>478</v>
      </c>
      <c r="B1435" t="s">
        <v>35</v>
      </c>
      <c r="C1435" t="s">
        <v>44</v>
      </c>
      <c r="D1435" t="s">
        <v>13</v>
      </c>
      <c r="F1435" s="5">
        <v>44277</v>
      </c>
      <c r="G1435" s="5">
        <v>44306</v>
      </c>
      <c r="H1435" s="2">
        <v>2</v>
      </c>
      <c r="I1435" s="6"/>
      <c r="J1435" s="6"/>
      <c r="K1435" s="7">
        <v>6.25</v>
      </c>
      <c r="L1435" s="7">
        <v>27</v>
      </c>
      <c r="M1435" t="s">
        <v>18</v>
      </c>
      <c r="N1435" s="9"/>
      <c r="O1435" s="8">
        <f t="array" ref="O1435">INDEX(TechRate,MATCH(H1435,TechNum,0))</f>
        <v>140</v>
      </c>
      <c r="P1435" s="10">
        <f>WorkOrders278[[#This Row],[Techs]]*(WorkOrders278[[#This Row],[PartsCost]]*WorkOrders278[[#This Row],[LbrHrs]])</f>
        <v>337.5</v>
      </c>
      <c r="Q1435" s="10">
        <f t="shared" si="125"/>
        <v>337.5</v>
      </c>
      <c r="R1435" s="10">
        <f t="shared" si="126"/>
        <v>27</v>
      </c>
      <c r="S1435" s="10">
        <f t="shared" si="127"/>
        <v>364.5</v>
      </c>
      <c r="T1435" s="10">
        <f t="shared" si="128"/>
        <v>364.5</v>
      </c>
      <c r="U1435" s="8" t="str">
        <f t="shared" si="129"/>
        <v>Mon</v>
      </c>
      <c r="V1435" s="8" t="str">
        <f t="shared" si="130"/>
        <v>Tue</v>
      </c>
    </row>
    <row r="1436" spans="1:22" hidden="1" x14ac:dyDescent="0.25">
      <c r="A1436" t="s">
        <v>479</v>
      </c>
      <c r="B1436" t="s">
        <v>39</v>
      </c>
      <c r="C1436" t="s">
        <v>8</v>
      </c>
      <c r="D1436" t="s">
        <v>12</v>
      </c>
      <c r="F1436" s="5">
        <v>44277</v>
      </c>
      <c r="G1436" s="5">
        <v>44308</v>
      </c>
      <c r="H1436" s="2">
        <v>1</v>
      </c>
      <c r="I1436" s="6" t="s">
        <v>3</v>
      </c>
      <c r="J1436" s="6" t="s">
        <v>3</v>
      </c>
      <c r="K1436" s="7">
        <v>0.25</v>
      </c>
      <c r="L1436" s="7">
        <v>65.428799999999995</v>
      </c>
      <c r="M1436" t="s">
        <v>20</v>
      </c>
      <c r="N1436" s="9"/>
      <c r="O1436" s="8">
        <f t="array" ref="O1436">INDEX(TechRate,MATCH(H1436,TechNum,0))</f>
        <v>80</v>
      </c>
      <c r="P1436" s="10">
        <f>WorkOrders278[[#This Row],[Techs]]*(WorkOrders278[[#This Row],[PartsCost]]*WorkOrders278[[#This Row],[LbrHrs]])</f>
        <v>16.357199999999999</v>
      </c>
      <c r="Q1436" s="10">
        <f t="shared" si="125"/>
        <v>0</v>
      </c>
      <c r="R1436" s="10">
        <f t="shared" si="126"/>
        <v>0</v>
      </c>
      <c r="S1436" s="10">
        <f t="shared" si="127"/>
        <v>81.786000000000001</v>
      </c>
      <c r="T1436" s="10">
        <f t="shared" si="128"/>
        <v>0</v>
      </c>
      <c r="U1436" s="8" t="str">
        <f t="shared" si="129"/>
        <v>Mon</v>
      </c>
      <c r="V1436" s="8" t="str">
        <f t="shared" si="130"/>
        <v>Thu</v>
      </c>
    </row>
    <row r="1437" spans="1:22" hidden="1" x14ac:dyDescent="0.25">
      <c r="A1437" t="s">
        <v>480</v>
      </c>
      <c r="B1437" t="s">
        <v>36</v>
      </c>
      <c r="C1437" t="s">
        <v>7</v>
      </c>
      <c r="D1437" t="s">
        <v>12</v>
      </c>
      <c r="F1437" s="5">
        <v>44277</v>
      </c>
      <c r="G1437" s="5">
        <v>44322</v>
      </c>
      <c r="H1437" s="2">
        <v>2</v>
      </c>
      <c r="I1437" s="6"/>
      <c r="J1437" s="6"/>
      <c r="K1437" s="7">
        <v>0.5</v>
      </c>
      <c r="L1437" s="7">
        <v>85.32</v>
      </c>
      <c r="M1437" t="s">
        <v>17</v>
      </c>
      <c r="N1437" s="9"/>
      <c r="O1437" s="8">
        <f t="array" ref="O1437">INDEX(TechRate,MATCH(H1437,TechNum,0))</f>
        <v>140</v>
      </c>
      <c r="P1437" s="10">
        <f>WorkOrders278[[#This Row],[Techs]]*(WorkOrders278[[#This Row],[PartsCost]]*WorkOrders278[[#This Row],[LbrHrs]])</f>
        <v>85.32</v>
      </c>
      <c r="Q1437" s="10">
        <f t="shared" si="125"/>
        <v>85.32</v>
      </c>
      <c r="R1437" s="10">
        <f t="shared" si="126"/>
        <v>85.32</v>
      </c>
      <c r="S1437" s="10">
        <f t="shared" si="127"/>
        <v>170.64</v>
      </c>
      <c r="T1437" s="10">
        <f t="shared" si="128"/>
        <v>170.64</v>
      </c>
      <c r="U1437" s="8" t="str">
        <f t="shared" si="129"/>
        <v>Mon</v>
      </c>
      <c r="V1437" s="8" t="str">
        <f t="shared" si="130"/>
        <v>Thu</v>
      </c>
    </row>
    <row r="1438" spans="1:22" hidden="1" x14ac:dyDescent="0.25">
      <c r="A1438" t="s">
        <v>481</v>
      </c>
      <c r="B1438" t="s">
        <v>37</v>
      </c>
      <c r="C1438" t="s">
        <v>9</v>
      </c>
      <c r="D1438" t="s">
        <v>1</v>
      </c>
      <c r="F1438" s="5">
        <v>44277</v>
      </c>
      <c r="G1438" s="5">
        <v>44326</v>
      </c>
      <c r="H1438" s="2">
        <v>2</v>
      </c>
      <c r="I1438" s="6"/>
      <c r="J1438" s="6" t="s">
        <v>3</v>
      </c>
      <c r="K1438" s="7">
        <v>1.5</v>
      </c>
      <c r="L1438" s="7">
        <v>572.1671</v>
      </c>
      <c r="M1438" t="s">
        <v>18</v>
      </c>
      <c r="N1438" s="9"/>
      <c r="O1438" s="8">
        <f t="array" ref="O1438">INDEX(TechRate,MATCH(H1438,TechNum,0))</f>
        <v>140</v>
      </c>
      <c r="P1438" s="10">
        <f>WorkOrders278[[#This Row],[Techs]]*(WorkOrders278[[#This Row],[PartsCost]]*WorkOrders278[[#This Row],[LbrHrs]])</f>
        <v>1716.5012999999999</v>
      </c>
      <c r="Q1438" s="10">
        <f t="shared" si="125"/>
        <v>1716.5012999999999</v>
      </c>
      <c r="R1438" s="10">
        <f t="shared" si="126"/>
        <v>0</v>
      </c>
      <c r="S1438" s="10">
        <f t="shared" si="127"/>
        <v>2288.6684</v>
      </c>
      <c r="T1438" s="10">
        <f t="shared" si="128"/>
        <v>1716.5012999999999</v>
      </c>
      <c r="U1438" s="8" t="str">
        <f t="shared" si="129"/>
        <v>Mon</v>
      </c>
      <c r="V1438" s="8" t="str">
        <f t="shared" si="130"/>
        <v>Mon</v>
      </c>
    </row>
    <row r="1439" spans="1:22" hidden="1" x14ac:dyDescent="0.25">
      <c r="A1439" t="s">
        <v>482</v>
      </c>
      <c r="B1439" t="s">
        <v>37</v>
      </c>
      <c r="C1439" t="s">
        <v>9</v>
      </c>
      <c r="D1439" t="s">
        <v>2</v>
      </c>
      <c r="F1439" s="5">
        <v>44277</v>
      </c>
      <c r="G1439" s="5">
        <v>44326</v>
      </c>
      <c r="H1439" s="2">
        <v>2</v>
      </c>
      <c r="I1439" s="6"/>
      <c r="J1439" s="6" t="s">
        <v>3</v>
      </c>
      <c r="K1439" s="7">
        <v>4.5</v>
      </c>
      <c r="L1439" s="7">
        <v>937.97670000000005</v>
      </c>
      <c r="M1439" t="s">
        <v>18</v>
      </c>
      <c r="N1439" s="9"/>
      <c r="O1439" s="8">
        <f t="array" ref="O1439">INDEX(TechRate,MATCH(H1439,TechNum,0))</f>
        <v>140</v>
      </c>
      <c r="P1439" s="10">
        <f>WorkOrders278[[#This Row],[Techs]]*(WorkOrders278[[#This Row],[PartsCost]]*WorkOrders278[[#This Row],[LbrHrs]])</f>
        <v>8441.7903000000006</v>
      </c>
      <c r="Q1439" s="10">
        <f t="shared" si="125"/>
        <v>8441.7903000000006</v>
      </c>
      <c r="R1439" s="10">
        <f t="shared" si="126"/>
        <v>0</v>
      </c>
      <c r="S1439" s="10">
        <f t="shared" si="127"/>
        <v>9379.7669999999998</v>
      </c>
      <c r="T1439" s="10">
        <f t="shared" si="128"/>
        <v>8441.7903000000006</v>
      </c>
      <c r="U1439" s="8" t="str">
        <f t="shared" si="129"/>
        <v>Mon</v>
      </c>
      <c r="V1439" s="8" t="str">
        <f t="shared" si="130"/>
        <v>Mon</v>
      </c>
    </row>
    <row r="1440" spans="1:22" hidden="1" x14ac:dyDescent="0.25">
      <c r="A1440" t="s">
        <v>483</v>
      </c>
      <c r="B1440" t="s">
        <v>34</v>
      </c>
      <c r="C1440" t="s">
        <v>9</v>
      </c>
      <c r="D1440" t="s">
        <v>13</v>
      </c>
      <c r="F1440" s="5">
        <v>44278</v>
      </c>
      <c r="G1440" s="5">
        <v>44278</v>
      </c>
      <c r="H1440" s="2">
        <v>1</v>
      </c>
      <c r="I1440" s="6" t="s">
        <v>3</v>
      </c>
      <c r="J1440" s="6" t="s">
        <v>3</v>
      </c>
      <c r="K1440" s="7">
        <v>0.5</v>
      </c>
      <c r="L1440" s="7">
        <v>165</v>
      </c>
      <c r="M1440" t="s">
        <v>20</v>
      </c>
      <c r="N1440" s="9"/>
      <c r="O1440" s="8">
        <f t="array" ref="O1440">INDEX(TechRate,MATCH(H1440,TechNum,0))</f>
        <v>80</v>
      </c>
      <c r="P1440" s="10">
        <f>WorkOrders278[[#This Row],[Techs]]*(WorkOrders278[[#This Row],[PartsCost]]*WorkOrders278[[#This Row],[LbrHrs]])</f>
        <v>82.5</v>
      </c>
      <c r="Q1440" s="10">
        <f t="shared" si="125"/>
        <v>0</v>
      </c>
      <c r="R1440" s="10">
        <f t="shared" si="126"/>
        <v>0</v>
      </c>
      <c r="S1440" s="10">
        <f t="shared" si="127"/>
        <v>247.5</v>
      </c>
      <c r="T1440" s="10">
        <f t="shared" si="128"/>
        <v>0</v>
      </c>
      <c r="U1440" s="8" t="str">
        <f t="shared" si="129"/>
        <v>Tue</v>
      </c>
      <c r="V1440" s="8" t="str">
        <f t="shared" si="130"/>
        <v>Tue</v>
      </c>
    </row>
    <row r="1441" spans="1:22" hidden="1" x14ac:dyDescent="0.25">
      <c r="A1441" t="s">
        <v>484</v>
      </c>
      <c r="B1441" t="s">
        <v>36</v>
      </c>
      <c r="C1441" t="s">
        <v>7</v>
      </c>
      <c r="D1441" t="s">
        <v>12</v>
      </c>
      <c r="F1441" s="5">
        <v>44278</v>
      </c>
      <c r="G1441" s="5">
        <v>44289</v>
      </c>
      <c r="H1441" s="2">
        <v>2</v>
      </c>
      <c r="I1441" s="6" t="s">
        <v>3</v>
      </c>
      <c r="J1441" s="6" t="s">
        <v>3</v>
      </c>
      <c r="K1441" s="7">
        <v>0.25</v>
      </c>
      <c r="L1441" s="7">
        <v>55.295499999999997</v>
      </c>
      <c r="M1441" t="s">
        <v>20</v>
      </c>
      <c r="N1441" s="9"/>
      <c r="O1441" s="8">
        <f t="array" ref="O1441">INDEX(TechRate,MATCH(H1441,TechNum,0))</f>
        <v>140</v>
      </c>
      <c r="P1441" s="10">
        <f>WorkOrders278[[#This Row],[Techs]]*(WorkOrders278[[#This Row],[PartsCost]]*WorkOrders278[[#This Row],[LbrHrs]])</f>
        <v>27.647749999999998</v>
      </c>
      <c r="Q1441" s="10">
        <f t="shared" si="125"/>
        <v>0</v>
      </c>
      <c r="R1441" s="10">
        <f t="shared" si="126"/>
        <v>0</v>
      </c>
      <c r="S1441" s="10">
        <f t="shared" si="127"/>
        <v>82.943249999999992</v>
      </c>
      <c r="T1441" s="10">
        <f t="shared" si="128"/>
        <v>0</v>
      </c>
      <c r="U1441" s="8" t="str">
        <f t="shared" si="129"/>
        <v>Tue</v>
      </c>
      <c r="V1441" s="8" t="str">
        <f t="shared" si="130"/>
        <v>Sat</v>
      </c>
    </row>
    <row r="1442" spans="1:22" hidden="1" x14ac:dyDescent="0.25">
      <c r="A1442" t="s">
        <v>485</v>
      </c>
      <c r="B1442" t="s">
        <v>39</v>
      </c>
      <c r="C1442" t="s">
        <v>44</v>
      </c>
      <c r="D1442" t="s">
        <v>13</v>
      </c>
      <c r="F1442" s="5">
        <v>44278</v>
      </c>
      <c r="G1442" s="5">
        <v>44296</v>
      </c>
      <c r="H1442" s="2">
        <v>1</v>
      </c>
      <c r="I1442" s="6"/>
      <c r="J1442" s="6" t="s">
        <v>3</v>
      </c>
      <c r="K1442" s="7">
        <v>2.75</v>
      </c>
      <c r="L1442" s="7">
        <v>534.56600000000003</v>
      </c>
      <c r="M1442" t="s">
        <v>18</v>
      </c>
      <c r="N1442" s="9"/>
      <c r="O1442" s="8">
        <f t="array" ref="O1442">INDEX(TechRate,MATCH(H1442,TechNum,0))</f>
        <v>80</v>
      </c>
      <c r="P1442" s="10">
        <f>WorkOrders278[[#This Row],[Techs]]*(WorkOrders278[[#This Row],[PartsCost]]*WorkOrders278[[#This Row],[LbrHrs]])</f>
        <v>1470.0565000000001</v>
      </c>
      <c r="Q1442" s="10">
        <f t="shared" si="125"/>
        <v>1470.0565000000001</v>
      </c>
      <c r="R1442" s="10">
        <f t="shared" si="126"/>
        <v>0</v>
      </c>
      <c r="S1442" s="10">
        <f t="shared" si="127"/>
        <v>2004.6225000000002</v>
      </c>
      <c r="T1442" s="10">
        <f t="shared" si="128"/>
        <v>1470.0565000000001</v>
      </c>
      <c r="U1442" s="8" t="str">
        <f t="shared" si="129"/>
        <v>Tue</v>
      </c>
      <c r="V1442" s="8" t="str">
        <f t="shared" si="130"/>
        <v>Sat</v>
      </c>
    </row>
    <row r="1443" spans="1:22" hidden="1" x14ac:dyDescent="0.25">
      <c r="A1443" t="s">
        <v>486</v>
      </c>
      <c r="B1443" t="s">
        <v>34</v>
      </c>
      <c r="C1443" t="s">
        <v>9</v>
      </c>
      <c r="D1443" t="s">
        <v>12</v>
      </c>
      <c r="F1443" s="5">
        <v>44278</v>
      </c>
      <c r="G1443" s="5">
        <v>44294</v>
      </c>
      <c r="H1443" s="2">
        <v>1</v>
      </c>
      <c r="I1443" s="6"/>
      <c r="J1443" s="6" t="s">
        <v>3</v>
      </c>
      <c r="K1443" s="7">
        <v>1</v>
      </c>
      <c r="L1443" s="7">
        <v>448.26</v>
      </c>
      <c r="M1443" t="s">
        <v>18</v>
      </c>
      <c r="N1443" s="9"/>
      <c r="O1443" s="8">
        <f t="array" ref="O1443">INDEX(TechRate,MATCH(H1443,TechNum,0))</f>
        <v>80</v>
      </c>
      <c r="P1443" s="10">
        <f>WorkOrders278[[#This Row],[Techs]]*(WorkOrders278[[#This Row],[PartsCost]]*WorkOrders278[[#This Row],[LbrHrs]])</f>
        <v>448.26</v>
      </c>
      <c r="Q1443" s="10">
        <f t="shared" si="125"/>
        <v>448.26</v>
      </c>
      <c r="R1443" s="10">
        <f t="shared" si="126"/>
        <v>0</v>
      </c>
      <c r="S1443" s="10">
        <f t="shared" si="127"/>
        <v>896.52</v>
      </c>
      <c r="T1443" s="10">
        <f t="shared" si="128"/>
        <v>448.26</v>
      </c>
      <c r="U1443" s="8" t="str">
        <f t="shared" si="129"/>
        <v>Tue</v>
      </c>
      <c r="V1443" s="8" t="str">
        <f t="shared" si="130"/>
        <v>Thu</v>
      </c>
    </row>
    <row r="1444" spans="1:22" hidden="1" x14ac:dyDescent="0.25">
      <c r="A1444" t="s">
        <v>487</v>
      </c>
      <c r="B1444" t="s">
        <v>42</v>
      </c>
      <c r="C1444" t="s">
        <v>9</v>
      </c>
      <c r="D1444" t="s">
        <v>12</v>
      </c>
      <c r="F1444" s="5">
        <v>44278</v>
      </c>
      <c r="G1444" s="5">
        <v>44300</v>
      </c>
      <c r="H1444" s="2">
        <v>2</v>
      </c>
      <c r="I1444" s="6"/>
      <c r="J1444" s="6"/>
      <c r="K1444" s="7">
        <v>1</v>
      </c>
      <c r="L1444" s="7">
        <v>123.208</v>
      </c>
      <c r="M1444" t="s">
        <v>18</v>
      </c>
      <c r="N1444" s="9"/>
      <c r="O1444" s="8">
        <f t="array" ref="O1444">INDEX(TechRate,MATCH(H1444,TechNum,0))</f>
        <v>140</v>
      </c>
      <c r="P1444" s="10">
        <f>WorkOrders278[[#This Row],[Techs]]*(WorkOrders278[[#This Row],[PartsCost]]*WorkOrders278[[#This Row],[LbrHrs]])</f>
        <v>246.416</v>
      </c>
      <c r="Q1444" s="10">
        <f t="shared" si="125"/>
        <v>246.416</v>
      </c>
      <c r="R1444" s="10">
        <f t="shared" si="126"/>
        <v>123.208</v>
      </c>
      <c r="S1444" s="10">
        <f t="shared" si="127"/>
        <v>369.62400000000002</v>
      </c>
      <c r="T1444" s="10">
        <f t="shared" si="128"/>
        <v>369.62400000000002</v>
      </c>
      <c r="U1444" s="8" t="str">
        <f t="shared" si="129"/>
        <v>Tue</v>
      </c>
      <c r="V1444" s="8" t="str">
        <f t="shared" si="130"/>
        <v>Wed</v>
      </c>
    </row>
    <row r="1445" spans="1:22" hidden="1" x14ac:dyDescent="0.25">
      <c r="A1445" t="s">
        <v>488</v>
      </c>
      <c r="B1445" t="s">
        <v>34</v>
      </c>
      <c r="C1445" t="s">
        <v>8</v>
      </c>
      <c r="D1445" t="s">
        <v>11</v>
      </c>
      <c r="F1445" s="5">
        <v>44278</v>
      </c>
      <c r="G1445" s="5">
        <v>44298</v>
      </c>
      <c r="H1445" s="2">
        <v>1</v>
      </c>
      <c r="I1445" s="6"/>
      <c r="J1445" s="6"/>
      <c r="K1445" s="7">
        <v>0.25</v>
      </c>
      <c r="L1445" s="7">
        <v>77.290000000000006</v>
      </c>
      <c r="M1445" t="s">
        <v>18</v>
      </c>
      <c r="N1445" s="9"/>
      <c r="O1445" s="8">
        <f t="array" ref="O1445">INDEX(TechRate,MATCH(H1445,TechNum,0))</f>
        <v>80</v>
      </c>
      <c r="P1445" s="10">
        <f>WorkOrders278[[#This Row],[Techs]]*(WorkOrders278[[#This Row],[PartsCost]]*WorkOrders278[[#This Row],[LbrHrs]])</f>
        <v>19.322500000000002</v>
      </c>
      <c r="Q1445" s="10">
        <f t="shared" si="125"/>
        <v>19.322500000000002</v>
      </c>
      <c r="R1445" s="10">
        <f t="shared" si="126"/>
        <v>77.290000000000006</v>
      </c>
      <c r="S1445" s="10">
        <f t="shared" si="127"/>
        <v>96.612500000000011</v>
      </c>
      <c r="T1445" s="10">
        <f t="shared" si="128"/>
        <v>96.612500000000011</v>
      </c>
      <c r="U1445" s="8" t="str">
        <f t="shared" si="129"/>
        <v>Tue</v>
      </c>
      <c r="V1445" s="8" t="str">
        <f t="shared" si="130"/>
        <v>Mon</v>
      </c>
    </row>
    <row r="1446" spans="1:22" hidden="1" x14ac:dyDescent="0.25">
      <c r="A1446" t="s">
        <v>489</v>
      </c>
      <c r="B1446" t="s">
        <v>36</v>
      </c>
      <c r="C1446" t="s">
        <v>7</v>
      </c>
      <c r="D1446" t="s">
        <v>1</v>
      </c>
      <c r="F1446" s="5">
        <v>44278</v>
      </c>
      <c r="G1446" s="5">
        <v>44298</v>
      </c>
      <c r="H1446" s="2">
        <v>2</v>
      </c>
      <c r="I1446" s="6" t="s">
        <v>3</v>
      </c>
      <c r="J1446" s="6" t="s">
        <v>3</v>
      </c>
      <c r="K1446" s="7">
        <v>1</v>
      </c>
      <c r="L1446" s="7">
        <v>360</v>
      </c>
      <c r="M1446" t="s">
        <v>20</v>
      </c>
      <c r="N1446" s="9"/>
      <c r="O1446" s="8">
        <f t="array" ref="O1446">INDEX(TechRate,MATCH(H1446,TechNum,0))</f>
        <v>140</v>
      </c>
      <c r="P1446" s="10">
        <f>WorkOrders278[[#This Row],[Techs]]*(WorkOrders278[[#This Row],[PartsCost]]*WorkOrders278[[#This Row],[LbrHrs]])</f>
        <v>720</v>
      </c>
      <c r="Q1446" s="10">
        <f t="shared" si="125"/>
        <v>0</v>
      </c>
      <c r="R1446" s="10">
        <f t="shared" si="126"/>
        <v>0</v>
      </c>
      <c r="S1446" s="10">
        <f t="shared" si="127"/>
        <v>1080</v>
      </c>
      <c r="T1446" s="10">
        <f t="shared" si="128"/>
        <v>0</v>
      </c>
      <c r="U1446" s="8" t="str">
        <f t="shared" si="129"/>
        <v>Tue</v>
      </c>
      <c r="V1446" s="8" t="str">
        <f t="shared" si="130"/>
        <v>Mon</v>
      </c>
    </row>
    <row r="1447" spans="1:22" hidden="1" x14ac:dyDescent="0.25">
      <c r="A1447" t="s">
        <v>490</v>
      </c>
      <c r="B1447" t="s">
        <v>35</v>
      </c>
      <c r="C1447" t="s">
        <v>9</v>
      </c>
      <c r="D1447" t="s">
        <v>2</v>
      </c>
      <c r="F1447" s="5">
        <v>44278</v>
      </c>
      <c r="G1447" s="5">
        <v>44329</v>
      </c>
      <c r="H1447" s="2">
        <v>2</v>
      </c>
      <c r="I1447" s="6"/>
      <c r="J1447" s="6"/>
      <c r="K1447" s="7">
        <v>3.5</v>
      </c>
      <c r="L1447" s="7">
        <v>653.00080000000003</v>
      </c>
      <c r="M1447" t="s">
        <v>18</v>
      </c>
      <c r="N1447" s="9"/>
      <c r="O1447" s="8">
        <f t="array" ref="O1447">INDEX(TechRate,MATCH(H1447,TechNum,0))</f>
        <v>140</v>
      </c>
      <c r="P1447" s="10">
        <f>WorkOrders278[[#This Row],[Techs]]*(WorkOrders278[[#This Row],[PartsCost]]*WorkOrders278[[#This Row],[LbrHrs]])</f>
        <v>4571.0056000000004</v>
      </c>
      <c r="Q1447" s="10">
        <f t="shared" si="125"/>
        <v>4571.0056000000004</v>
      </c>
      <c r="R1447" s="10">
        <f t="shared" si="126"/>
        <v>653.00080000000003</v>
      </c>
      <c r="S1447" s="10">
        <f t="shared" si="127"/>
        <v>5224.0064000000002</v>
      </c>
      <c r="T1447" s="10">
        <f t="shared" si="128"/>
        <v>5224.0064000000002</v>
      </c>
      <c r="U1447" s="8" t="str">
        <f t="shared" si="129"/>
        <v>Tue</v>
      </c>
      <c r="V1447" s="8" t="str">
        <f t="shared" si="130"/>
        <v>Thu</v>
      </c>
    </row>
    <row r="1448" spans="1:22" hidden="1" x14ac:dyDescent="0.25">
      <c r="A1448" t="s">
        <v>491</v>
      </c>
      <c r="B1448" t="s">
        <v>37</v>
      </c>
      <c r="C1448" t="s">
        <v>43</v>
      </c>
      <c r="D1448" t="s">
        <v>1</v>
      </c>
      <c r="F1448" s="5">
        <v>44279</v>
      </c>
      <c r="G1448" s="5">
        <v>44292</v>
      </c>
      <c r="H1448" s="2">
        <v>1</v>
      </c>
      <c r="I1448" s="6"/>
      <c r="J1448" s="6"/>
      <c r="K1448" s="7">
        <v>1.5</v>
      </c>
      <c r="L1448" s="7">
        <v>118.3</v>
      </c>
      <c r="M1448" t="s">
        <v>17</v>
      </c>
      <c r="N1448" s="9"/>
      <c r="O1448" s="8">
        <f t="array" ref="O1448">INDEX(TechRate,MATCH(H1448,TechNum,0))</f>
        <v>80</v>
      </c>
      <c r="P1448" s="10">
        <f>WorkOrders278[[#This Row],[Techs]]*(WorkOrders278[[#This Row],[PartsCost]]*WorkOrders278[[#This Row],[LbrHrs]])</f>
        <v>177.45</v>
      </c>
      <c r="Q1448" s="10">
        <f t="shared" si="125"/>
        <v>177.45</v>
      </c>
      <c r="R1448" s="10">
        <f t="shared" si="126"/>
        <v>118.3</v>
      </c>
      <c r="S1448" s="10">
        <f t="shared" si="127"/>
        <v>295.75</v>
      </c>
      <c r="T1448" s="10">
        <f t="shared" si="128"/>
        <v>295.75</v>
      </c>
      <c r="U1448" s="8" t="str">
        <f t="shared" si="129"/>
        <v>Wed</v>
      </c>
      <c r="V1448" s="8" t="str">
        <f t="shared" si="130"/>
        <v>Tue</v>
      </c>
    </row>
    <row r="1449" spans="1:22" hidden="1" x14ac:dyDescent="0.25">
      <c r="A1449" t="s">
        <v>492</v>
      </c>
      <c r="B1449" t="s">
        <v>42</v>
      </c>
      <c r="C1449" t="s">
        <v>7</v>
      </c>
      <c r="D1449" t="s">
        <v>2</v>
      </c>
      <c r="F1449" s="5">
        <v>44279</v>
      </c>
      <c r="G1449" s="5">
        <v>44358</v>
      </c>
      <c r="H1449" s="2">
        <v>2</v>
      </c>
      <c r="I1449" s="6"/>
      <c r="J1449" s="6" t="s">
        <v>3</v>
      </c>
      <c r="K1449" s="7">
        <v>2.5</v>
      </c>
      <c r="L1449" s="7">
        <v>1480.3623</v>
      </c>
      <c r="M1449" t="s">
        <v>18</v>
      </c>
      <c r="N1449" s="9"/>
      <c r="O1449" s="8">
        <f t="array" ref="O1449">INDEX(TechRate,MATCH(H1449,TechNum,0))</f>
        <v>140</v>
      </c>
      <c r="P1449" s="10">
        <f>WorkOrders278[[#This Row],[Techs]]*(WorkOrders278[[#This Row],[PartsCost]]*WorkOrders278[[#This Row],[LbrHrs]])</f>
        <v>7401.8114999999998</v>
      </c>
      <c r="Q1449" s="10">
        <f t="shared" si="125"/>
        <v>7401.8114999999998</v>
      </c>
      <c r="R1449" s="10">
        <f t="shared" si="126"/>
        <v>0</v>
      </c>
      <c r="S1449" s="10">
        <f t="shared" si="127"/>
        <v>8882.1738000000005</v>
      </c>
      <c r="T1449" s="10">
        <f t="shared" si="128"/>
        <v>7401.8114999999998</v>
      </c>
      <c r="U1449" s="8" t="str">
        <f t="shared" si="129"/>
        <v>Wed</v>
      </c>
      <c r="V1449" s="8" t="str">
        <f t="shared" si="130"/>
        <v>Fri</v>
      </c>
    </row>
    <row r="1450" spans="1:22" hidden="1" x14ac:dyDescent="0.25">
      <c r="A1450" t="s">
        <v>493</v>
      </c>
      <c r="B1450" t="s">
        <v>40</v>
      </c>
      <c r="C1450" t="s">
        <v>7</v>
      </c>
      <c r="D1450" t="s">
        <v>2</v>
      </c>
      <c r="F1450" s="5">
        <v>44280</v>
      </c>
      <c r="G1450" s="5">
        <v>44327</v>
      </c>
      <c r="H1450" s="2">
        <v>2</v>
      </c>
      <c r="I1450" s="6"/>
      <c r="J1450" s="6"/>
      <c r="K1450" s="7">
        <v>2.5</v>
      </c>
      <c r="L1450" s="7">
        <v>837.1567</v>
      </c>
      <c r="M1450" t="s">
        <v>18</v>
      </c>
      <c r="N1450" s="9"/>
      <c r="O1450" s="8">
        <f t="array" ref="O1450">INDEX(TechRate,MATCH(H1450,TechNum,0))</f>
        <v>140</v>
      </c>
      <c r="P1450" s="10">
        <f>WorkOrders278[[#This Row],[Techs]]*(WorkOrders278[[#This Row],[PartsCost]]*WorkOrders278[[#This Row],[LbrHrs]])</f>
        <v>4185.7834999999995</v>
      </c>
      <c r="Q1450" s="10">
        <f t="shared" si="125"/>
        <v>4185.7834999999995</v>
      </c>
      <c r="R1450" s="10">
        <f t="shared" si="126"/>
        <v>837.1567</v>
      </c>
      <c r="S1450" s="10">
        <f t="shared" si="127"/>
        <v>5022.9401999999991</v>
      </c>
      <c r="T1450" s="10">
        <f t="shared" si="128"/>
        <v>5022.9401999999991</v>
      </c>
      <c r="U1450" s="8" t="str">
        <f t="shared" si="129"/>
        <v>Thu</v>
      </c>
      <c r="V1450" s="8" t="str">
        <f t="shared" si="130"/>
        <v>Tue</v>
      </c>
    </row>
    <row r="1451" spans="1:22" hidden="1" x14ac:dyDescent="0.25">
      <c r="A1451" t="s">
        <v>494</v>
      </c>
      <c r="B1451" t="s">
        <v>36</v>
      </c>
      <c r="C1451" t="s">
        <v>7</v>
      </c>
      <c r="D1451" t="s">
        <v>2</v>
      </c>
      <c r="F1451" s="5">
        <v>44282</v>
      </c>
      <c r="G1451" s="5">
        <v>44377</v>
      </c>
      <c r="H1451" s="2">
        <v>2</v>
      </c>
      <c r="I1451" s="6"/>
      <c r="J1451" s="6"/>
      <c r="K1451" s="7">
        <v>1.75</v>
      </c>
      <c r="L1451" s="7">
        <v>242.6396</v>
      </c>
      <c r="M1451" t="s">
        <v>18</v>
      </c>
      <c r="N1451" s="9"/>
      <c r="O1451" s="8">
        <f t="array" ref="O1451">INDEX(TechRate,MATCH(H1451,TechNum,0))</f>
        <v>140</v>
      </c>
      <c r="P1451" s="10">
        <f>WorkOrders278[[#This Row],[Techs]]*(WorkOrders278[[#This Row],[PartsCost]]*WorkOrders278[[#This Row],[LbrHrs]])</f>
        <v>849.23860000000002</v>
      </c>
      <c r="Q1451" s="10">
        <f t="shared" si="125"/>
        <v>849.23860000000002</v>
      </c>
      <c r="R1451" s="10">
        <f t="shared" si="126"/>
        <v>242.6396</v>
      </c>
      <c r="S1451" s="10">
        <f t="shared" si="127"/>
        <v>1091.8782000000001</v>
      </c>
      <c r="T1451" s="10">
        <f t="shared" si="128"/>
        <v>1091.8782000000001</v>
      </c>
      <c r="U1451" s="8" t="str">
        <f t="shared" si="129"/>
        <v>Sat</v>
      </c>
      <c r="V1451" s="8" t="str">
        <f t="shared" si="130"/>
        <v>Wed</v>
      </c>
    </row>
    <row r="1452" spans="1:22" hidden="1" x14ac:dyDescent="0.25">
      <c r="A1452" t="s">
        <v>495</v>
      </c>
      <c r="B1452" t="s">
        <v>39</v>
      </c>
      <c r="C1452" t="s">
        <v>44</v>
      </c>
      <c r="D1452" t="s">
        <v>2</v>
      </c>
      <c r="F1452" s="5">
        <v>44284</v>
      </c>
      <c r="G1452" s="5">
        <v>44293</v>
      </c>
      <c r="H1452" s="2">
        <v>1</v>
      </c>
      <c r="I1452" s="6"/>
      <c r="J1452" s="6" t="s">
        <v>3</v>
      </c>
      <c r="K1452" s="7">
        <v>2</v>
      </c>
      <c r="L1452" s="7">
        <v>262.02800000000002</v>
      </c>
      <c r="M1452" t="s">
        <v>18</v>
      </c>
      <c r="N1452" s="9"/>
      <c r="O1452" s="8">
        <f t="array" ref="O1452">INDEX(TechRate,MATCH(H1452,TechNum,0))</f>
        <v>80</v>
      </c>
      <c r="P1452" s="10">
        <f>WorkOrders278[[#This Row],[Techs]]*(WorkOrders278[[#This Row],[PartsCost]]*WorkOrders278[[#This Row],[LbrHrs]])</f>
        <v>524.05600000000004</v>
      </c>
      <c r="Q1452" s="10">
        <f t="shared" ref="Q1452:Q1502" si="131">IF(I1452="Yes",0,P1452)</f>
        <v>524.05600000000004</v>
      </c>
      <c r="R1452" s="10">
        <f t="shared" ref="R1452:R1502" si="132">IF(J1452="Yes",0,L1452)</f>
        <v>0</v>
      </c>
      <c r="S1452" s="10">
        <f t="shared" ref="S1452:S1502" si="133">SUM(L1452,P1452)</f>
        <v>786.08400000000006</v>
      </c>
      <c r="T1452" s="10">
        <f t="shared" ref="T1452:T1502" si="134">SUM(Q1452,R1452)</f>
        <v>524.05600000000004</v>
      </c>
      <c r="U1452" s="8" t="str">
        <f t="shared" ref="U1452:U1502" si="135">TEXT(F1452,"ddd")</f>
        <v>Mon</v>
      </c>
      <c r="V1452" s="8" t="str">
        <f t="shared" ref="V1452:V1502" si="136">TEXT(G1452,"ddd")</f>
        <v>Wed</v>
      </c>
    </row>
    <row r="1453" spans="1:22" hidden="1" x14ac:dyDescent="0.25">
      <c r="A1453" t="s">
        <v>496</v>
      </c>
      <c r="B1453" t="s">
        <v>39</v>
      </c>
      <c r="C1453" t="s">
        <v>8</v>
      </c>
      <c r="D1453" t="s">
        <v>1</v>
      </c>
      <c r="F1453" s="5">
        <v>44284</v>
      </c>
      <c r="G1453" s="5">
        <v>44375</v>
      </c>
      <c r="H1453" s="2">
        <v>1</v>
      </c>
      <c r="I1453" s="6"/>
      <c r="J1453" s="6"/>
      <c r="K1453" s="7">
        <v>1.75</v>
      </c>
      <c r="L1453" s="7">
        <v>473.60329999999999</v>
      </c>
      <c r="M1453" t="s">
        <v>18</v>
      </c>
      <c r="N1453" s="9"/>
      <c r="O1453" s="8">
        <f t="array" ref="O1453">INDEX(TechRate,MATCH(H1453,TechNum,0))</f>
        <v>80</v>
      </c>
      <c r="P1453" s="10">
        <f>WorkOrders278[[#This Row],[Techs]]*(WorkOrders278[[#This Row],[PartsCost]]*WorkOrders278[[#This Row],[LbrHrs]])</f>
        <v>828.80577500000004</v>
      </c>
      <c r="Q1453" s="10">
        <f t="shared" si="131"/>
        <v>828.80577500000004</v>
      </c>
      <c r="R1453" s="10">
        <f t="shared" si="132"/>
        <v>473.60329999999999</v>
      </c>
      <c r="S1453" s="10">
        <f t="shared" si="133"/>
        <v>1302.409075</v>
      </c>
      <c r="T1453" s="10">
        <f t="shared" si="134"/>
        <v>1302.409075</v>
      </c>
      <c r="U1453" s="8" t="str">
        <f t="shared" si="135"/>
        <v>Mon</v>
      </c>
      <c r="V1453" s="8" t="str">
        <f t="shared" si="136"/>
        <v>Mon</v>
      </c>
    </row>
    <row r="1454" spans="1:22" hidden="1" x14ac:dyDescent="0.25">
      <c r="A1454" t="s">
        <v>497</v>
      </c>
      <c r="B1454" t="s">
        <v>34</v>
      </c>
      <c r="C1454" t="s">
        <v>8</v>
      </c>
      <c r="D1454" t="s">
        <v>2</v>
      </c>
      <c r="F1454" s="5">
        <v>44285</v>
      </c>
      <c r="G1454" s="5">
        <v>44328</v>
      </c>
      <c r="H1454" s="2">
        <v>1</v>
      </c>
      <c r="I1454" s="6"/>
      <c r="J1454" s="6"/>
      <c r="K1454" s="7">
        <v>2.75</v>
      </c>
      <c r="L1454" s="7">
        <v>708.02269999999999</v>
      </c>
      <c r="M1454" t="s">
        <v>18</v>
      </c>
      <c r="N1454" s="9"/>
      <c r="O1454" s="8">
        <f t="array" ref="O1454">INDEX(TechRate,MATCH(H1454,TechNum,0))</f>
        <v>80</v>
      </c>
      <c r="P1454" s="10">
        <f>WorkOrders278[[#This Row],[Techs]]*(WorkOrders278[[#This Row],[PartsCost]]*WorkOrders278[[#This Row],[LbrHrs]])</f>
        <v>1947.0624250000001</v>
      </c>
      <c r="Q1454" s="10">
        <f t="shared" si="131"/>
        <v>1947.0624250000001</v>
      </c>
      <c r="R1454" s="10">
        <f t="shared" si="132"/>
        <v>708.02269999999999</v>
      </c>
      <c r="S1454" s="10">
        <f t="shared" si="133"/>
        <v>2655.0851250000001</v>
      </c>
      <c r="T1454" s="10">
        <f t="shared" si="134"/>
        <v>2655.0851250000001</v>
      </c>
      <c r="U1454" s="8" t="str">
        <f t="shared" si="135"/>
        <v>Tue</v>
      </c>
      <c r="V1454" s="8" t="str">
        <f t="shared" si="136"/>
        <v>Wed</v>
      </c>
    </row>
    <row r="1455" spans="1:22" hidden="1" x14ac:dyDescent="0.25">
      <c r="A1455" t="s">
        <v>498</v>
      </c>
      <c r="B1455" t="s">
        <v>34</v>
      </c>
      <c r="C1455" t="s">
        <v>9</v>
      </c>
      <c r="D1455" t="s">
        <v>13</v>
      </c>
      <c r="F1455" s="5">
        <v>44286</v>
      </c>
      <c r="G1455" s="5">
        <v>44292</v>
      </c>
      <c r="H1455" s="2">
        <v>1</v>
      </c>
      <c r="I1455" s="6"/>
      <c r="J1455" s="6"/>
      <c r="K1455" s="7">
        <v>0.5</v>
      </c>
      <c r="L1455" s="7">
        <v>13.321400000000001</v>
      </c>
      <c r="M1455" t="s">
        <v>18</v>
      </c>
      <c r="N1455" s="9"/>
      <c r="O1455" s="8">
        <f t="array" ref="O1455">INDEX(TechRate,MATCH(H1455,TechNum,0))</f>
        <v>80</v>
      </c>
      <c r="P1455" s="10">
        <f>WorkOrders278[[#This Row],[Techs]]*(WorkOrders278[[#This Row],[PartsCost]]*WorkOrders278[[#This Row],[LbrHrs]])</f>
        <v>6.6607000000000003</v>
      </c>
      <c r="Q1455" s="10">
        <f t="shared" si="131"/>
        <v>6.6607000000000003</v>
      </c>
      <c r="R1455" s="10">
        <f t="shared" si="132"/>
        <v>13.321400000000001</v>
      </c>
      <c r="S1455" s="10">
        <f t="shared" si="133"/>
        <v>19.982100000000003</v>
      </c>
      <c r="T1455" s="10">
        <f t="shared" si="134"/>
        <v>19.982100000000003</v>
      </c>
      <c r="U1455" s="8" t="str">
        <f t="shared" si="135"/>
        <v>Wed</v>
      </c>
      <c r="V1455" s="8" t="str">
        <f t="shared" si="136"/>
        <v>Tue</v>
      </c>
    </row>
    <row r="1456" spans="1:22" hidden="1" x14ac:dyDescent="0.25">
      <c r="A1456" t="s">
        <v>499</v>
      </c>
      <c r="B1456" t="s">
        <v>42</v>
      </c>
      <c r="C1456" t="s">
        <v>9</v>
      </c>
      <c r="D1456" t="s">
        <v>13</v>
      </c>
      <c r="E1456" t="s">
        <v>3</v>
      </c>
      <c r="F1456" s="5">
        <v>44286</v>
      </c>
      <c r="G1456" s="5">
        <v>44307</v>
      </c>
      <c r="H1456" s="2">
        <v>1</v>
      </c>
      <c r="I1456" s="6"/>
      <c r="J1456" s="6"/>
      <c r="K1456" s="7">
        <v>0.75</v>
      </c>
      <c r="L1456" s="7">
        <v>51.29</v>
      </c>
      <c r="M1456" t="s">
        <v>18</v>
      </c>
      <c r="N1456" s="9"/>
      <c r="O1456" s="8">
        <f t="array" ref="O1456">INDEX(TechRate,MATCH(H1456,TechNum,0))</f>
        <v>80</v>
      </c>
      <c r="P1456" s="10">
        <f>WorkOrders278[[#This Row],[Techs]]*(WorkOrders278[[#This Row],[PartsCost]]*WorkOrders278[[#This Row],[LbrHrs]])</f>
        <v>38.467500000000001</v>
      </c>
      <c r="Q1456" s="10">
        <f t="shared" si="131"/>
        <v>38.467500000000001</v>
      </c>
      <c r="R1456" s="10">
        <f t="shared" si="132"/>
        <v>51.29</v>
      </c>
      <c r="S1456" s="10">
        <f t="shared" si="133"/>
        <v>89.757499999999993</v>
      </c>
      <c r="T1456" s="10">
        <f t="shared" si="134"/>
        <v>89.757499999999993</v>
      </c>
      <c r="U1456" s="8" t="str">
        <f t="shared" si="135"/>
        <v>Wed</v>
      </c>
      <c r="V1456" s="8" t="str">
        <f t="shared" si="136"/>
        <v>Wed</v>
      </c>
    </row>
    <row r="1457" spans="1:22" hidden="1" x14ac:dyDescent="0.25">
      <c r="A1457" t="s">
        <v>500</v>
      </c>
      <c r="B1457" t="s">
        <v>36</v>
      </c>
      <c r="C1457" t="s">
        <v>7</v>
      </c>
      <c r="D1457" t="s">
        <v>11</v>
      </c>
      <c r="F1457" s="5">
        <v>44287</v>
      </c>
      <c r="G1457" s="5">
        <v>44302</v>
      </c>
      <c r="H1457" s="2">
        <v>1</v>
      </c>
      <c r="I1457" s="6"/>
      <c r="J1457" s="6"/>
      <c r="K1457" s="7">
        <v>0.25</v>
      </c>
      <c r="L1457" s="7">
        <v>89.5</v>
      </c>
      <c r="M1457" t="s">
        <v>17</v>
      </c>
      <c r="N1457" s="9"/>
      <c r="O1457" s="8">
        <f t="array" ref="O1457">INDEX(TechRate,MATCH(H1457,TechNum,0))</f>
        <v>80</v>
      </c>
      <c r="P1457" s="10">
        <f>WorkOrders278[[#This Row],[Techs]]*(WorkOrders278[[#This Row],[PartsCost]]*WorkOrders278[[#This Row],[LbrHrs]])</f>
        <v>22.375</v>
      </c>
      <c r="Q1457" s="10">
        <f t="shared" si="131"/>
        <v>22.375</v>
      </c>
      <c r="R1457" s="10">
        <f t="shared" si="132"/>
        <v>89.5</v>
      </c>
      <c r="S1457" s="10">
        <f t="shared" si="133"/>
        <v>111.875</v>
      </c>
      <c r="T1457" s="10">
        <f t="shared" si="134"/>
        <v>111.875</v>
      </c>
      <c r="U1457" s="8" t="str">
        <f t="shared" si="135"/>
        <v>Thu</v>
      </c>
      <c r="V1457" s="8" t="str">
        <f t="shared" si="136"/>
        <v>Fri</v>
      </c>
    </row>
    <row r="1458" spans="1:22" hidden="1" x14ac:dyDescent="0.25">
      <c r="A1458" t="s">
        <v>501</v>
      </c>
      <c r="B1458" t="s">
        <v>35</v>
      </c>
      <c r="C1458" t="s">
        <v>9</v>
      </c>
      <c r="D1458" t="s">
        <v>12</v>
      </c>
      <c r="F1458" s="5">
        <v>44287</v>
      </c>
      <c r="G1458" s="5">
        <v>44298</v>
      </c>
      <c r="H1458" s="2">
        <v>1</v>
      </c>
      <c r="I1458" s="6"/>
      <c r="J1458" s="6"/>
      <c r="K1458" s="7">
        <v>0.25</v>
      </c>
      <c r="L1458" s="7">
        <v>74.532399999999996</v>
      </c>
      <c r="M1458" t="s">
        <v>19</v>
      </c>
      <c r="N1458" s="9"/>
      <c r="O1458" s="8">
        <f t="array" ref="O1458">INDEX(TechRate,MATCH(H1458,TechNum,0))</f>
        <v>80</v>
      </c>
      <c r="P1458" s="10">
        <f>WorkOrders278[[#This Row],[Techs]]*(WorkOrders278[[#This Row],[PartsCost]]*WorkOrders278[[#This Row],[LbrHrs]])</f>
        <v>18.633099999999999</v>
      </c>
      <c r="Q1458" s="10">
        <f t="shared" si="131"/>
        <v>18.633099999999999</v>
      </c>
      <c r="R1458" s="10">
        <f t="shared" si="132"/>
        <v>74.532399999999996</v>
      </c>
      <c r="S1458" s="10">
        <f t="shared" si="133"/>
        <v>93.165499999999994</v>
      </c>
      <c r="T1458" s="10">
        <f t="shared" si="134"/>
        <v>93.165499999999994</v>
      </c>
      <c r="U1458" s="8" t="str">
        <f t="shared" si="135"/>
        <v>Thu</v>
      </c>
      <c r="V1458" s="8" t="str">
        <f t="shared" si="136"/>
        <v>Mon</v>
      </c>
    </row>
    <row r="1459" spans="1:22" hidden="1" x14ac:dyDescent="0.25">
      <c r="A1459" t="s">
        <v>502</v>
      </c>
      <c r="B1459" t="s">
        <v>36</v>
      </c>
      <c r="C1459" t="s">
        <v>7</v>
      </c>
      <c r="D1459" t="s">
        <v>2</v>
      </c>
      <c r="F1459" s="5">
        <v>44287</v>
      </c>
      <c r="G1459" s="5">
        <v>44298</v>
      </c>
      <c r="H1459" s="2">
        <v>2</v>
      </c>
      <c r="I1459" s="6"/>
      <c r="J1459" s="6"/>
      <c r="K1459" s="7">
        <v>1.5</v>
      </c>
      <c r="L1459" s="7">
        <v>64</v>
      </c>
      <c r="M1459" t="s">
        <v>17</v>
      </c>
      <c r="N1459" s="9"/>
      <c r="O1459" s="8">
        <f t="array" ref="O1459">INDEX(TechRate,MATCH(H1459,TechNum,0))</f>
        <v>140</v>
      </c>
      <c r="P1459" s="10">
        <f>WorkOrders278[[#This Row],[Techs]]*(WorkOrders278[[#This Row],[PartsCost]]*WorkOrders278[[#This Row],[LbrHrs]])</f>
        <v>192</v>
      </c>
      <c r="Q1459" s="10">
        <f t="shared" si="131"/>
        <v>192</v>
      </c>
      <c r="R1459" s="10">
        <f t="shared" si="132"/>
        <v>64</v>
      </c>
      <c r="S1459" s="10">
        <f t="shared" si="133"/>
        <v>256</v>
      </c>
      <c r="T1459" s="10">
        <f t="shared" si="134"/>
        <v>256</v>
      </c>
      <c r="U1459" s="8" t="str">
        <f t="shared" si="135"/>
        <v>Thu</v>
      </c>
      <c r="V1459" s="8" t="str">
        <f t="shared" si="136"/>
        <v>Mon</v>
      </c>
    </row>
    <row r="1460" spans="1:22" hidden="1" x14ac:dyDescent="0.25">
      <c r="A1460" t="s">
        <v>503</v>
      </c>
      <c r="B1460" t="s">
        <v>35</v>
      </c>
      <c r="C1460" t="s">
        <v>8</v>
      </c>
      <c r="D1460" t="s">
        <v>12</v>
      </c>
      <c r="E1460" t="s">
        <v>3</v>
      </c>
      <c r="F1460" s="5">
        <v>44287</v>
      </c>
      <c r="G1460" s="5">
        <v>44300</v>
      </c>
      <c r="H1460" s="2">
        <v>1</v>
      </c>
      <c r="I1460" s="6"/>
      <c r="J1460" s="6"/>
      <c r="K1460" s="7">
        <v>0.25</v>
      </c>
      <c r="L1460" s="7">
        <v>23.401</v>
      </c>
      <c r="M1460" t="s">
        <v>17</v>
      </c>
      <c r="N1460" s="9"/>
      <c r="O1460" s="8">
        <f t="array" ref="O1460">INDEX(TechRate,MATCH(H1460,TechNum,0))</f>
        <v>80</v>
      </c>
      <c r="P1460" s="10">
        <f>WorkOrders278[[#This Row],[Techs]]*(WorkOrders278[[#This Row],[PartsCost]]*WorkOrders278[[#This Row],[LbrHrs]])</f>
        <v>5.85025</v>
      </c>
      <c r="Q1460" s="10">
        <f t="shared" si="131"/>
        <v>5.85025</v>
      </c>
      <c r="R1460" s="10">
        <f t="shared" si="132"/>
        <v>23.401</v>
      </c>
      <c r="S1460" s="10">
        <f t="shared" si="133"/>
        <v>29.251249999999999</v>
      </c>
      <c r="T1460" s="10">
        <f t="shared" si="134"/>
        <v>29.251249999999999</v>
      </c>
      <c r="U1460" s="8" t="str">
        <f t="shared" si="135"/>
        <v>Thu</v>
      </c>
      <c r="V1460" s="8" t="str">
        <f t="shared" si="136"/>
        <v>Wed</v>
      </c>
    </row>
    <row r="1461" spans="1:22" hidden="1" x14ac:dyDescent="0.25">
      <c r="A1461" t="s">
        <v>504</v>
      </c>
      <c r="B1461" t="s">
        <v>40</v>
      </c>
      <c r="C1461" t="s">
        <v>7</v>
      </c>
      <c r="D1461" t="s">
        <v>12</v>
      </c>
      <c r="F1461" s="5">
        <v>44287</v>
      </c>
      <c r="G1461" s="5">
        <v>44312</v>
      </c>
      <c r="H1461" s="2">
        <v>2</v>
      </c>
      <c r="I1461" s="6"/>
      <c r="J1461" s="6"/>
      <c r="K1461" s="7">
        <v>0.25</v>
      </c>
      <c r="L1461" s="7">
        <v>17.13</v>
      </c>
      <c r="M1461" t="s">
        <v>17</v>
      </c>
      <c r="N1461" s="9"/>
      <c r="O1461" s="8">
        <f t="array" ref="O1461">INDEX(TechRate,MATCH(H1461,TechNum,0))</f>
        <v>140</v>
      </c>
      <c r="P1461" s="10">
        <f>WorkOrders278[[#This Row],[Techs]]*(WorkOrders278[[#This Row],[PartsCost]]*WorkOrders278[[#This Row],[LbrHrs]])</f>
        <v>8.5649999999999995</v>
      </c>
      <c r="Q1461" s="10">
        <f t="shared" si="131"/>
        <v>8.5649999999999995</v>
      </c>
      <c r="R1461" s="10">
        <f t="shared" si="132"/>
        <v>17.13</v>
      </c>
      <c r="S1461" s="10">
        <f t="shared" si="133"/>
        <v>25.695</v>
      </c>
      <c r="T1461" s="10">
        <f t="shared" si="134"/>
        <v>25.695</v>
      </c>
      <c r="U1461" s="8" t="str">
        <f t="shared" si="135"/>
        <v>Thu</v>
      </c>
      <c r="V1461" s="8" t="str">
        <f t="shared" si="136"/>
        <v>Mon</v>
      </c>
    </row>
    <row r="1462" spans="1:22" hidden="1" x14ac:dyDescent="0.25">
      <c r="A1462" t="s">
        <v>505</v>
      </c>
      <c r="B1462" t="s">
        <v>38</v>
      </c>
      <c r="C1462" t="s">
        <v>43</v>
      </c>
      <c r="D1462" t="s">
        <v>12</v>
      </c>
      <c r="F1462" s="5">
        <v>44287</v>
      </c>
      <c r="G1462" s="5">
        <v>44315</v>
      </c>
      <c r="H1462" s="2">
        <v>1</v>
      </c>
      <c r="I1462" s="6"/>
      <c r="J1462" s="6"/>
      <c r="K1462" s="7">
        <v>0.5</v>
      </c>
      <c r="L1462" s="7">
        <v>149.5</v>
      </c>
      <c r="M1462" t="s">
        <v>19</v>
      </c>
      <c r="N1462" s="9"/>
      <c r="O1462" s="8">
        <f t="array" ref="O1462">INDEX(TechRate,MATCH(H1462,TechNum,0))</f>
        <v>80</v>
      </c>
      <c r="P1462" s="10">
        <f>WorkOrders278[[#This Row],[Techs]]*(WorkOrders278[[#This Row],[PartsCost]]*WorkOrders278[[#This Row],[LbrHrs]])</f>
        <v>74.75</v>
      </c>
      <c r="Q1462" s="10">
        <f t="shared" si="131"/>
        <v>74.75</v>
      </c>
      <c r="R1462" s="10">
        <f t="shared" si="132"/>
        <v>149.5</v>
      </c>
      <c r="S1462" s="10">
        <f t="shared" si="133"/>
        <v>224.25</v>
      </c>
      <c r="T1462" s="10">
        <f t="shared" si="134"/>
        <v>224.25</v>
      </c>
      <c r="U1462" s="8" t="str">
        <f t="shared" si="135"/>
        <v>Thu</v>
      </c>
      <c r="V1462" s="8" t="str">
        <f t="shared" si="136"/>
        <v>Thu</v>
      </c>
    </row>
    <row r="1463" spans="1:22" hidden="1" x14ac:dyDescent="0.25">
      <c r="A1463" t="s">
        <v>506</v>
      </c>
      <c r="B1463" t="s">
        <v>35</v>
      </c>
      <c r="C1463" t="s">
        <v>9</v>
      </c>
      <c r="D1463" t="s">
        <v>12</v>
      </c>
      <c r="F1463" s="5">
        <v>44288</v>
      </c>
      <c r="G1463" s="5">
        <v>44312</v>
      </c>
      <c r="H1463" s="2">
        <v>1</v>
      </c>
      <c r="I1463" s="6"/>
      <c r="J1463" s="6"/>
      <c r="K1463" s="7">
        <v>0.5</v>
      </c>
      <c r="L1463" s="7">
        <v>163.197</v>
      </c>
      <c r="M1463" t="s">
        <v>19</v>
      </c>
      <c r="N1463" s="9"/>
      <c r="O1463" s="8">
        <f t="array" ref="O1463">INDEX(TechRate,MATCH(H1463,TechNum,0))</f>
        <v>80</v>
      </c>
      <c r="P1463" s="10">
        <f>WorkOrders278[[#This Row],[Techs]]*(WorkOrders278[[#This Row],[PartsCost]]*WorkOrders278[[#This Row],[LbrHrs]])</f>
        <v>81.598500000000001</v>
      </c>
      <c r="Q1463" s="10">
        <f t="shared" si="131"/>
        <v>81.598500000000001</v>
      </c>
      <c r="R1463" s="10">
        <f t="shared" si="132"/>
        <v>163.197</v>
      </c>
      <c r="S1463" s="10">
        <f t="shared" si="133"/>
        <v>244.7955</v>
      </c>
      <c r="T1463" s="10">
        <f t="shared" si="134"/>
        <v>244.7955</v>
      </c>
      <c r="U1463" s="8" t="str">
        <f t="shared" si="135"/>
        <v>Fri</v>
      </c>
      <c r="V1463" s="8" t="str">
        <f t="shared" si="136"/>
        <v>Mon</v>
      </c>
    </row>
    <row r="1464" spans="1:22" hidden="1" x14ac:dyDescent="0.25">
      <c r="A1464" t="s">
        <v>507</v>
      </c>
      <c r="B1464" t="s">
        <v>36</v>
      </c>
      <c r="C1464" t="s">
        <v>7</v>
      </c>
      <c r="D1464" t="s">
        <v>12</v>
      </c>
      <c r="F1464" s="5">
        <v>44289</v>
      </c>
      <c r="G1464" s="5">
        <v>44301</v>
      </c>
      <c r="H1464" s="2">
        <v>2</v>
      </c>
      <c r="I1464" s="6"/>
      <c r="J1464" s="6"/>
      <c r="K1464" s="7">
        <v>0.25</v>
      </c>
      <c r="L1464" s="7">
        <v>14.76</v>
      </c>
      <c r="M1464" t="s">
        <v>17</v>
      </c>
      <c r="N1464" s="9"/>
      <c r="O1464" s="8">
        <f t="array" ref="O1464">INDEX(TechRate,MATCH(H1464,TechNum,0))</f>
        <v>140</v>
      </c>
      <c r="P1464" s="10">
        <f>WorkOrders278[[#This Row],[Techs]]*(WorkOrders278[[#This Row],[PartsCost]]*WorkOrders278[[#This Row],[LbrHrs]])</f>
        <v>7.38</v>
      </c>
      <c r="Q1464" s="10">
        <f t="shared" si="131"/>
        <v>7.38</v>
      </c>
      <c r="R1464" s="10">
        <f t="shared" si="132"/>
        <v>14.76</v>
      </c>
      <c r="S1464" s="10">
        <f t="shared" si="133"/>
        <v>22.14</v>
      </c>
      <c r="T1464" s="10">
        <f t="shared" si="134"/>
        <v>22.14</v>
      </c>
      <c r="U1464" s="8" t="str">
        <f t="shared" si="135"/>
        <v>Sat</v>
      </c>
      <c r="V1464" s="8" t="str">
        <f t="shared" si="136"/>
        <v>Thu</v>
      </c>
    </row>
    <row r="1465" spans="1:22" hidden="1" x14ac:dyDescent="0.25">
      <c r="A1465" t="s">
        <v>508</v>
      </c>
      <c r="B1465" t="s">
        <v>39</v>
      </c>
      <c r="C1465" t="s">
        <v>44</v>
      </c>
      <c r="D1465" t="s">
        <v>12</v>
      </c>
      <c r="F1465" s="5">
        <v>44289</v>
      </c>
      <c r="G1465" s="5">
        <v>44313</v>
      </c>
      <c r="H1465" s="2">
        <v>1</v>
      </c>
      <c r="I1465" s="6"/>
      <c r="J1465" s="6"/>
      <c r="K1465" s="7">
        <v>0.75</v>
      </c>
      <c r="L1465" s="7">
        <v>21.33</v>
      </c>
      <c r="M1465" t="s">
        <v>17</v>
      </c>
      <c r="N1465" s="9"/>
      <c r="O1465" s="8">
        <f t="array" ref="O1465">INDEX(TechRate,MATCH(H1465,TechNum,0))</f>
        <v>80</v>
      </c>
      <c r="P1465" s="10">
        <f>WorkOrders278[[#This Row],[Techs]]*(WorkOrders278[[#This Row],[PartsCost]]*WorkOrders278[[#This Row],[LbrHrs]])</f>
        <v>15.997499999999999</v>
      </c>
      <c r="Q1465" s="10">
        <f t="shared" si="131"/>
        <v>15.997499999999999</v>
      </c>
      <c r="R1465" s="10">
        <f t="shared" si="132"/>
        <v>21.33</v>
      </c>
      <c r="S1465" s="10">
        <f t="shared" si="133"/>
        <v>37.327500000000001</v>
      </c>
      <c r="T1465" s="10">
        <f t="shared" si="134"/>
        <v>37.327500000000001</v>
      </c>
      <c r="U1465" s="8" t="str">
        <f t="shared" si="135"/>
        <v>Sat</v>
      </c>
      <c r="V1465" s="8" t="str">
        <f t="shared" si="136"/>
        <v>Tue</v>
      </c>
    </row>
    <row r="1466" spans="1:22" hidden="1" x14ac:dyDescent="0.25">
      <c r="A1466" t="s">
        <v>509</v>
      </c>
      <c r="B1466" t="s">
        <v>35</v>
      </c>
      <c r="C1466" t="s">
        <v>9</v>
      </c>
      <c r="D1466" t="s">
        <v>12</v>
      </c>
      <c r="F1466" s="5">
        <v>44289</v>
      </c>
      <c r="G1466" s="5">
        <v>44327</v>
      </c>
      <c r="H1466" s="2">
        <v>2</v>
      </c>
      <c r="I1466" s="6"/>
      <c r="J1466" s="6" t="s">
        <v>3</v>
      </c>
      <c r="K1466" s="7">
        <v>1</v>
      </c>
      <c r="L1466" s="7">
        <v>304.50729999999999</v>
      </c>
      <c r="M1466" t="s">
        <v>18</v>
      </c>
      <c r="N1466" s="9"/>
      <c r="O1466" s="8">
        <f t="array" ref="O1466">INDEX(TechRate,MATCH(H1466,TechNum,0))</f>
        <v>140</v>
      </c>
      <c r="P1466" s="10">
        <f>WorkOrders278[[#This Row],[Techs]]*(WorkOrders278[[#This Row],[PartsCost]]*WorkOrders278[[#This Row],[LbrHrs]])</f>
        <v>609.01459999999997</v>
      </c>
      <c r="Q1466" s="10">
        <f t="shared" si="131"/>
        <v>609.01459999999997</v>
      </c>
      <c r="R1466" s="10">
        <f t="shared" si="132"/>
        <v>0</v>
      </c>
      <c r="S1466" s="10">
        <f t="shared" si="133"/>
        <v>913.52189999999996</v>
      </c>
      <c r="T1466" s="10">
        <f t="shared" si="134"/>
        <v>609.01459999999997</v>
      </c>
      <c r="U1466" s="8" t="str">
        <f t="shared" si="135"/>
        <v>Sat</v>
      </c>
      <c r="V1466" s="8" t="str">
        <f t="shared" si="136"/>
        <v>Tue</v>
      </c>
    </row>
    <row r="1467" spans="1:22" hidden="1" x14ac:dyDescent="0.25">
      <c r="A1467" t="s">
        <v>510</v>
      </c>
      <c r="B1467" t="s">
        <v>41</v>
      </c>
      <c r="C1467" t="s">
        <v>8</v>
      </c>
      <c r="D1467" t="s">
        <v>12</v>
      </c>
      <c r="E1467" t="s">
        <v>3</v>
      </c>
      <c r="F1467" s="5">
        <v>44289</v>
      </c>
      <c r="G1467" s="5">
        <v>44327</v>
      </c>
      <c r="H1467" s="2">
        <v>1</v>
      </c>
      <c r="I1467" s="6"/>
      <c r="J1467" s="6"/>
      <c r="K1467" s="7">
        <v>0.5</v>
      </c>
      <c r="L1467" s="7">
        <v>36.3384</v>
      </c>
      <c r="M1467" t="s">
        <v>17</v>
      </c>
      <c r="N1467" s="9"/>
      <c r="O1467" s="8">
        <f t="array" ref="O1467">INDEX(TechRate,MATCH(H1467,TechNum,0))</f>
        <v>80</v>
      </c>
      <c r="P1467" s="10">
        <f>WorkOrders278[[#This Row],[Techs]]*(WorkOrders278[[#This Row],[PartsCost]]*WorkOrders278[[#This Row],[LbrHrs]])</f>
        <v>18.1692</v>
      </c>
      <c r="Q1467" s="10">
        <f t="shared" si="131"/>
        <v>18.1692</v>
      </c>
      <c r="R1467" s="10">
        <f t="shared" si="132"/>
        <v>36.3384</v>
      </c>
      <c r="S1467" s="10">
        <f t="shared" si="133"/>
        <v>54.507599999999996</v>
      </c>
      <c r="T1467" s="10">
        <f t="shared" si="134"/>
        <v>54.507599999999996</v>
      </c>
      <c r="U1467" s="8" t="str">
        <f t="shared" si="135"/>
        <v>Sat</v>
      </c>
      <c r="V1467" s="8" t="str">
        <f t="shared" si="136"/>
        <v>Tue</v>
      </c>
    </row>
    <row r="1468" spans="1:22" hidden="1" x14ac:dyDescent="0.25">
      <c r="A1468" t="s">
        <v>511</v>
      </c>
      <c r="B1468" t="s">
        <v>40</v>
      </c>
      <c r="C1468" t="s">
        <v>7</v>
      </c>
      <c r="D1468" t="s">
        <v>12</v>
      </c>
      <c r="F1468" s="5">
        <v>44291</v>
      </c>
      <c r="G1468" s="5">
        <v>44300</v>
      </c>
      <c r="H1468" s="2">
        <v>2</v>
      </c>
      <c r="I1468" s="6"/>
      <c r="J1468" s="6"/>
      <c r="K1468" s="7">
        <v>0.5</v>
      </c>
      <c r="L1468" s="7">
        <v>21.33</v>
      </c>
      <c r="M1468" t="s">
        <v>17</v>
      </c>
      <c r="N1468" s="9"/>
      <c r="O1468" s="8">
        <f t="array" ref="O1468">INDEX(TechRate,MATCH(H1468,TechNum,0))</f>
        <v>140</v>
      </c>
      <c r="P1468" s="10">
        <f>WorkOrders278[[#This Row],[Techs]]*(WorkOrders278[[#This Row],[PartsCost]]*WorkOrders278[[#This Row],[LbrHrs]])</f>
        <v>21.33</v>
      </c>
      <c r="Q1468" s="10">
        <f t="shared" si="131"/>
        <v>21.33</v>
      </c>
      <c r="R1468" s="10">
        <f t="shared" si="132"/>
        <v>21.33</v>
      </c>
      <c r="S1468" s="10">
        <f t="shared" si="133"/>
        <v>42.66</v>
      </c>
      <c r="T1468" s="10">
        <f t="shared" si="134"/>
        <v>42.66</v>
      </c>
      <c r="U1468" s="8" t="str">
        <f t="shared" si="135"/>
        <v>Mon</v>
      </c>
      <c r="V1468" s="8" t="str">
        <f t="shared" si="136"/>
        <v>Wed</v>
      </c>
    </row>
    <row r="1469" spans="1:22" hidden="1" x14ac:dyDescent="0.25">
      <c r="A1469" t="s">
        <v>512</v>
      </c>
      <c r="B1469" t="s">
        <v>36</v>
      </c>
      <c r="C1469" t="s">
        <v>7</v>
      </c>
      <c r="D1469" t="s">
        <v>13</v>
      </c>
      <c r="F1469" s="5">
        <v>44291</v>
      </c>
      <c r="G1469" s="5">
        <v>44309</v>
      </c>
      <c r="H1469" s="2">
        <v>2</v>
      </c>
      <c r="I1469" s="6"/>
      <c r="J1469" s="6"/>
      <c r="K1469" s="7">
        <v>0.5</v>
      </c>
      <c r="L1469" s="7">
        <v>392.02480000000003</v>
      </c>
      <c r="M1469" t="s">
        <v>18</v>
      </c>
      <c r="N1469" s="9"/>
      <c r="O1469" s="8">
        <f t="array" ref="O1469">INDEX(TechRate,MATCH(H1469,TechNum,0))</f>
        <v>140</v>
      </c>
      <c r="P1469" s="10">
        <f>WorkOrders278[[#This Row],[Techs]]*(WorkOrders278[[#This Row],[PartsCost]]*WorkOrders278[[#This Row],[LbrHrs]])</f>
        <v>392.02480000000003</v>
      </c>
      <c r="Q1469" s="10">
        <f t="shared" si="131"/>
        <v>392.02480000000003</v>
      </c>
      <c r="R1469" s="10">
        <f t="shared" si="132"/>
        <v>392.02480000000003</v>
      </c>
      <c r="S1469" s="10">
        <f t="shared" si="133"/>
        <v>784.04960000000005</v>
      </c>
      <c r="T1469" s="10">
        <f t="shared" si="134"/>
        <v>784.04960000000005</v>
      </c>
      <c r="U1469" s="8" t="str">
        <f t="shared" si="135"/>
        <v>Mon</v>
      </c>
      <c r="V1469" s="8" t="str">
        <f t="shared" si="136"/>
        <v>Fri</v>
      </c>
    </row>
    <row r="1470" spans="1:22" hidden="1" x14ac:dyDescent="0.25">
      <c r="A1470" t="s">
        <v>513</v>
      </c>
      <c r="B1470" t="s">
        <v>36</v>
      </c>
      <c r="C1470" t="s">
        <v>7</v>
      </c>
      <c r="D1470" t="s">
        <v>12</v>
      </c>
      <c r="F1470" s="5">
        <v>44291</v>
      </c>
      <c r="G1470" s="5">
        <v>44315</v>
      </c>
      <c r="H1470" s="2">
        <v>1</v>
      </c>
      <c r="I1470" s="6"/>
      <c r="J1470" s="6"/>
      <c r="K1470" s="7">
        <v>0.25</v>
      </c>
      <c r="L1470" s="7">
        <v>151.78790000000001</v>
      </c>
      <c r="M1470" t="s">
        <v>17</v>
      </c>
      <c r="N1470" s="9"/>
      <c r="O1470" s="8">
        <f t="array" ref="O1470">INDEX(TechRate,MATCH(H1470,TechNum,0))</f>
        <v>80</v>
      </c>
      <c r="P1470" s="10">
        <f>WorkOrders278[[#This Row],[Techs]]*(WorkOrders278[[#This Row],[PartsCost]]*WorkOrders278[[#This Row],[LbrHrs]])</f>
        <v>37.946975000000002</v>
      </c>
      <c r="Q1470" s="10">
        <f t="shared" si="131"/>
        <v>37.946975000000002</v>
      </c>
      <c r="R1470" s="10">
        <f t="shared" si="132"/>
        <v>151.78790000000001</v>
      </c>
      <c r="S1470" s="10">
        <f t="shared" si="133"/>
        <v>189.73487500000002</v>
      </c>
      <c r="T1470" s="10">
        <f t="shared" si="134"/>
        <v>189.73487500000002</v>
      </c>
      <c r="U1470" s="8" t="str">
        <f t="shared" si="135"/>
        <v>Mon</v>
      </c>
      <c r="V1470" s="8" t="str">
        <f t="shared" si="136"/>
        <v>Thu</v>
      </c>
    </row>
    <row r="1471" spans="1:22" hidden="1" x14ac:dyDescent="0.25">
      <c r="A1471" t="s">
        <v>514</v>
      </c>
      <c r="B1471" t="s">
        <v>35</v>
      </c>
      <c r="C1471" t="s">
        <v>44</v>
      </c>
      <c r="D1471" t="s">
        <v>12</v>
      </c>
      <c r="F1471" s="5">
        <v>44291</v>
      </c>
      <c r="G1471" s="5">
        <v>44328</v>
      </c>
      <c r="H1471" s="2">
        <v>1</v>
      </c>
      <c r="I1471" s="6"/>
      <c r="J1471" s="6"/>
      <c r="K1471" s="7">
        <v>0.25</v>
      </c>
      <c r="L1471" s="7">
        <v>30.1082</v>
      </c>
      <c r="M1471" t="s">
        <v>17</v>
      </c>
      <c r="N1471" s="9"/>
      <c r="O1471" s="8">
        <f t="array" ref="O1471">INDEX(TechRate,MATCH(H1471,TechNum,0))</f>
        <v>80</v>
      </c>
      <c r="P1471" s="10">
        <f>WorkOrders278[[#This Row],[Techs]]*(WorkOrders278[[#This Row],[PartsCost]]*WorkOrders278[[#This Row],[LbrHrs]])</f>
        <v>7.52705</v>
      </c>
      <c r="Q1471" s="10">
        <f t="shared" si="131"/>
        <v>7.52705</v>
      </c>
      <c r="R1471" s="10">
        <f t="shared" si="132"/>
        <v>30.1082</v>
      </c>
      <c r="S1471" s="10">
        <f t="shared" si="133"/>
        <v>37.635249999999999</v>
      </c>
      <c r="T1471" s="10">
        <f t="shared" si="134"/>
        <v>37.635249999999999</v>
      </c>
      <c r="U1471" s="8" t="str">
        <f t="shared" si="135"/>
        <v>Mon</v>
      </c>
      <c r="V1471" s="8" t="str">
        <f t="shared" si="136"/>
        <v>Wed</v>
      </c>
    </row>
    <row r="1472" spans="1:22" hidden="1" x14ac:dyDescent="0.25">
      <c r="A1472" t="s">
        <v>515</v>
      </c>
      <c r="B1472" t="s">
        <v>40</v>
      </c>
      <c r="C1472" t="s">
        <v>7</v>
      </c>
      <c r="D1472" t="s">
        <v>13</v>
      </c>
      <c r="F1472" s="5">
        <v>44291</v>
      </c>
      <c r="G1472" s="5">
        <v>44333</v>
      </c>
      <c r="H1472" s="2">
        <v>2</v>
      </c>
      <c r="I1472" s="6"/>
      <c r="J1472" s="6"/>
      <c r="K1472" s="7">
        <v>0.75</v>
      </c>
      <c r="L1472" s="7">
        <v>13.36</v>
      </c>
      <c r="M1472" t="s">
        <v>18</v>
      </c>
      <c r="N1472" s="9"/>
      <c r="O1472" s="8">
        <f t="array" ref="O1472">INDEX(TechRate,MATCH(H1472,TechNum,0))</f>
        <v>140</v>
      </c>
      <c r="P1472" s="10">
        <f>WorkOrders278[[#This Row],[Techs]]*(WorkOrders278[[#This Row],[PartsCost]]*WorkOrders278[[#This Row],[LbrHrs]])</f>
        <v>20.04</v>
      </c>
      <c r="Q1472" s="10">
        <f t="shared" si="131"/>
        <v>20.04</v>
      </c>
      <c r="R1472" s="10">
        <f t="shared" si="132"/>
        <v>13.36</v>
      </c>
      <c r="S1472" s="10">
        <f t="shared" si="133"/>
        <v>33.4</v>
      </c>
      <c r="T1472" s="10">
        <f t="shared" si="134"/>
        <v>33.4</v>
      </c>
      <c r="U1472" s="8" t="str">
        <f t="shared" si="135"/>
        <v>Mon</v>
      </c>
      <c r="V1472" s="8" t="str">
        <f t="shared" si="136"/>
        <v>Mon</v>
      </c>
    </row>
    <row r="1473" spans="1:22" hidden="1" x14ac:dyDescent="0.25">
      <c r="A1473" t="s">
        <v>516</v>
      </c>
      <c r="B1473" t="s">
        <v>34</v>
      </c>
      <c r="C1473" t="s">
        <v>44</v>
      </c>
      <c r="D1473" t="s">
        <v>2</v>
      </c>
      <c r="F1473" s="5">
        <v>44291</v>
      </c>
      <c r="G1473" s="5">
        <v>44362</v>
      </c>
      <c r="H1473" s="2">
        <v>1</v>
      </c>
      <c r="I1473" s="6"/>
      <c r="J1473" s="6"/>
      <c r="K1473" s="7">
        <v>4.25</v>
      </c>
      <c r="L1473" s="7">
        <v>21.33</v>
      </c>
      <c r="M1473" t="s">
        <v>17</v>
      </c>
      <c r="N1473" s="9"/>
      <c r="O1473" s="8">
        <f t="array" ref="O1473">INDEX(TechRate,MATCH(H1473,TechNum,0))</f>
        <v>80</v>
      </c>
      <c r="P1473" s="10">
        <f>WorkOrders278[[#This Row],[Techs]]*(WorkOrders278[[#This Row],[PartsCost]]*WorkOrders278[[#This Row],[LbrHrs]])</f>
        <v>90.652499999999989</v>
      </c>
      <c r="Q1473" s="10">
        <f t="shared" si="131"/>
        <v>90.652499999999989</v>
      </c>
      <c r="R1473" s="10">
        <f t="shared" si="132"/>
        <v>21.33</v>
      </c>
      <c r="S1473" s="10">
        <f t="shared" si="133"/>
        <v>111.98249999999999</v>
      </c>
      <c r="T1473" s="10">
        <f t="shared" si="134"/>
        <v>111.98249999999999</v>
      </c>
      <c r="U1473" s="8" t="str">
        <f t="shared" si="135"/>
        <v>Mon</v>
      </c>
      <c r="V1473" s="8" t="str">
        <f t="shared" si="136"/>
        <v>Tue</v>
      </c>
    </row>
    <row r="1474" spans="1:22" hidden="1" x14ac:dyDescent="0.25">
      <c r="A1474" t="s">
        <v>517</v>
      </c>
      <c r="B1474" t="s">
        <v>40</v>
      </c>
      <c r="C1474" t="s">
        <v>7</v>
      </c>
      <c r="D1474" t="s">
        <v>12</v>
      </c>
      <c r="E1474" t="s">
        <v>3</v>
      </c>
      <c r="F1474" s="5">
        <v>44292</v>
      </c>
      <c r="G1474" s="5">
        <v>44323</v>
      </c>
      <c r="H1474" s="2">
        <v>1</v>
      </c>
      <c r="I1474" s="6"/>
      <c r="J1474" s="6"/>
      <c r="K1474" s="7">
        <v>0.75</v>
      </c>
      <c r="L1474" s="7">
        <v>21.33</v>
      </c>
      <c r="M1474" t="s">
        <v>18</v>
      </c>
      <c r="N1474" s="9"/>
      <c r="O1474" s="8">
        <f t="array" ref="O1474">INDEX(TechRate,MATCH(H1474,TechNum,0))</f>
        <v>80</v>
      </c>
      <c r="P1474" s="10">
        <f>WorkOrders278[[#This Row],[Techs]]*(WorkOrders278[[#This Row],[PartsCost]]*WorkOrders278[[#This Row],[LbrHrs]])</f>
        <v>15.997499999999999</v>
      </c>
      <c r="Q1474" s="10">
        <f t="shared" si="131"/>
        <v>15.997499999999999</v>
      </c>
      <c r="R1474" s="10">
        <f t="shared" si="132"/>
        <v>21.33</v>
      </c>
      <c r="S1474" s="10">
        <f t="shared" si="133"/>
        <v>37.327500000000001</v>
      </c>
      <c r="T1474" s="10">
        <f t="shared" si="134"/>
        <v>37.327500000000001</v>
      </c>
      <c r="U1474" s="8" t="str">
        <f t="shared" si="135"/>
        <v>Tue</v>
      </c>
      <c r="V1474" s="8" t="str">
        <f t="shared" si="136"/>
        <v>Fri</v>
      </c>
    </row>
    <row r="1475" spans="1:22" hidden="1" x14ac:dyDescent="0.25">
      <c r="A1475" t="s">
        <v>518</v>
      </c>
      <c r="B1475" t="s">
        <v>40</v>
      </c>
      <c r="C1475" t="s">
        <v>7</v>
      </c>
      <c r="D1475" t="s">
        <v>11</v>
      </c>
      <c r="E1475" t="s">
        <v>3</v>
      </c>
      <c r="F1475" s="5">
        <v>44292</v>
      </c>
      <c r="G1475" s="5">
        <v>44326</v>
      </c>
      <c r="H1475" s="2">
        <v>1</v>
      </c>
      <c r="I1475" s="6"/>
      <c r="J1475" s="6"/>
      <c r="K1475" s="7">
        <v>0.25</v>
      </c>
      <c r="L1475" s="7">
        <v>21.6</v>
      </c>
      <c r="M1475" t="s">
        <v>17</v>
      </c>
      <c r="N1475" s="9"/>
      <c r="O1475" s="8">
        <f t="array" ref="O1475">INDEX(TechRate,MATCH(H1475,TechNum,0))</f>
        <v>80</v>
      </c>
      <c r="P1475" s="10">
        <f>WorkOrders278[[#This Row],[Techs]]*(WorkOrders278[[#This Row],[PartsCost]]*WorkOrders278[[#This Row],[LbrHrs]])</f>
        <v>5.4</v>
      </c>
      <c r="Q1475" s="10">
        <f t="shared" si="131"/>
        <v>5.4</v>
      </c>
      <c r="R1475" s="10">
        <f t="shared" si="132"/>
        <v>21.6</v>
      </c>
      <c r="S1475" s="10">
        <f t="shared" si="133"/>
        <v>27</v>
      </c>
      <c r="T1475" s="10">
        <f t="shared" si="134"/>
        <v>27</v>
      </c>
      <c r="U1475" s="8" t="str">
        <f t="shared" si="135"/>
        <v>Tue</v>
      </c>
      <c r="V1475" s="8" t="str">
        <f t="shared" si="136"/>
        <v>Mon</v>
      </c>
    </row>
    <row r="1476" spans="1:22" hidden="1" x14ac:dyDescent="0.25">
      <c r="A1476" t="s">
        <v>519</v>
      </c>
      <c r="B1476" t="s">
        <v>39</v>
      </c>
      <c r="C1476" t="s">
        <v>9</v>
      </c>
      <c r="D1476" t="s">
        <v>11</v>
      </c>
      <c r="E1476" t="s">
        <v>3</v>
      </c>
      <c r="F1476" s="5">
        <v>44292</v>
      </c>
      <c r="G1476" s="5">
        <v>44336</v>
      </c>
      <c r="H1476" s="2">
        <v>1</v>
      </c>
      <c r="I1476" s="6"/>
      <c r="J1476" s="6"/>
      <c r="K1476" s="7">
        <v>0.25</v>
      </c>
      <c r="L1476" s="7">
        <v>108.9568</v>
      </c>
      <c r="M1476" t="s">
        <v>18</v>
      </c>
      <c r="N1476" s="9"/>
      <c r="O1476" s="8">
        <f t="array" ref="O1476">INDEX(TechRate,MATCH(H1476,TechNum,0))</f>
        <v>80</v>
      </c>
      <c r="P1476" s="10">
        <f>WorkOrders278[[#This Row],[Techs]]*(WorkOrders278[[#This Row],[PartsCost]]*WorkOrders278[[#This Row],[LbrHrs]])</f>
        <v>27.2392</v>
      </c>
      <c r="Q1476" s="10">
        <f t="shared" si="131"/>
        <v>27.2392</v>
      </c>
      <c r="R1476" s="10">
        <f t="shared" si="132"/>
        <v>108.9568</v>
      </c>
      <c r="S1476" s="10">
        <f t="shared" si="133"/>
        <v>136.196</v>
      </c>
      <c r="T1476" s="10">
        <f t="shared" si="134"/>
        <v>136.196</v>
      </c>
      <c r="U1476" s="8" t="str">
        <f t="shared" si="135"/>
        <v>Tue</v>
      </c>
      <c r="V1476" s="8" t="str">
        <f t="shared" si="136"/>
        <v>Thu</v>
      </c>
    </row>
    <row r="1477" spans="1:22" hidden="1" x14ac:dyDescent="0.25">
      <c r="A1477" t="s">
        <v>520</v>
      </c>
      <c r="B1477" t="s">
        <v>38</v>
      </c>
      <c r="C1477" t="s">
        <v>8</v>
      </c>
      <c r="D1477" t="s">
        <v>11</v>
      </c>
      <c r="F1477" s="5">
        <v>44292</v>
      </c>
      <c r="G1477" s="5">
        <v>44341</v>
      </c>
      <c r="H1477" s="2">
        <v>1</v>
      </c>
      <c r="I1477" s="6"/>
      <c r="J1477" s="6"/>
      <c r="K1477" s="7">
        <v>0.25</v>
      </c>
      <c r="L1477" s="7">
        <v>42.66</v>
      </c>
      <c r="M1477" t="s">
        <v>19</v>
      </c>
      <c r="N1477" s="9"/>
      <c r="O1477" s="8">
        <f t="array" ref="O1477">INDEX(TechRate,MATCH(H1477,TechNum,0))</f>
        <v>80</v>
      </c>
      <c r="P1477" s="10">
        <f>WorkOrders278[[#This Row],[Techs]]*(WorkOrders278[[#This Row],[PartsCost]]*WorkOrders278[[#This Row],[LbrHrs]])</f>
        <v>10.664999999999999</v>
      </c>
      <c r="Q1477" s="10">
        <f t="shared" si="131"/>
        <v>10.664999999999999</v>
      </c>
      <c r="R1477" s="10">
        <f t="shared" si="132"/>
        <v>42.66</v>
      </c>
      <c r="S1477" s="10">
        <f t="shared" si="133"/>
        <v>53.324999999999996</v>
      </c>
      <c r="T1477" s="10">
        <f t="shared" si="134"/>
        <v>53.324999999999996</v>
      </c>
      <c r="U1477" s="8" t="str">
        <f t="shared" si="135"/>
        <v>Tue</v>
      </c>
      <c r="V1477" s="8" t="str">
        <f t="shared" si="136"/>
        <v>Tue</v>
      </c>
    </row>
    <row r="1478" spans="1:22" hidden="1" x14ac:dyDescent="0.25">
      <c r="A1478" t="s">
        <v>521</v>
      </c>
      <c r="B1478" t="s">
        <v>42</v>
      </c>
      <c r="C1478" t="s">
        <v>8</v>
      </c>
      <c r="D1478" t="s">
        <v>12</v>
      </c>
      <c r="F1478" s="5">
        <v>44292</v>
      </c>
      <c r="G1478" s="5">
        <v>44343</v>
      </c>
      <c r="H1478" s="2">
        <v>1</v>
      </c>
      <c r="I1478" s="6"/>
      <c r="J1478" s="6"/>
      <c r="K1478" s="7">
        <v>1.75</v>
      </c>
      <c r="L1478" s="7">
        <v>342.6</v>
      </c>
      <c r="M1478" t="s">
        <v>18</v>
      </c>
      <c r="N1478" s="9"/>
      <c r="O1478" s="8">
        <f t="array" ref="O1478">INDEX(TechRate,MATCH(H1478,TechNum,0))</f>
        <v>80</v>
      </c>
      <c r="P1478" s="10">
        <f>WorkOrders278[[#This Row],[Techs]]*(WorkOrders278[[#This Row],[PartsCost]]*WorkOrders278[[#This Row],[LbrHrs]])</f>
        <v>599.55000000000007</v>
      </c>
      <c r="Q1478" s="10">
        <f t="shared" si="131"/>
        <v>599.55000000000007</v>
      </c>
      <c r="R1478" s="10">
        <f t="shared" si="132"/>
        <v>342.6</v>
      </c>
      <c r="S1478" s="10">
        <f t="shared" si="133"/>
        <v>942.15000000000009</v>
      </c>
      <c r="T1478" s="10">
        <f t="shared" si="134"/>
        <v>942.15000000000009</v>
      </c>
      <c r="U1478" s="8" t="str">
        <f t="shared" si="135"/>
        <v>Tue</v>
      </c>
      <c r="V1478" s="8" t="str">
        <f t="shared" si="136"/>
        <v>Thu</v>
      </c>
    </row>
    <row r="1479" spans="1:22" hidden="1" x14ac:dyDescent="0.25">
      <c r="A1479" t="s">
        <v>522</v>
      </c>
      <c r="B1479" t="s">
        <v>41</v>
      </c>
      <c r="C1479" t="s">
        <v>8</v>
      </c>
      <c r="D1479" t="s">
        <v>13</v>
      </c>
      <c r="F1479" s="5">
        <v>44292</v>
      </c>
      <c r="G1479" s="5">
        <v>44376</v>
      </c>
      <c r="H1479" s="2">
        <v>2</v>
      </c>
      <c r="I1479" s="6"/>
      <c r="J1479" s="6"/>
      <c r="K1479" s="7">
        <v>0.75</v>
      </c>
      <c r="L1479" s="7">
        <v>40</v>
      </c>
      <c r="M1479" t="s">
        <v>19</v>
      </c>
      <c r="N1479" s="9"/>
      <c r="O1479" s="8">
        <f t="array" ref="O1479">INDEX(TechRate,MATCH(H1479,TechNum,0))</f>
        <v>140</v>
      </c>
      <c r="P1479" s="10">
        <f>WorkOrders278[[#This Row],[Techs]]*(WorkOrders278[[#This Row],[PartsCost]]*WorkOrders278[[#This Row],[LbrHrs]])</f>
        <v>60</v>
      </c>
      <c r="Q1479" s="10">
        <f t="shared" si="131"/>
        <v>60</v>
      </c>
      <c r="R1479" s="10">
        <f t="shared" si="132"/>
        <v>40</v>
      </c>
      <c r="S1479" s="10">
        <f t="shared" si="133"/>
        <v>100</v>
      </c>
      <c r="T1479" s="10">
        <f t="shared" si="134"/>
        <v>100</v>
      </c>
      <c r="U1479" s="8" t="str">
        <f t="shared" si="135"/>
        <v>Tue</v>
      </c>
      <c r="V1479" s="8" t="str">
        <f t="shared" si="136"/>
        <v>Tue</v>
      </c>
    </row>
    <row r="1480" spans="1:22" hidden="1" x14ac:dyDescent="0.25">
      <c r="A1480" t="s">
        <v>523</v>
      </c>
      <c r="B1480" t="s">
        <v>36</v>
      </c>
      <c r="C1480" t="s">
        <v>7</v>
      </c>
      <c r="D1480" t="s">
        <v>11</v>
      </c>
      <c r="E1480" t="s">
        <v>3</v>
      </c>
      <c r="F1480" s="5">
        <v>44293</v>
      </c>
      <c r="G1480" s="5">
        <v>44300</v>
      </c>
      <c r="H1480" s="2">
        <v>1</v>
      </c>
      <c r="I1480" s="6"/>
      <c r="J1480" s="6"/>
      <c r="K1480" s="7">
        <v>0.25</v>
      </c>
      <c r="L1480" s="7">
        <v>259.2</v>
      </c>
      <c r="M1480" t="s">
        <v>18</v>
      </c>
      <c r="N1480" s="9"/>
      <c r="O1480" s="8">
        <f t="array" ref="O1480">INDEX(TechRate,MATCH(H1480,TechNum,0))</f>
        <v>80</v>
      </c>
      <c r="P1480" s="10">
        <f>WorkOrders278[[#This Row],[Techs]]*(WorkOrders278[[#This Row],[PartsCost]]*WorkOrders278[[#This Row],[LbrHrs]])</f>
        <v>64.8</v>
      </c>
      <c r="Q1480" s="10">
        <f t="shared" si="131"/>
        <v>64.8</v>
      </c>
      <c r="R1480" s="10">
        <f t="shared" si="132"/>
        <v>259.2</v>
      </c>
      <c r="S1480" s="10">
        <f t="shared" si="133"/>
        <v>324</v>
      </c>
      <c r="T1480" s="10">
        <f t="shared" si="134"/>
        <v>324</v>
      </c>
      <c r="U1480" s="8" t="str">
        <f t="shared" si="135"/>
        <v>Wed</v>
      </c>
      <c r="V1480" s="8" t="str">
        <f t="shared" si="136"/>
        <v>Wed</v>
      </c>
    </row>
    <row r="1481" spans="1:22" hidden="1" x14ac:dyDescent="0.25">
      <c r="A1481" t="s">
        <v>524</v>
      </c>
      <c r="B1481" t="s">
        <v>36</v>
      </c>
      <c r="C1481" t="s">
        <v>7</v>
      </c>
      <c r="D1481" t="s">
        <v>12</v>
      </c>
      <c r="F1481" s="5">
        <v>44293</v>
      </c>
      <c r="G1481" s="5">
        <v>44314</v>
      </c>
      <c r="H1481" s="2">
        <v>2</v>
      </c>
      <c r="I1481" s="6"/>
      <c r="J1481" s="6"/>
      <c r="K1481" s="7">
        <v>0.25</v>
      </c>
      <c r="L1481" s="7">
        <v>26.582599999999999</v>
      </c>
      <c r="M1481" t="s">
        <v>17</v>
      </c>
      <c r="N1481" s="9"/>
      <c r="O1481" s="8">
        <f t="array" ref="O1481">INDEX(TechRate,MATCH(H1481,TechNum,0))</f>
        <v>140</v>
      </c>
      <c r="P1481" s="10">
        <f>WorkOrders278[[#This Row],[Techs]]*(WorkOrders278[[#This Row],[PartsCost]]*WorkOrders278[[#This Row],[LbrHrs]])</f>
        <v>13.2913</v>
      </c>
      <c r="Q1481" s="10">
        <f t="shared" si="131"/>
        <v>13.2913</v>
      </c>
      <c r="R1481" s="10">
        <f t="shared" si="132"/>
        <v>26.582599999999999</v>
      </c>
      <c r="S1481" s="10">
        <f t="shared" si="133"/>
        <v>39.873899999999999</v>
      </c>
      <c r="T1481" s="10">
        <f t="shared" si="134"/>
        <v>39.873899999999999</v>
      </c>
      <c r="U1481" s="8" t="str">
        <f t="shared" si="135"/>
        <v>Wed</v>
      </c>
      <c r="V1481" s="8" t="str">
        <f t="shared" si="136"/>
        <v>Wed</v>
      </c>
    </row>
    <row r="1482" spans="1:22" hidden="1" x14ac:dyDescent="0.25">
      <c r="A1482" t="s">
        <v>525</v>
      </c>
      <c r="B1482" t="s">
        <v>37</v>
      </c>
      <c r="C1482" t="s">
        <v>44</v>
      </c>
      <c r="D1482" t="s">
        <v>12</v>
      </c>
      <c r="F1482" s="5">
        <v>44293</v>
      </c>
      <c r="G1482" s="5">
        <v>44315</v>
      </c>
      <c r="H1482" s="2">
        <v>1</v>
      </c>
      <c r="I1482" s="6"/>
      <c r="J1482" s="6"/>
      <c r="K1482" s="7">
        <v>0.25</v>
      </c>
      <c r="L1482" s="7">
        <v>52.019799999999996</v>
      </c>
      <c r="M1482" t="s">
        <v>17</v>
      </c>
      <c r="N1482" s="9"/>
      <c r="O1482" s="8">
        <f t="array" ref="O1482">INDEX(TechRate,MATCH(H1482,TechNum,0))</f>
        <v>80</v>
      </c>
      <c r="P1482" s="10">
        <f>WorkOrders278[[#This Row],[Techs]]*(WorkOrders278[[#This Row],[PartsCost]]*WorkOrders278[[#This Row],[LbrHrs]])</f>
        <v>13.004949999999999</v>
      </c>
      <c r="Q1482" s="10">
        <f t="shared" si="131"/>
        <v>13.004949999999999</v>
      </c>
      <c r="R1482" s="10">
        <f t="shared" si="132"/>
        <v>52.019799999999996</v>
      </c>
      <c r="S1482" s="10">
        <f t="shared" si="133"/>
        <v>65.024749999999997</v>
      </c>
      <c r="T1482" s="10">
        <f t="shared" si="134"/>
        <v>65.024749999999997</v>
      </c>
      <c r="U1482" s="8" t="str">
        <f t="shared" si="135"/>
        <v>Wed</v>
      </c>
      <c r="V1482" s="8" t="str">
        <f t="shared" si="136"/>
        <v>Thu</v>
      </c>
    </row>
    <row r="1483" spans="1:22" hidden="1" x14ac:dyDescent="0.25">
      <c r="A1483" t="s">
        <v>526</v>
      </c>
      <c r="B1483" t="s">
        <v>36</v>
      </c>
      <c r="C1483" t="s">
        <v>7</v>
      </c>
      <c r="D1483" t="s">
        <v>13</v>
      </c>
      <c r="F1483" s="5">
        <v>44293</v>
      </c>
      <c r="G1483" s="5">
        <v>44315</v>
      </c>
      <c r="H1483" s="2">
        <v>2</v>
      </c>
      <c r="I1483" s="6" t="s">
        <v>3</v>
      </c>
      <c r="J1483" s="6" t="s">
        <v>3</v>
      </c>
      <c r="K1483" s="7">
        <v>0.5</v>
      </c>
      <c r="L1483" s="7">
        <v>181.15710000000001</v>
      </c>
      <c r="M1483" t="s">
        <v>20</v>
      </c>
      <c r="N1483" s="9"/>
      <c r="O1483" s="8">
        <f t="array" ref="O1483">INDEX(TechRate,MATCH(H1483,TechNum,0))</f>
        <v>140</v>
      </c>
      <c r="P1483" s="10">
        <f>WorkOrders278[[#This Row],[Techs]]*(WorkOrders278[[#This Row],[PartsCost]]*WorkOrders278[[#This Row],[LbrHrs]])</f>
        <v>181.15710000000001</v>
      </c>
      <c r="Q1483" s="10">
        <f t="shared" si="131"/>
        <v>0</v>
      </c>
      <c r="R1483" s="10">
        <f t="shared" si="132"/>
        <v>0</v>
      </c>
      <c r="S1483" s="10">
        <f t="shared" si="133"/>
        <v>362.31420000000003</v>
      </c>
      <c r="T1483" s="10">
        <f t="shared" si="134"/>
        <v>0</v>
      </c>
      <c r="U1483" s="8" t="str">
        <f t="shared" si="135"/>
        <v>Wed</v>
      </c>
      <c r="V1483" s="8" t="str">
        <f t="shared" si="136"/>
        <v>Thu</v>
      </c>
    </row>
    <row r="1484" spans="1:22" hidden="1" x14ac:dyDescent="0.25">
      <c r="A1484" t="s">
        <v>527</v>
      </c>
      <c r="B1484" t="s">
        <v>34</v>
      </c>
      <c r="C1484" t="s">
        <v>8</v>
      </c>
      <c r="D1484" t="s">
        <v>2</v>
      </c>
      <c r="F1484" s="5">
        <v>44293</v>
      </c>
      <c r="G1484" s="5">
        <v>44327</v>
      </c>
      <c r="H1484" s="2">
        <v>2</v>
      </c>
      <c r="I1484" s="6"/>
      <c r="J1484" s="6"/>
      <c r="K1484" s="7">
        <v>2</v>
      </c>
      <c r="L1484" s="7">
        <v>2050.6</v>
      </c>
      <c r="M1484" t="s">
        <v>17</v>
      </c>
      <c r="N1484" s="9"/>
      <c r="O1484" s="8">
        <f t="array" ref="O1484">INDEX(TechRate,MATCH(H1484,TechNum,0))</f>
        <v>140</v>
      </c>
      <c r="P1484" s="10">
        <f>WorkOrders278[[#This Row],[Techs]]*(WorkOrders278[[#This Row],[PartsCost]]*WorkOrders278[[#This Row],[LbrHrs]])</f>
        <v>8202.4</v>
      </c>
      <c r="Q1484" s="10">
        <f t="shared" si="131"/>
        <v>8202.4</v>
      </c>
      <c r="R1484" s="10">
        <f t="shared" si="132"/>
        <v>2050.6</v>
      </c>
      <c r="S1484" s="10">
        <f t="shared" si="133"/>
        <v>10253</v>
      </c>
      <c r="T1484" s="10">
        <f t="shared" si="134"/>
        <v>10253</v>
      </c>
      <c r="U1484" s="8" t="str">
        <f t="shared" si="135"/>
        <v>Wed</v>
      </c>
      <c r="V1484" s="8" t="str">
        <f t="shared" si="136"/>
        <v>Tue</v>
      </c>
    </row>
    <row r="1485" spans="1:22" hidden="1" x14ac:dyDescent="0.25">
      <c r="A1485" t="s">
        <v>528</v>
      </c>
      <c r="B1485" t="s">
        <v>41</v>
      </c>
      <c r="C1485" t="s">
        <v>7</v>
      </c>
      <c r="D1485" t="s">
        <v>12</v>
      </c>
      <c r="F1485" s="5">
        <v>44293</v>
      </c>
      <c r="G1485" s="5"/>
      <c r="H1485" s="2">
        <v>2</v>
      </c>
      <c r="I1485" s="6"/>
      <c r="J1485" s="6" t="s">
        <v>3</v>
      </c>
      <c r="K1485" s="7"/>
      <c r="L1485" s="7">
        <v>1587.2547999999999</v>
      </c>
      <c r="M1485" t="s">
        <v>18</v>
      </c>
      <c r="N1485" s="9"/>
      <c r="O1485" s="8">
        <f t="array" ref="O1485">INDEX(TechRate,MATCH(H1485,TechNum,0))</f>
        <v>140</v>
      </c>
      <c r="P1485" s="10">
        <f>WorkOrders278[[#This Row],[Techs]]*(WorkOrders278[[#This Row],[PartsCost]]*WorkOrders278[[#This Row],[LbrHrs]])</f>
        <v>0</v>
      </c>
      <c r="Q1485" s="10">
        <f t="shared" si="131"/>
        <v>0</v>
      </c>
      <c r="R1485" s="10">
        <f t="shared" si="132"/>
        <v>0</v>
      </c>
      <c r="S1485" s="10">
        <f t="shared" si="133"/>
        <v>1587.2547999999999</v>
      </c>
      <c r="T1485" s="10">
        <f t="shared" si="134"/>
        <v>0</v>
      </c>
      <c r="U1485" s="8" t="str">
        <f t="shared" si="135"/>
        <v>Wed</v>
      </c>
      <c r="V1485" s="8" t="str">
        <f t="shared" si="136"/>
        <v>Sat</v>
      </c>
    </row>
    <row r="1486" spans="1:22" hidden="1" x14ac:dyDescent="0.25">
      <c r="A1486" t="s">
        <v>529</v>
      </c>
      <c r="B1486" t="s">
        <v>36</v>
      </c>
      <c r="C1486" t="s">
        <v>7</v>
      </c>
      <c r="D1486" t="s">
        <v>13</v>
      </c>
      <c r="F1486" s="5">
        <v>44294</v>
      </c>
      <c r="G1486" s="5">
        <v>44308</v>
      </c>
      <c r="H1486" s="2">
        <v>2</v>
      </c>
      <c r="I1486" s="6"/>
      <c r="J1486" s="6"/>
      <c r="K1486" s="7">
        <v>0.75</v>
      </c>
      <c r="L1486" s="7">
        <v>158</v>
      </c>
      <c r="M1486" t="s">
        <v>17</v>
      </c>
      <c r="N1486" s="9"/>
      <c r="O1486" s="8">
        <f t="array" ref="O1486">INDEX(TechRate,MATCH(H1486,TechNum,0))</f>
        <v>140</v>
      </c>
      <c r="P1486" s="10">
        <f>WorkOrders278[[#This Row],[Techs]]*(WorkOrders278[[#This Row],[PartsCost]]*WorkOrders278[[#This Row],[LbrHrs]])</f>
        <v>237</v>
      </c>
      <c r="Q1486" s="10">
        <f t="shared" si="131"/>
        <v>237</v>
      </c>
      <c r="R1486" s="10">
        <f t="shared" si="132"/>
        <v>158</v>
      </c>
      <c r="S1486" s="10">
        <f t="shared" si="133"/>
        <v>395</v>
      </c>
      <c r="T1486" s="10">
        <f t="shared" si="134"/>
        <v>395</v>
      </c>
      <c r="U1486" s="8" t="str">
        <f t="shared" si="135"/>
        <v>Thu</v>
      </c>
      <c r="V1486" s="8" t="str">
        <f t="shared" si="136"/>
        <v>Thu</v>
      </c>
    </row>
    <row r="1487" spans="1:22" hidden="1" x14ac:dyDescent="0.25">
      <c r="A1487" t="s">
        <v>530</v>
      </c>
      <c r="B1487" t="s">
        <v>34</v>
      </c>
      <c r="C1487" t="s">
        <v>8</v>
      </c>
      <c r="D1487" t="s">
        <v>11</v>
      </c>
      <c r="F1487" s="5">
        <v>44294</v>
      </c>
      <c r="G1487" s="5">
        <v>44314</v>
      </c>
      <c r="H1487" s="2">
        <v>1</v>
      </c>
      <c r="I1487" s="6" t="s">
        <v>3</v>
      </c>
      <c r="J1487" s="6" t="s">
        <v>3</v>
      </c>
      <c r="K1487" s="7">
        <v>0.25</v>
      </c>
      <c r="L1487" s="7">
        <v>30</v>
      </c>
      <c r="M1487" t="s">
        <v>20</v>
      </c>
      <c r="N1487" s="9"/>
      <c r="O1487" s="8">
        <f t="array" ref="O1487">INDEX(TechRate,MATCH(H1487,TechNum,0))</f>
        <v>80</v>
      </c>
      <c r="P1487" s="10">
        <f>WorkOrders278[[#This Row],[Techs]]*(WorkOrders278[[#This Row],[PartsCost]]*WorkOrders278[[#This Row],[LbrHrs]])</f>
        <v>7.5</v>
      </c>
      <c r="Q1487" s="10">
        <f t="shared" si="131"/>
        <v>0</v>
      </c>
      <c r="R1487" s="10">
        <f t="shared" si="132"/>
        <v>0</v>
      </c>
      <c r="S1487" s="10">
        <f t="shared" si="133"/>
        <v>37.5</v>
      </c>
      <c r="T1487" s="10">
        <f t="shared" si="134"/>
        <v>0</v>
      </c>
      <c r="U1487" s="8" t="str">
        <f t="shared" si="135"/>
        <v>Thu</v>
      </c>
      <c r="V1487" s="8" t="str">
        <f t="shared" si="136"/>
        <v>Wed</v>
      </c>
    </row>
    <row r="1488" spans="1:22" hidden="1" x14ac:dyDescent="0.25">
      <c r="A1488" t="s">
        <v>531</v>
      </c>
      <c r="B1488" t="s">
        <v>41</v>
      </c>
      <c r="C1488" t="s">
        <v>9</v>
      </c>
      <c r="D1488" t="s">
        <v>2</v>
      </c>
      <c r="F1488" s="5">
        <v>44294</v>
      </c>
      <c r="G1488" s="5">
        <v>44315</v>
      </c>
      <c r="H1488" s="2">
        <v>2</v>
      </c>
      <c r="I1488" s="6"/>
      <c r="J1488" s="6" t="s">
        <v>3</v>
      </c>
      <c r="K1488" s="7">
        <v>1</v>
      </c>
      <c r="L1488" s="7">
        <v>54.28</v>
      </c>
      <c r="M1488" t="s">
        <v>18</v>
      </c>
      <c r="N1488" s="9"/>
      <c r="O1488" s="8">
        <f t="array" ref="O1488">INDEX(TechRate,MATCH(H1488,TechNum,0))</f>
        <v>140</v>
      </c>
      <c r="P1488" s="10">
        <f>WorkOrders278[[#This Row],[Techs]]*(WorkOrders278[[#This Row],[PartsCost]]*WorkOrders278[[#This Row],[LbrHrs]])</f>
        <v>108.56</v>
      </c>
      <c r="Q1488" s="10">
        <f t="shared" si="131"/>
        <v>108.56</v>
      </c>
      <c r="R1488" s="10">
        <f t="shared" si="132"/>
        <v>0</v>
      </c>
      <c r="S1488" s="10">
        <f t="shared" si="133"/>
        <v>162.84</v>
      </c>
      <c r="T1488" s="10">
        <f t="shared" si="134"/>
        <v>108.56</v>
      </c>
      <c r="U1488" s="8" t="str">
        <f t="shared" si="135"/>
        <v>Thu</v>
      </c>
      <c r="V1488" s="8" t="str">
        <f t="shared" si="136"/>
        <v>Thu</v>
      </c>
    </row>
    <row r="1489" spans="1:22" hidden="1" x14ac:dyDescent="0.25">
      <c r="A1489" t="s">
        <v>532</v>
      </c>
      <c r="B1489" t="s">
        <v>36</v>
      </c>
      <c r="C1489" t="s">
        <v>7</v>
      </c>
      <c r="D1489" t="s">
        <v>11</v>
      </c>
      <c r="E1489" t="s">
        <v>3</v>
      </c>
      <c r="F1489" s="5">
        <v>44294</v>
      </c>
      <c r="G1489" s="5">
        <v>44319</v>
      </c>
      <c r="H1489" s="2">
        <v>1</v>
      </c>
      <c r="I1489" s="6"/>
      <c r="J1489" s="6"/>
      <c r="K1489" s="7">
        <v>0.25</v>
      </c>
      <c r="L1489" s="7">
        <v>85.32</v>
      </c>
      <c r="M1489" t="s">
        <v>18</v>
      </c>
      <c r="N1489" s="9"/>
      <c r="O1489" s="8">
        <f t="array" ref="O1489">INDEX(TechRate,MATCH(H1489,TechNum,0))</f>
        <v>80</v>
      </c>
      <c r="P1489" s="10">
        <f>WorkOrders278[[#This Row],[Techs]]*(WorkOrders278[[#This Row],[PartsCost]]*WorkOrders278[[#This Row],[LbrHrs]])</f>
        <v>21.33</v>
      </c>
      <c r="Q1489" s="10">
        <f t="shared" si="131"/>
        <v>21.33</v>
      </c>
      <c r="R1489" s="10">
        <f t="shared" si="132"/>
        <v>85.32</v>
      </c>
      <c r="S1489" s="10">
        <f t="shared" si="133"/>
        <v>106.64999999999999</v>
      </c>
      <c r="T1489" s="10">
        <f t="shared" si="134"/>
        <v>106.64999999999999</v>
      </c>
      <c r="U1489" s="8" t="str">
        <f t="shared" si="135"/>
        <v>Thu</v>
      </c>
      <c r="V1489" s="8" t="str">
        <f t="shared" si="136"/>
        <v>Mon</v>
      </c>
    </row>
    <row r="1490" spans="1:22" hidden="1" x14ac:dyDescent="0.25">
      <c r="A1490" t="s">
        <v>533</v>
      </c>
      <c r="B1490" t="s">
        <v>41</v>
      </c>
      <c r="C1490" t="s">
        <v>7</v>
      </c>
      <c r="D1490" t="s">
        <v>12</v>
      </c>
      <c r="F1490" s="5">
        <v>44294</v>
      </c>
      <c r="G1490" s="5">
        <v>44329</v>
      </c>
      <c r="H1490" s="2">
        <v>2</v>
      </c>
      <c r="I1490" s="6"/>
      <c r="J1490" s="6"/>
      <c r="K1490" s="7">
        <v>0.25</v>
      </c>
      <c r="L1490" s="7">
        <v>30</v>
      </c>
      <c r="M1490" t="s">
        <v>18</v>
      </c>
      <c r="N1490" s="9"/>
      <c r="O1490" s="8">
        <f t="array" ref="O1490">INDEX(TechRate,MATCH(H1490,TechNum,0))</f>
        <v>140</v>
      </c>
      <c r="P1490" s="10">
        <f>WorkOrders278[[#This Row],[Techs]]*(WorkOrders278[[#This Row],[PartsCost]]*WorkOrders278[[#This Row],[LbrHrs]])</f>
        <v>15</v>
      </c>
      <c r="Q1490" s="10">
        <f t="shared" si="131"/>
        <v>15</v>
      </c>
      <c r="R1490" s="10">
        <f t="shared" si="132"/>
        <v>30</v>
      </c>
      <c r="S1490" s="10">
        <f t="shared" si="133"/>
        <v>45</v>
      </c>
      <c r="T1490" s="10">
        <f t="shared" si="134"/>
        <v>45</v>
      </c>
      <c r="U1490" s="8" t="str">
        <f t="shared" si="135"/>
        <v>Thu</v>
      </c>
      <c r="V1490" s="8" t="str">
        <f t="shared" si="136"/>
        <v>Thu</v>
      </c>
    </row>
    <row r="1491" spans="1:22" hidden="1" x14ac:dyDescent="0.25">
      <c r="A1491" t="s">
        <v>534</v>
      </c>
      <c r="B1491" t="s">
        <v>35</v>
      </c>
      <c r="C1491" t="s">
        <v>44</v>
      </c>
      <c r="D1491" t="s">
        <v>12</v>
      </c>
      <c r="E1491" t="s">
        <v>3</v>
      </c>
      <c r="F1491" s="5">
        <v>44294</v>
      </c>
      <c r="G1491" s="5">
        <v>44337</v>
      </c>
      <c r="H1491" s="2">
        <v>2</v>
      </c>
      <c r="I1491" s="6"/>
      <c r="J1491" s="6"/>
      <c r="K1491" s="7">
        <v>0.25</v>
      </c>
      <c r="L1491" s="7">
        <v>2.54</v>
      </c>
      <c r="M1491" t="s">
        <v>17</v>
      </c>
      <c r="N1491" s="9"/>
      <c r="O1491" s="8">
        <f t="array" ref="O1491">INDEX(TechRate,MATCH(H1491,TechNum,0))</f>
        <v>140</v>
      </c>
      <c r="P1491" s="10">
        <f>WorkOrders278[[#This Row],[Techs]]*(WorkOrders278[[#This Row],[PartsCost]]*WorkOrders278[[#This Row],[LbrHrs]])</f>
        <v>1.27</v>
      </c>
      <c r="Q1491" s="10">
        <f t="shared" si="131"/>
        <v>1.27</v>
      </c>
      <c r="R1491" s="10">
        <f t="shared" si="132"/>
        <v>2.54</v>
      </c>
      <c r="S1491" s="10">
        <f t="shared" si="133"/>
        <v>3.81</v>
      </c>
      <c r="T1491" s="10">
        <f t="shared" si="134"/>
        <v>3.81</v>
      </c>
      <c r="U1491" s="8" t="str">
        <f t="shared" si="135"/>
        <v>Thu</v>
      </c>
      <c r="V1491" s="8" t="str">
        <f t="shared" si="136"/>
        <v>Fri</v>
      </c>
    </row>
    <row r="1492" spans="1:22" hidden="1" x14ac:dyDescent="0.25">
      <c r="A1492" t="s">
        <v>535</v>
      </c>
      <c r="B1492" t="s">
        <v>36</v>
      </c>
      <c r="C1492" t="s">
        <v>7</v>
      </c>
      <c r="D1492" t="s">
        <v>11</v>
      </c>
      <c r="F1492" s="5">
        <v>44294</v>
      </c>
      <c r="G1492" s="5">
        <v>44355</v>
      </c>
      <c r="H1492" s="2">
        <v>1</v>
      </c>
      <c r="I1492" s="6"/>
      <c r="J1492" s="6"/>
      <c r="K1492" s="7">
        <v>0.25</v>
      </c>
      <c r="L1492" s="7">
        <v>66.864900000000006</v>
      </c>
      <c r="M1492" t="s">
        <v>17</v>
      </c>
      <c r="N1492" s="9"/>
      <c r="O1492" s="8">
        <f t="array" ref="O1492">INDEX(TechRate,MATCH(H1492,TechNum,0))</f>
        <v>80</v>
      </c>
      <c r="P1492" s="10">
        <f>WorkOrders278[[#This Row],[Techs]]*(WorkOrders278[[#This Row],[PartsCost]]*WorkOrders278[[#This Row],[LbrHrs]])</f>
        <v>16.716225000000001</v>
      </c>
      <c r="Q1492" s="10">
        <f t="shared" si="131"/>
        <v>16.716225000000001</v>
      </c>
      <c r="R1492" s="10">
        <f t="shared" si="132"/>
        <v>66.864900000000006</v>
      </c>
      <c r="S1492" s="10">
        <f t="shared" si="133"/>
        <v>83.581125000000014</v>
      </c>
      <c r="T1492" s="10">
        <f t="shared" si="134"/>
        <v>83.581125000000014</v>
      </c>
      <c r="U1492" s="8" t="str">
        <f t="shared" si="135"/>
        <v>Thu</v>
      </c>
      <c r="V1492" s="8" t="str">
        <f t="shared" si="136"/>
        <v>Tue</v>
      </c>
    </row>
    <row r="1493" spans="1:22" hidden="1" x14ac:dyDescent="0.25">
      <c r="A1493" t="s">
        <v>536</v>
      </c>
      <c r="B1493" t="s">
        <v>36</v>
      </c>
      <c r="C1493" t="s">
        <v>7</v>
      </c>
      <c r="D1493" t="s">
        <v>13</v>
      </c>
      <c r="F1493" s="5">
        <v>44296</v>
      </c>
      <c r="G1493" s="5">
        <v>44307</v>
      </c>
      <c r="H1493" s="2">
        <v>2</v>
      </c>
      <c r="I1493" s="6"/>
      <c r="J1493" s="6"/>
      <c r="K1493" s="7">
        <v>0.75</v>
      </c>
      <c r="L1493" s="7">
        <v>108.9273</v>
      </c>
      <c r="M1493" t="s">
        <v>17</v>
      </c>
      <c r="N1493" s="9"/>
      <c r="O1493" s="8">
        <f t="array" ref="O1493">INDEX(TechRate,MATCH(H1493,TechNum,0))</f>
        <v>140</v>
      </c>
      <c r="P1493" s="10">
        <f>WorkOrders278[[#This Row],[Techs]]*(WorkOrders278[[#This Row],[PartsCost]]*WorkOrders278[[#This Row],[LbrHrs]])</f>
        <v>163.39095</v>
      </c>
      <c r="Q1493" s="10">
        <f t="shared" si="131"/>
        <v>163.39095</v>
      </c>
      <c r="R1493" s="10">
        <f t="shared" si="132"/>
        <v>108.9273</v>
      </c>
      <c r="S1493" s="10">
        <f t="shared" si="133"/>
        <v>272.31825000000003</v>
      </c>
      <c r="T1493" s="10">
        <f t="shared" si="134"/>
        <v>272.31825000000003</v>
      </c>
      <c r="U1493" s="8" t="str">
        <f t="shared" si="135"/>
        <v>Sat</v>
      </c>
      <c r="V1493" s="8" t="str">
        <f t="shared" si="136"/>
        <v>Wed</v>
      </c>
    </row>
    <row r="1494" spans="1:22" hidden="1" x14ac:dyDescent="0.25">
      <c r="A1494" t="s">
        <v>537</v>
      </c>
      <c r="B1494" t="s">
        <v>39</v>
      </c>
      <c r="C1494" t="s">
        <v>44</v>
      </c>
      <c r="D1494" t="s">
        <v>2</v>
      </c>
      <c r="F1494" s="5">
        <v>44296</v>
      </c>
      <c r="G1494" s="5">
        <v>44326</v>
      </c>
      <c r="H1494" s="2">
        <v>1</v>
      </c>
      <c r="I1494" s="6" t="s">
        <v>3</v>
      </c>
      <c r="J1494" s="6" t="s">
        <v>3</v>
      </c>
      <c r="K1494" s="7">
        <v>4.75</v>
      </c>
      <c r="L1494" s="7">
        <v>397.36099999999999</v>
      </c>
      <c r="M1494" t="s">
        <v>20</v>
      </c>
      <c r="N1494" s="9"/>
      <c r="O1494" s="8">
        <f t="array" ref="O1494">INDEX(TechRate,MATCH(H1494,TechNum,0))</f>
        <v>80</v>
      </c>
      <c r="P1494" s="10">
        <f>WorkOrders278[[#This Row],[Techs]]*(WorkOrders278[[#This Row],[PartsCost]]*WorkOrders278[[#This Row],[LbrHrs]])</f>
        <v>1887.4647499999999</v>
      </c>
      <c r="Q1494" s="10">
        <f t="shared" si="131"/>
        <v>0</v>
      </c>
      <c r="R1494" s="10">
        <f t="shared" si="132"/>
        <v>0</v>
      </c>
      <c r="S1494" s="10">
        <f t="shared" si="133"/>
        <v>2284.82575</v>
      </c>
      <c r="T1494" s="10">
        <f t="shared" si="134"/>
        <v>0</v>
      </c>
      <c r="U1494" s="8" t="str">
        <f t="shared" si="135"/>
        <v>Sat</v>
      </c>
      <c r="V1494" s="8" t="str">
        <f t="shared" si="136"/>
        <v>Mon</v>
      </c>
    </row>
    <row r="1495" spans="1:22" hidden="1" x14ac:dyDescent="0.25">
      <c r="A1495" t="s">
        <v>538</v>
      </c>
      <c r="B1495" t="s">
        <v>39</v>
      </c>
      <c r="C1495" t="s">
        <v>44</v>
      </c>
      <c r="D1495" t="s">
        <v>12</v>
      </c>
      <c r="F1495" s="5">
        <v>44298</v>
      </c>
      <c r="G1495" s="5">
        <v>44307</v>
      </c>
      <c r="H1495" s="2">
        <v>1</v>
      </c>
      <c r="I1495" s="6"/>
      <c r="J1495" s="6"/>
      <c r="K1495" s="7">
        <v>0.25</v>
      </c>
      <c r="L1495" s="7">
        <v>156.40209999999999</v>
      </c>
      <c r="M1495" t="s">
        <v>17</v>
      </c>
      <c r="N1495" s="9"/>
      <c r="O1495" s="8">
        <f t="array" ref="O1495">INDEX(TechRate,MATCH(H1495,TechNum,0))</f>
        <v>80</v>
      </c>
      <c r="P1495" s="10">
        <f>WorkOrders278[[#This Row],[Techs]]*(WorkOrders278[[#This Row],[PartsCost]]*WorkOrders278[[#This Row],[LbrHrs]])</f>
        <v>39.100524999999998</v>
      </c>
      <c r="Q1495" s="10">
        <f t="shared" si="131"/>
        <v>39.100524999999998</v>
      </c>
      <c r="R1495" s="10">
        <f t="shared" si="132"/>
        <v>156.40209999999999</v>
      </c>
      <c r="S1495" s="10">
        <f t="shared" si="133"/>
        <v>195.50262499999999</v>
      </c>
      <c r="T1495" s="10">
        <f t="shared" si="134"/>
        <v>195.50262499999999</v>
      </c>
      <c r="U1495" s="8" t="str">
        <f t="shared" si="135"/>
        <v>Mon</v>
      </c>
      <c r="V1495" s="8" t="str">
        <f t="shared" si="136"/>
        <v>Wed</v>
      </c>
    </row>
    <row r="1496" spans="1:22" hidden="1" x14ac:dyDescent="0.25">
      <c r="A1496" t="s">
        <v>539</v>
      </c>
      <c r="B1496" t="s">
        <v>34</v>
      </c>
      <c r="C1496" t="s">
        <v>44</v>
      </c>
      <c r="D1496" t="s">
        <v>12</v>
      </c>
      <c r="F1496" s="5">
        <v>44298</v>
      </c>
      <c r="G1496" s="5">
        <v>44307</v>
      </c>
      <c r="H1496" s="2">
        <v>2</v>
      </c>
      <c r="I1496" s="6"/>
      <c r="J1496" s="6" t="s">
        <v>3</v>
      </c>
      <c r="K1496" s="7">
        <v>0.5</v>
      </c>
      <c r="L1496" s="7">
        <v>176.22120000000001</v>
      </c>
      <c r="M1496" t="s">
        <v>18</v>
      </c>
      <c r="N1496" s="9"/>
      <c r="O1496" s="8">
        <f t="array" ref="O1496">INDEX(TechRate,MATCH(H1496,TechNum,0))</f>
        <v>140</v>
      </c>
      <c r="P1496" s="10">
        <f>WorkOrders278[[#This Row],[Techs]]*(WorkOrders278[[#This Row],[PartsCost]]*WorkOrders278[[#This Row],[LbrHrs]])</f>
        <v>176.22120000000001</v>
      </c>
      <c r="Q1496" s="10">
        <f t="shared" si="131"/>
        <v>176.22120000000001</v>
      </c>
      <c r="R1496" s="10">
        <f t="shared" si="132"/>
        <v>0</v>
      </c>
      <c r="S1496" s="10">
        <f t="shared" si="133"/>
        <v>352.44240000000002</v>
      </c>
      <c r="T1496" s="10">
        <f t="shared" si="134"/>
        <v>176.22120000000001</v>
      </c>
      <c r="U1496" s="8" t="str">
        <f t="shared" si="135"/>
        <v>Mon</v>
      </c>
      <c r="V1496" s="8" t="str">
        <f t="shared" si="136"/>
        <v>Wed</v>
      </c>
    </row>
    <row r="1497" spans="1:22" hidden="1" x14ac:dyDescent="0.25">
      <c r="A1497" t="s">
        <v>540</v>
      </c>
      <c r="B1497" t="s">
        <v>36</v>
      </c>
      <c r="C1497" t="s">
        <v>7</v>
      </c>
      <c r="D1497" t="s">
        <v>11</v>
      </c>
      <c r="F1497" s="5">
        <v>44298</v>
      </c>
      <c r="G1497" s="5">
        <v>44314</v>
      </c>
      <c r="H1497" s="2">
        <v>1</v>
      </c>
      <c r="I1497" s="6"/>
      <c r="J1497" s="6"/>
      <c r="K1497" s="7">
        <v>0.25</v>
      </c>
      <c r="L1497" s="7">
        <v>4.99</v>
      </c>
      <c r="M1497" t="s">
        <v>18</v>
      </c>
      <c r="N1497" s="9"/>
      <c r="O1497" s="8">
        <f t="array" ref="O1497">INDEX(TechRate,MATCH(H1497,TechNum,0))</f>
        <v>80</v>
      </c>
      <c r="P1497" s="10">
        <f>WorkOrders278[[#This Row],[Techs]]*(WorkOrders278[[#This Row],[PartsCost]]*WorkOrders278[[#This Row],[LbrHrs]])</f>
        <v>1.2475000000000001</v>
      </c>
      <c r="Q1497" s="10">
        <f t="shared" si="131"/>
        <v>1.2475000000000001</v>
      </c>
      <c r="R1497" s="10">
        <f t="shared" si="132"/>
        <v>4.99</v>
      </c>
      <c r="S1497" s="10">
        <f t="shared" si="133"/>
        <v>6.2375000000000007</v>
      </c>
      <c r="T1497" s="10">
        <f t="shared" si="134"/>
        <v>6.2375000000000007</v>
      </c>
      <c r="U1497" s="8" t="str">
        <f t="shared" si="135"/>
        <v>Mon</v>
      </c>
      <c r="V1497" s="8" t="str">
        <f t="shared" si="136"/>
        <v>Wed</v>
      </c>
    </row>
    <row r="1498" spans="1:22" hidden="1" x14ac:dyDescent="0.25">
      <c r="A1498" t="s">
        <v>541</v>
      </c>
      <c r="B1498" t="s">
        <v>35</v>
      </c>
      <c r="C1498" t="s">
        <v>9</v>
      </c>
      <c r="D1498" t="s">
        <v>11</v>
      </c>
      <c r="F1498" s="5">
        <v>44298</v>
      </c>
      <c r="G1498" s="5">
        <v>44319</v>
      </c>
      <c r="H1498" s="2">
        <v>1</v>
      </c>
      <c r="I1498" s="6"/>
      <c r="J1498" s="6"/>
      <c r="K1498" s="7">
        <v>0.25</v>
      </c>
      <c r="L1498" s="7">
        <v>83.462900000000005</v>
      </c>
      <c r="M1498" t="s">
        <v>17</v>
      </c>
      <c r="N1498" s="9"/>
      <c r="O1498" s="8">
        <f t="array" ref="O1498">INDEX(TechRate,MATCH(H1498,TechNum,0))</f>
        <v>80</v>
      </c>
      <c r="P1498" s="10">
        <f>WorkOrders278[[#This Row],[Techs]]*(WorkOrders278[[#This Row],[PartsCost]]*WorkOrders278[[#This Row],[LbrHrs]])</f>
        <v>20.865725000000001</v>
      </c>
      <c r="Q1498" s="10">
        <f t="shared" si="131"/>
        <v>20.865725000000001</v>
      </c>
      <c r="R1498" s="10">
        <f t="shared" si="132"/>
        <v>83.462900000000005</v>
      </c>
      <c r="S1498" s="10">
        <f t="shared" si="133"/>
        <v>104.328625</v>
      </c>
      <c r="T1498" s="10">
        <f t="shared" si="134"/>
        <v>104.328625</v>
      </c>
      <c r="U1498" s="8" t="str">
        <f t="shared" si="135"/>
        <v>Mon</v>
      </c>
      <c r="V1498" s="8" t="str">
        <f t="shared" si="136"/>
        <v>Mon</v>
      </c>
    </row>
    <row r="1499" spans="1:22" hidden="1" x14ac:dyDescent="0.25">
      <c r="A1499" t="s">
        <v>542</v>
      </c>
      <c r="B1499" t="s">
        <v>34</v>
      </c>
      <c r="C1499" t="s">
        <v>9</v>
      </c>
      <c r="D1499" t="s">
        <v>1</v>
      </c>
      <c r="F1499" s="5">
        <v>44298</v>
      </c>
      <c r="G1499" s="5">
        <v>44320</v>
      </c>
      <c r="H1499" s="2">
        <v>2</v>
      </c>
      <c r="I1499" s="6"/>
      <c r="J1499" s="6"/>
      <c r="K1499" s="7">
        <v>2.25</v>
      </c>
      <c r="L1499" s="7">
        <v>52</v>
      </c>
      <c r="M1499" t="s">
        <v>17</v>
      </c>
      <c r="N1499" s="9"/>
      <c r="O1499" s="8">
        <f t="array" ref="O1499">INDEX(TechRate,MATCH(H1499,TechNum,0))</f>
        <v>140</v>
      </c>
      <c r="P1499" s="10">
        <f>WorkOrders278[[#This Row],[Techs]]*(WorkOrders278[[#This Row],[PartsCost]]*WorkOrders278[[#This Row],[LbrHrs]])</f>
        <v>234</v>
      </c>
      <c r="Q1499" s="10">
        <f t="shared" si="131"/>
        <v>234</v>
      </c>
      <c r="R1499" s="10">
        <f t="shared" si="132"/>
        <v>52</v>
      </c>
      <c r="S1499" s="10">
        <f t="shared" si="133"/>
        <v>286</v>
      </c>
      <c r="T1499" s="10">
        <f t="shared" si="134"/>
        <v>286</v>
      </c>
      <c r="U1499" s="8" t="str">
        <f t="shared" si="135"/>
        <v>Mon</v>
      </c>
      <c r="V1499" s="8" t="str">
        <f t="shared" si="136"/>
        <v>Tue</v>
      </c>
    </row>
    <row r="1500" spans="1:22" hidden="1" x14ac:dyDescent="0.25">
      <c r="A1500" t="s">
        <v>543</v>
      </c>
      <c r="B1500" t="s">
        <v>37</v>
      </c>
      <c r="C1500" t="s">
        <v>43</v>
      </c>
      <c r="D1500" t="s">
        <v>12</v>
      </c>
      <c r="F1500" s="5">
        <v>44298</v>
      </c>
      <c r="G1500" s="5">
        <v>44320</v>
      </c>
      <c r="H1500" s="2">
        <v>1</v>
      </c>
      <c r="I1500" s="6"/>
      <c r="J1500" s="6"/>
      <c r="K1500" s="7">
        <v>0.5</v>
      </c>
      <c r="L1500" s="7">
        <v>743.18399999999997</v>
      </c>
      <c r="M1500" t="s">
        <v>19</v>
      </c>
      <c r="N1500" s="9"/>
      <c r="O1500" s="8">
        <f t="array" ref="O1500">INDEX(TechRate,MATCH(H1500,TechNum,0))</f>
        <v>80</v>
      </c>
      <c r="P1500" s="10">
        <f>WorkOrders278[[#This Row],[Techs]]*(WorkOrders278[[#This Row],[PartsCost]]*WorkOrders278[[#This Row],[LbrHrs]])</f>
        <v>371.59199999999998</v>
      </c>
      <c r="Q1500" s="10">
        <f t="shared" si="131"/>
        <v>371.59199999999998</v>
      </c>
      <c r="R1500" s="10">
        <f t="shared" si="132"/>
        <v>743.18399999999997</v>
      </c>
      <c r="S1500" s="10">
        <f t="shared" si="133"/>
        <v>1114.7759999999998</v>
      </c>
      <c r="T1500" s="10">
        <f t="shared" si="134"/>
        <v>1114.7759999999998</v>
      </c>
      <c r="U1500" s="8" t="str">
        <f t="shared" si="135"/>
        <v>Mon</v>
      </c>
      <c r="V1500" s="8" t="str">
        <f t="shared" si="136"/>
        <v>Tue</v>
      </c>
    </row>
    <row r="1501" spans="1:22" hidden="1" x14ac:dyDescent="0.25">
      <c r="A1501" t="s">
        <v>544</v>
      </c>
      <c r="B1501" t="s">
        <v>34</v>
      </c>
      <c r="C1501" t="s">
        <v>44</v>
      </c>
      <c r="D1501" t="s">
        <v>13</v>
      </c>
      <c r="F1501" s="5">
        <v>44298</v>
      </c>
      <c r="G1501" s="5">
        <v>44363</v>
      </c>
      <c r="H1501" s="2">
        <v>1</v>
      </c>
      <c r="I1501" s="6"/>
      <c r="J1501" s="6"/>
      <c r="K1501" s="7">
        <v>0.5</v>
      </c>
      <c r="L1501" s="7">
        <v>144</v>
      </c>
      <c r="M1501" t="s">
        <v>18</v>
      </c>
      <c r="N1501" s="9"/>
      <c r="O1501" s="8">
        <f t="array" ref="O1501">INDEX(TechRate,MATCH(H1501,TechNum,0))</f>
        <v>80</v>
      </c>
      <c r="P1501" s="10">
        <f>WorkOrders278[[#This Row],[Techs]]*(WorkOrders278[[#This Row],[PartsCost]]*WorkOrders278[[#This Row],[LbrHrs]])</f>
        <v>72</v>
      </c>
      <c r="Q1501" s="10">
        <f t="shared" si="131"/>
        <v>72</v>
      </c>
      <c r="R1501" s="10">
        <f t="shared" si="132"/>
        <v>144</v>
      </c>
      <c r="S1501" s="10">
        <f t="shared" si="133"/>
        <v>216</v>
      </c>
      <c r="T1501" s="10">
        <f t="shared" si="134"/>
        <v>216</v>
      </c>
      <c r="U1501" s="8" t="str">
        <f t="shared" si="135"/>
        <v>Mon</v>
      </c>
      <c r="V1501" s="8" t="str">
        <f t="shared" si="136"/>
        <v>Wed</v>
      </c>
    </row>
    <row r="1502" spans="1:22" hidden="1" x14ac:dyDescent="0.25">
      <c r="A1502" t="s">
        <v>545</v>
      </c>
      <c r="B1502" t="s">
        <v>36</v>
      </c>
      <c r="C1502" t="s">
        <v>7</v>
      </c>
      <c r="D1502" t="s">
        <v>11</v>
      </c>
      <c r="F1502" s="5">
        <v>44299</v>
      </c>
      <c r="G1502" s="5">
        <v>44314</v>
      </c>
      <c r="H1502" s="2">
        <v>1</v>
      </c>
      <c r="I1502" s="6" t="s">
        <v>3</v>
      </c>
      <c r="J1502" s="6" t="s">
        <v>3</v>
      </c>
      <c r="K1502" s="7">
        <v>0.25</v>
      </c>
      <c r="L1502" s="7">
        <v>38.124600000000001</v>
      </c>
      <c r="M1502" t="s">
        <v>20</v>
      </c>
      <c r="N1502" s="9"/>
      <c r="O1502" s="8">
        <f t="array" ref="O1502">INDEX(TechRate,MATCH(H1502,TechNum,0))</f>
        <v>80</v>
      </c>
      <c r="P1502" s="10">
        <f>WorkOrders278[[#This Row],[Techs]]*(WorkOrders278[[#This Row],[PartsCost]]*WorkOrders278[[#This Row],[LbrHrs]])</f>
        <v>9.5311500000000002</v>
      </c>
      <c r="Q1502" s="10">
        <f t="shared" si="131"/>
        <v>0</v>
      </c>
      <c r="R1502" s="10">
        <f t="shared" si="132"/>
        <v>0</v>
      </c>
      <c r="S1502" s="10">
        <f t="shared" si="133"/>
        <v>47.655749999999998</v>
      </c>
      <c r="T1502" s="10">
        <f t="shared" si="134"/>
        <v>0</v>
      </c>
      <c r="U1502" s="8" t="str">
        <f t="shared" si="135"/>
        <v>Tue</v>
      </c>
      <c r="V1502" s="8" t="str">
        <f t="shared" si="136"/>
        <v>Wed</v>
      </c>
    </row>
    <row r="1504" spans="1:22" x14ac:dyDescent="0.25">
      <c r="A1504" s="11" t="s">
        <v>5</v>
      </c>
      <c r="B1504" s="11" t="s">
        <v>24</v>
      </c>
      <c r="C1504" s="11" t="s">
        <v>10</v>
      </c>
      <c r="D1504" s="11" t="s">
        <v>0</v>
      </c>
      <c r="E1504" s="11" t="s">
        <v>23</v>
      </c>
      <c r="F1504" s="11" t="s">
        <v>14</v>
      </c>
      <c r="G1504" s="11" t="s">
        <v>15</v>
      </c>
      <c r="H1504" s="11" t="s">
        <v>4</v>
      </c>
      <c r="I1504" s="11" t="s">
        <v>25</v>
      </c>
      <c r="J1504" s="11" t="s">
        <v>26</v>
      </c>
      <c r="K1504" s="12" t="s">
        <v>27</v>
      </c>
      <c r="L1504" s="12" t="s">
        <v>28</v>
      </c>
      <c r="M1504" s="11" t="s">
        <v>16</v>
      </c>
      <c r="N1504" s="13" t="s">
        <v>22</v>
      </c>
      <c r="O1504" s="11" t="s">
        <v>546</v>
      </c>
      <c r="P1504" s="12" t="s">
        <v>29</v>
      </c>
      <c r="Q1504" s="12" t="s">
        <v>30</v>
      </c>
      <c r="R1504" s="12" t="s">
        <v>31</v>
      </c>
      <c r="S1504" s="12" t="s">
        <v>32</v>
      </c>
      <c r="T1504" s="12" t="s">
        <v>33</v>
      </c>
      <c r="U1504" s="1" t="s">
        <v>45</v>
      </c>
      <c r="V1504" s="1" t="s">
        <v>46</v>
      </c>
    </row>
    <row r="1505" spans="1:22" x14ac:dyDescent="0.25">
      <c r="A1505" t="s">
        <v>47</v>
      </c>
      <c r="B1505" t="s">
        <v>36</v>
      </c>
      <c r="C1505" t="s">
        <v>8</v>
      </c>
      <c r="D1505" t="s">
        <v>12</v>
      </c>
      <c r="F1505" s="5">
        <v>44075</v>
      </c>
      <c r="G1505" s="5">
        <v>44089</v>
      </c>
      <c r="H1505" s="2">
        <v>2</v>
      </c>
      <c r="I1505" s="6"/>
      <c r="J1505" s="6"/>
      <c r="K1505" s="7">
        <v>0.5</v>
      </c>
      <c r="L1505" s="7">
        <v>360</v>
      </c>
      <c r="M1505" t="s">
        <v>17</v>
      </c>
      <c r="N1505" s="16">
        <f>POWER(SQRT(WorkOrders279[[#This Row],[WorkDate]]-WorkOrders279[[#This Row],[ReqDate]]),2)</f>
        <v>14</v>
      </c>
      <c r="O1505" s="8">
        <f t="array" ref="O1505">INDEX(TechRate,MATCH(H1505,TechNum,0))</f>
        <v>140</v>
      </c>
      <c r="P1505" s="10">
        <f>WorkOrders279[[#This Row],[Techs]]*(WorkOrders279[[#This Row],[PartsCost]]*WorkOrders279[[#This Row],[LbrHrs]])</f>
        <v>360</v>
      </c>
      <c r="Q1505" s="10">
        <f t="shared" ref="Q1505:Q1568" si="137">IF(I1505="Yes",0,P1505)</f>
        <v>360</v>
      </c>
      <c r="R1505" s="10">
        <f t="shared" ref="R1505:R1568" si="138">IF(J1505="Yes",0,L1505)</f>
        <v>360</v>
      </c>
      <c r="S1505" s="10">
        <f t="shared" ref="S1505:S1568" si="139">SUM(L1505,P1505)</f>
        <v>720</v>
      </c>
      <c r="T1505" s="10">
        <f t="shared" ref="T1505:T1568" si="140">SUM(Q1505,R1505)</f>
        <v>720</v>
      </c>
      <c r="U1505" s="8" t="str">
        <f t="shared" ref="U1505:U1568" si="141">TEXT(F1505,"ddd")</f>
        <v>Tue</v>
      </c>
      <c r="V1505" s="8" t="str">
        <f t="shared" ref="V1505:V1568" si="142">TEXT(G1505,"ddd")</f>
        <v>Tue</v>
      </c>
    </row>
    <row r="1506" spans="1:22" x14ac:dyDescent="0.25">
      <c r="A1506" t="s">
        <v>48</v>
      </c>
      <c r="B1506" t="s">
        <v>37</v>
      </c>
      <c r="C1506" t="s">
        <v>43</v>
      </c>
      <c r="D1506" t="s">
        <v>13</v>
      </c>
      <c r="F1506" s="5">
        <v>44075</v>
      </c>
      <c r="G1506" s="5">
        <v>44078</v>
      </c>
      <c r="H1506" s="2">
        <v>1</v>
      </c>
      <c r="I1506" s="6"/>
      <c r="J1506" s="6"/>
      <c r="K1506" s="7">
        <v>0.5</v>
      </c>
      <c r="L1506" s="7">
        <v>90.041600000000003</v>
      </c>
      <c r="M1506" t="s">
        <v>17</v>
      </c>
      <c r="N1506" s="16">
        <f>POWER(SQRT(WorkOrders279[[#This Row],[WorkDate]]-WorkOrders279[[#This Row],[ReqDate]]),2)</f>
        <v>2.9999999999999996</v>
      </c>
      <c r="O1506" s="8">
        <f t="array" ref="O1506">INDEX(TechRate,MATCH(H1506,TechNum,0))</f>
        <v>80</v>
      </c>
      <c r="P1506" s="10">
        <f>WorkOrders279[[#This Row],[Techs]]*(WorkOrders279[[#This Row],[PartsCost]]*WorkOrders279[[#This Row],[LbrHrs]])</f>
        <v>45.020800000000001</v>
      </c>
      <c r="Q1506" s="10">
        <f t="shared" si="137"/>
        <v>45.020800000000001</v>
      </c>
      <c r="R1506" s="10">
        <f t="shared" si="138"/>
        <v>90.041600000000003</v>
      </c>
      <c r="S1506" s="10">
        <f t="shared" si="139"/>
        <v>135.0624</v>
      </c>
      <c r="T1506" s="10">
        <f t="shared" si="140"/>
        <v>135.0624</v>
      </c>
      <c r="U1506" s="8" t="str">
        <f t="shared" si="141"/>
        <v>Tue</v>
      </c>
      <c r="V1506" s="8" t="str">
        <f t="shared" si="142"/>
        <v>Fri</v>
      </c>
    </row>
    <row r="1507" spans="1:22" x14ac:dyDescent="0.25">
      <c r="A1507" t="s">
        <v>49</v>
      </c>
      <c r="B1507" t="s">
        <v>34</v>
      </c>
      <c r="C1507" t="s">
        <v>44</v>
      </c>
      <c r="D1507" t="s">
        <v>11</v>
      </c>
      <c r="F1507" s="5">
        <v>44075</v>
      </c>
      <c r="G1507" s="5">
        <v>44091</v>
      </c>
      <c r="H1507" s="2">
        <v>1</v>
      </c>
      <c r="I1507" s="6"/>
      <c r="J1507" s="6"/>
      <c r="K1507" s="7">
        <v>0.25</v>
      </c>
      <c r="L1507" s="7">
        <v>120</v>
      </c>
      <c r="M1507" t="s">
        <v>19</v>
      </c>
      <c r="N1507" s="16">
        <f>POWER(SQRT(WorkOrders279[[#This Row],[WorkDate]]-WorkOrders279[[#This Row],[ReqDate]]),2)</f>
        <v>16</v>
      </c>
      <c r="O1507" s="8">
        <f t="array" ref="O1507">INDEX(TechRate,MATCH(H1507,TechNum,0))</f>
        <v>80</v>
      </c>
      <c r="P1507" s="10">
        <f>WorkOrders279[[#This Row],[Techs]]*(WorkOrders279[[#This Row],[PartsCost]]*WorkOrders279[[#This Row],[LbrHrs]])</f>
        <v>30</v>
      </c>
      <c r="Q1507" s="10">
        <f t="shared" si="137"/>
        <v>30</v>
      </c>
      <c r="R1507" s="10">
        <f t="shared" si="138"/>
        <v>120</v>
      </c>
      <c r="S1507" s="10">
        <f t="shared" si="139"/>
        <v>150</v>
      </c>
      <c r="T1507" s="10">
        <f t="shared" si="140"/>
        <v>150</v>
      </c>
      <c r="U1507" s="8" t="str">
        <f t="shared" si="141"/>
        <v>Tue</v>
      </c>
      <c r="V1507" s="8" t="str">
        <f t="shared" si="142"/>
        <v>Thu</v>
      </c>
    </row>
    <row r="1508" spans="1:22" x14ac:dyDescent="0.25">
      <c r="A1508" t="s">
        <v>50</v>
      </c>
      <c r="B1508" t="s">
        <v>37</v>
      </c>
      <c r="C1508" t="s">
        <v>43</v>
      </c>
      <c r="D1508" t="s">
        <v>11</v>
      </c>
      <c r="F1508" s="5">
        <v>44075</v>
      </c>
      <c r="G1508" s="5">
        <v>44091</v>
      </c>
      <c r="H1508" s="2">
        <v>1</v>
      </c>
      <c r="I1508" s="6"/>
      <c r="J1508" s="6"/>
      <c r="K1508" s="7">
        <v>0.25</v>
      </c>
      <c r="L1508" s="7">
        <v>16.25</v>
      </c>
      <c r="M1508" t="s">
        <v>17</v>
      </c>
      <c r="N1508" s="16">
        <f>POWER(SQRT(WorkOrders279[[#This Row],[WorkDate]]-WorkOrders279[[#This Row],[ReqDate]]),2)</f>
        <v>16</v>
      </c>
      <c r="O1508" s="8">
        <f t="array" ref="O1508">INDEX(TechRate,MATCH(H1508,TechNum,0))</f>
        <v>80</v>
      </c>
      <c r="P1508" s="10">
        <f>WorkOrders279[[#This Row],[Techs]]*(WorkOrders279[[#This Row],[PartsCost]]*WorkOrders279[[#This Row],[LbrHrs]])</f>
        <v>4.0625</v>
      </c>
      <c r="Q1508" s="10">
        <f t="shared" si="137"/>
        <v>4.0625</v>
      </c>
      <c r="R1508" s="10">
        <f t="shared" si="138"/>
        <v>16.25</v>
      </c>
      <c r="S1508" s="10">
        <f t="shared" si="139"/>
        <v>20.3125</v>
      </c>
      <c r="T1508" s="10">
        <f t="shared" si="140"/>
        <v>20.3125</v>
      </c>
      <c r="U1508" s="8" t="str">
        <f t="shared" si="141"/>
        <v>Tue</v>
      </c>
      <c r="V1508" s="8" t="str">
        <f t="shared" si="142"/>
        <v>Thu</v>
      </c>
    </row>
    <row r="1509" spans="1:22" x14ac:dyDescent="0.25">
      <c r="A1509" t="s">
        <v>51</v>
      </c>
      <c r="B1509" t="s">
        <v>35</v>
      </c>
      <c r="C1509" t="s">
        <v>44</v>
      </c>
      <c r="D1509" t="s">
        <v>11</v>
      </c>
      <c r="E1509" t="s">
        <v>3</v>
      </c>
      <c r="F1509" s="5">
        <v>44075</v>
      </c>
      <c r="G1509" s="5">
        <v>44091</v>
      </c>
      <c r="H1509" s="2">
        <v>1</v>
      </c>
      <c r="I1509" s="6"/>
      <c r="J1509" s="6"/>
      <c r="K1509" s="7">
        <v>0.25</v>
      </c>
      <c r="L1509" s="7">
        <v>45.237400000000001</v>
      </c>
      <c r="M1509" t="s">
        <v>17</v>
      </c>
      <c r="N1509" s="16">
        <f>POWER(SQRT(WorkOrders279[[#This Row],[WorkDate]]-WorkOrders279[[#This Row],[ReqDate]]),2)</f>
        <v>16</v>
      </c>
      <c r="O1509" s="8">
        <f t="array" ref="O1509">INDEX(TechRate,MATCH(H1509,TechNum,0))</f>
        <v>80</v>
      </c>
      <c r="P1509" s="10">
        <f>WorkOrders279[[#This Row],[Techs]]*(WorkOrders279[[#This Row],[PartsCost]]*WorkOrders279[[#This Row],[LbrHrs]])</f>
        <v>11.30935</v>
      </c>
      <c r="Q1509" s="10">
        <f t="shared" si="137"/>
        <v>11.30935</v>
      </c>
      <c r="R1509" s="10">
        <f t="shared" si="138"/>
        <v>45.237400000000001</v>
      </c>
      <c r="S1509" s="10">
        <f t="shared" si="139"/>
        <v>56.546750000000003</v>
      </c>
      <c r="T1509" s="10">
        <f t="shared" si="140"/>
        <v>56.546750000000003</v>
      </c>
      <c r="U1509" s="8" t="str">
        <f t="shared" si="141"/>
        <v>Tue</v>
      </c>
      <c r="V1509" s="8" t="str">
        <f t="shared" si="142"/>
        <v>Thu</v>
      </c>
    </row>
    <row r="1510" spans="1:22" hidden="1" x14ac:dyDescent="0.25">
      <c r="A1510" t="s">
        <v>52</v>
      </c>
      <c r="B1510" t="s">
        <v>37</v>
      </c>
      <c r="C1510" t="s">
        <v>43</v>
      </c>
      <c r="D1510" t="s">
        <v>12</v>
      </c>
      <c r="F1510" s="5">
        <v>44075</v>
      </c>
      <c r="G1510" s="5">
        <v>44089</v>
      </c>
      <c r="H1510" s="2">
        <v>1</v>
      </c>
      <c r="I1510" s="6"/>
      <c r="J1510" s="6"/>
      <c r="K1510" s="7">
        <v>0.25</v>
      </c>
      <c r="L1510" s="7">
        <v>97.626300000000001</v>
      </c>
      <c r="M1510" t="s">
        <v>17</v>
      </c>
      <c r="N1510" s="16">
        <f>POWER(SQRT(WorkOrders279[[#This Row],[WorkDate]]-WorkOrders279[[#This Row],[ReqDate]]),2)</f>
        <v>14</v>
      </c>
      <c r="O1510" s="8">
        <f t="array" ref="O1510">INDEX(TechRate,MATCH(H1510,TechNum,0))</f>
        <v>80</v>
      </c>
      <c r="P1510" s="10">
        <f>WorkOrders279[[#This Row],[Techs]]*(WorkOrders279[[#This Row],[PartsCost]]*WorkOrders279[[#This Row],[LbrHrs]])</f>
        <v>24.406575</v>
      </c>
      <c r="Q1510" s="10">
        <f t="shared" si="137"/>
        <v>24.406575</v>
      </c>
      <c r="R1510" s="10">
        <f t="shared" si="138"/>
        <v>97.626300000000001</v>
      </c>
      <c r="S1510" s="10">
        <f t="shared" si="139"/>
        <v>122.032875</v>
      </c>
      <c r="T1510" s="10">
        <f t="shared" si="140"/>
        <v>122.032875</v>
      </c>
      <c r="U1510" s="8" t="str">
        <f t="shared" si="141"/>
        <v>Tue</v>
      </c>
      <c r="V1510" s="8" t="str">
        <f t="shared" si="142"/>
        <v>Tue</v>
      </c>
    </row>
    <row r="1511" spans="1:22" hidden="1" x14ac:dyDescent="0.25">
      <c r="A1511" t="s">
        <v>53</v>
      </c>
      <c r="B1511" t="s">
        <v>34</v>
      </c>
      <c r="C1511" t="s">
        <v>44</v>
      </c>
      <c r="D1511" t="s">
        <v>12</v>
      </c>
      <c r="F1511" s="5">
        <v>44076</v>
      </c>
      <c r="G1511" s="5">
        <v>44090</v>
      </c>
      <c r="H1511" s="2">
        <v>2</v>
      </c>
      <c r="I1511" s="6"/>
      <c r="J1511" s="6"/>
      <c r="K1511" s="7">
        <v>0.25</v>
      </c>
      <c r="L1511" s="7">
        <v>29.13</v>
      </c>
      <c r="M1511" t="s">
        <v>17</v>
      </c>
      <c r="N1511" s="16">
        <f>POWER(SQRT(WorkOrders279[[#This Row],[WorkDate]]-WorkOrders279[[#This Row],[ReqDate]]),2)</f>
        <v>14</v>
      </c>
      <c r="O1511" s="8">
        <f t="array" ref="O1511">INDEX(TechRate,MATCH(H1511,TechNum,0))</f>
        <v>140</v>
      </c>
      <c r="P1511" s="10">
        <f>WorkOrders279[[#This Row],[Techs]]*(WorkOrders279[[#This Row],[PartsCost]]*WorkOrders279[[#This Row],[LbrHrs]])</f>
        <v>14.565</v>
      </c>
      <c r="Q1511" s="10">
        <f t="shared" si="137"/>
        <v>14.565</v>
      </c>
      <c r="R1511" s="10">
        <f t="shared" si="138"/>
        <v>29.13</v>
      </c>
      <c r="S1511" s="10">
        <f t="shared" si="139"/>
        <v>43.695</v>
      </c>
      <c r="T1511" s="10">
        <f t="shared" si="140"/>
        <v>43.695</v>
      </c>
      <c r="U1511" s="8" t="str">
        <f t="shared" si="141"/>
        <v>Wed</v>
      </c>
      <c r="V1511" s="8" t="str">
        <f t="shared" si="142"/>
        <v>Wed</v>
      </c>
    </row>
    <row r="1512" spans="1:22" hidden="1" x14ac:dyDescent="0.25">
      <c r="A1512" t="s">
        <v>54</v>
      </c>
      <c r="B1512" t="s">
        <v>37</v>
      </c>
      <c r="C1512" t="s">
        <v>43</v>
      </c>
      <c r="D1512" t="s">
        <v>13</v>
      </c>
      <c r="F1512" s="5">
        <v>44076</v>
      </c>
      <c r="G1512" s="5">
        <v>44106</v>
      </c>
      <c r="H1512" s="2">
        <v>1</v>
      </c>
      <c r="I1512" s="6"/>
      <c r="J1512" s="6"/>
      <c r="K1512" s="7">
        <v>0.75</v>
      </c>
      <c r="L1512" s="7">
        <v>35.1</v>
      </c>
      <c r="M1512" t="s">
        <v>17</v>
      </c>
      <c r="N1512" s="16">
        <f>POWER(SQRT(WorkOrders279[[#This Row],[WorkDate]]-WorkOrders279[[#This Row],[ReqDate]]),2)</f>
        <v>30</v>
      </c>
      <c r="O1512" s="8">
        <f t="array" ref="O1512">INDEX(TechRate,MATCH(H1512,TechNum,0))</f>
        <v>80</v>
      </c>
      <c r="P1512" s="10">
        <f>WorkOrders279[[#This Row],[Techs]]*(WorkOrders279[[#This Row],[PartsCost]]*WorkOrders279[[#This Row],[LbrHrs]])</f>
        <v>26.325000000000003</v>
      </c>
      <c r="Q1512" s="10">
        <f t="shared" si="137"/>
        <v>26.325000000000003</v>
      </c>
      <c r="R1512" s="10">
        <f t="shared" si="138"/>
        <v>35.1</v>
      </c>
      <c r="S1512" s="10">
        <f t="shared" si="139"/>
        <v>61.425000000000004</v>
      </c>
      <c r="T1512" s="10">
        <f t="shared" si="140"/>
        <v>61.425000000000004</v>
      </c>
      <c r="U1512" s="8" t="str">
        <f t="shared" si="141"/>
        <v>Wed</v>
      </c>
      <c r="V1512" s="8" t="str">
        <f t="shared" si="142"/>
        <v>Fri</v>
      </c>
    </row>
    <row r="1513" spans="1:22" hidden="1" x14ac:dyDescent="0.25">
      <c r="A1513" t="s">
        <v>55</v>
      </c>
      <c r="B1513" t="s">
        <v>35</v>
      </c>
      <c r="C1513" t="s">
        <v>9</v>
      </c>
      <c r="D1513" t="s">
        <v>11</v>
      </c>
      <c r="F1513" s="5">
        <v>44076</v>
      </c>
      <c r="G1513" s="5">
        <v>44105</v>
      </c>
      <c r="H1513" s="2">
        <v>1</v>
      </c>
      <c r="I1513" s="6"/>
      <c r="J1513" s="6"/>
      <c r="K1513" s="7">
        <v>0.25</v>
      </c>
      <c r="L1513" s="7">
        <v>76.7</v>
      </c>
      <c r="M1513" t="s">
        <v>18</v>
      </c>
      <c r="N1513" s="16">
        <f>POWER(SQRT(WorkOrders279[[#This Row],[WorkDate]]-WorkOrders279[[#This Row],[ReqDate]]),2)</f>
        <v>28.999999999999996</v>
      </c>
      <c r="O1513" s="8">
        <f t="array" ref="O1513">INDEX(TechRate,MATCH(H1513,TechNum,0))</f>
        <v>80</v>
      </c>
      <c r="P1513" s="10">
        <f>WorkOrders279[[#This Row],[Techs]]*(WorkOrders279[[#This Row],[PartsCost]]*WorkOrders279[[#This Row],[LbrHrs]])</f>
        <v>19.175000000000001</v>
      </c>
      <c r="Q1513" s="10">
        <f t="shared" si="137"/>
        <v>19.175000000000001</v>
      </c>
      <c r="R1513" s="10">
        <f t="shared" si="138"/>
        <v>76.7</v>
      </c>
      <c r="S1513" s="10">
        <f t="shared" si="139"/>
        <v>95.875</v>
      </c>
      <c r="T1513" s="10">
        <f t="shared" si="140"/>
        <v>95.875</v>
      </c>
      <c r="U1513" s="8" t="str">
        <f t="shared" si="141"/>
        <v>Wed</v>
      </c>
      <c r="V1513" s="8" t="str">
        <f t="shared" si="142"/>
        <v>Thu</v>
      </c>
    </row>
    <row r="1514" spans="1:22" hidden="1" x14ac:dyDescent="0.25">
      <c r="A1514" t="s">
        <v>56</v>
      </c>
      <c r="B1514" t="s">
        <v>34</v>
      </c>
      <c r="C1514" t="s">
        <v>8</v>
      </c>
      <c r="D1514" t="s">
        <v>2</v>
      </c>
      <c r="E1514" t="s">
        <v>3</v>
      </c>
      <c r="F1514" s="5">
        <v>44076</v>
      </c>
      <c r="G1514" s="5">
        <v>44110</v>
      </c>
      <c r="H1514" s="2">
        <v>1</v>
      </c>
      <c r="I1514" s="6"/>
      <c r="J1514" s="6"/>
      <c r="K1514" s="7">
        <v>1.5</v>
      </c>
      <c r="L1514" s="7">
        <v>374.07940000000002</v>
      </c>
      <c r="M1514" t="s">
        <v>18</v>
      </c>
      <c r="N1514" s="16">
        <f>POWER(SQRT(WorkOrders279[[#This Row],[WorkDate]]-WorkOrders279[[#This Row],[ReqDate]]),2)</f>
        <v>34</v>
      </c>
      <c r="O1514" s="8">
        <f t="array" ref="O1514">INDEX(TechRate,MATCH(H1514,TechNum,0))</f>
        <v>80</v>
      </c>
      <c r="P1514" s="10">
        <f>WorkOrders279[[#This Row],[Techs]]*(WorkOrders279[[#This Row],[PartsCost]]*WorkOrders279[[#This Row],[LbrHrs]])</f>
        <v>561.1191</v>
      </c>
      <c r="Q1514" s="10">
        <f t="shared" si="137"/>
        <v>561.1191</v>
      </c>
      <c r="R1514" s="10">
        <f t="shared" si="138"/>
        <v>374.07940000000002</v>
      </c>
      <c r="S1514" s="10">
        <f t="shared" si="139"/>
        <v>935.19849999999997</v>
      </c>
      <c r="T1514" s="10">
        <f t="shared" si="140"/>
        <v>935.19849999999997</v>
      </c>
      <c r="U1514" s="8" t="str">
        <f t="shared" si="141"/>
        <v>Wed</v>
      </c>
      <c r="V1514" s="8" t="str">
        <f t="shared" si="142"/>
        <v>Tue</v>
      </c>
    </row>
    <row r="1515" spans="1:22" hidden="1" x14ac:dyDescent="0.25">
      <c r="A1515" t="s">
        <v>57</v>
      </c>
      <c r="B1515" t="s">
        <v>38</v>
      </c>
      <c r="C1515" t="s">
        <v>9</v>
      </c>
      <c r="D1515" t="s">
        <v>13</v>
      </c>
      <c r="F1515" s="5">
        <v>44076</v>
      </c>
      <c r="G1515" s="5">
        <v>44173</v>
      </c>
      <c r="H1515" s="2">
        <v>2</v>
      </c>
      <c r="I1515" s="6"/>
      <c r="J1515" s="6"/>
      <c r="K1515" s="7">
        <v>4.75</v>
      </c>
      <c r="L1515" s="7">
        <v>832.15830000000005</v>
      </c>
      <c r="M1515" t="s">
        <v>17</v>
      </c>
      <c r="N1515" s="16">
        <f>POWER(SQRT(WorkOrders279[[#This Row],[WorkDate]]-WorkOrders279[[#This Row],[ReqDate]]),2)</f>
        <v>96.999999999999986</v>
      </c>
      <c r="O1515" s="8">
        <f t="array" ref="O1515">INDEX(TechRate,MATCH(H1515,TechNum,0))</f>
        <v>140</v>
      </c>
      <c r="P1515" s="10">
        <f>WorkOrders279[[#This Row],[Techs]]*(WorkOrders279[[#This Row],[PartsCost]]*WorkOrders279[[#This Row],[LbrHrs]])</f>
        <v>7905.503850000001</v>
      </c>
      <c r="Q1515" s="10">
        <f t="shared" si="137"/>
        <v>7905.503850000001</v>
      </c>
      <c r="R1515" s="10">
        <f t="shared" si="138"/>
        <v>832.15830000000005</v>
      </c>
      <c r="S1515" s="10">
        <f t="shared" si="139"/>
        <v>8737.6621500000001</v>
      </c>
      <c r="T1515" s="10">
        <f t="shared" si="140"/>
        <v>8737.6621500000001</v>
      </c>
      <c r="U1515" s="8" t="str">
        <f t="shared" si="141"/>
        <v>Wed</v>
      </c>
      <c r="V1515" s="8" t="str">
        <f t="shared" si="142"/>
        <v>Tue</v>
      </c>
    </row>
    <row r="1516" spans="1:22" hidden="1" x14ac:dyDescent="0.25">
      <c r="A1516" t="s">
        <v>58</v>
      </c>
      <c r="B1516" t="s">
        <v>37</v>
      </c>
      <c r="C1516" t="s">
        <v>43</v>
      </c>
      <c r="D1516" t="s">
        <v>11</v>
      </c>
      <c r="E1516" t="s">
        <v>3</v>
      </c>
      <c r="F1516" s="5">
        <v>44077</v>
      </c>
      <c r="G1516" s="5">
        <v>44097</v>
      </c>
      <c r="H1516" s="2">
        <v>1</v>
      </c>
      <c r="I1516" s="6"/>
      <c r="J1516" s="6"/>
      <c r="K1516" s="7">
        <v>0.25</v>
      </c>
      <c r="L1516" s="7">
        <v>70.212999999999994</v>
      </c>
      <c r="M1516" t="s">
        <v>17</v>
      </c>
      <c r="N1516" s="16">
        <f>POWER(SQRT(WorkOrders279[[#This Row],[WorkDate]]-WorkOrders279[[#This Row],[ReqDate]]),2)</f>
        <v>20.000000000000004</v>
      </c>
      <c r="O1516" s="8">
        <f t="array" ref="O1516">INDEX(TechRate,MATCH(H1516,TechNum,0))</f>
        <v>80</v>
      </c>
      <c r="P1516" s="10">
        <f>WorkOrders279[[#This Row],[Techs]]*(WorkOrders279[[#This Row],[PartsCost]]*WorkOrders279[[#This Row],[LbrHrs]])</f>
        <v>17.553249999999998</v>
      </c>
      <c r="Q1516" s="10">
        <f t="shared" si="137"/>
        <v>17.553249999999998</v>
      </c>
      <c r="R1516" s="10">
        <f t="shared" si="138"/>
        <v>70.212999999999994</v>
      </c>
      <c r="S1516" s="10">
        <f t="shared" si="139"/>
        <v>87.766249999999985</v>
      </c>
      <c r="T1516" s="10">
        <f t="shared" si="140"/>
        <v>87.766249999999985</v>
      </c>
      <c r="U1516" s="8" t="str">
        <f t="shared" si="141"/>
        <v>Thu</v>
      </c>
      <c r="V1516" s="8" t="str">
        <f t="shared" si="142"/>
        <v>Wed</v>
      </c>
    </row>
    <row r="1517" spans="1:22" hidden="1" x14ac:dyDescent="0.25">
      <c r="A1517" t="s">
        <v>59</v>
      </c>
      <c r="B1517" t="s">
        <v>38</v>
      </c>
      <c r="C1517" t="s">
        <v>9</v>
      </c>
      <c r="D1517" t="s">
        <v>12</v>
      </c>
      <c r="F1517" s="5">
        <v>44078</v>
      </c>
      <c r="G1517" s="5">
        <v>44104</v>
      </c>
      <c r="H1517" s="2">
        <v>1</v>
      </c>
      <c r="I1517" s="6"/>
      <c r="J1517" s="6"/>
      <c r="K1517" s="7">
        <v>0.5</v>
      </c>
      <c r="L1517" s="7">
        <v>150</v>
      </c>
      <c r="M1517" t="s">
        <v>19</v>
      </c>
      <c r="N1517" s="16">
        <f>POWER(SQRT(WorkOrders279[[#This Row],[WorkDate]]-WorkOrders279[[#This Row],[ReqDate]]),2)</f>
        <v>25.999999999999996</v>
      </c>
      <c r="O1517" s="8">
        <f t="array" ref="O1517">INDEX(TechRate,MATCH(H1517,TechNum,0))</f>
        <v>80</v>
      </c>
      <c r="P1517" s="10">
        <f>WorkOrders279[[#This Row],[Techs]]*(WorkOrders279[[#This Row],[PartsCost]]*WorkOrders279[[#This Row],[LbrHrs]])</f>
        <v>75</v>
      </c>
      <c r="Q1517" s="10">
        <f t="shared" si="137"/>
        <v>75</v>
      </c>
      <c r="R1517" s="10">
        <f t="shared" si="138"/>
        <v>150</v>
      </c>
      <c r="S1517" s="10">
        <f t="shared" si="139"/>
        <v>225</v>
      </c>
      <c r="T1517" s="10">
        <f t="shared" si="140"/>
        <v>225</v>
      </c>
      <c r="U1517" s="8" t="str">
        <f t="shared" si="141"/>
        <v>Fri</v>
      </c>
      <c r="V1517" s="8" t="str">
        <f t="shared" si="142"/>
        <v>Wed</v>
      </c>
    </row>
    <row r="1518" spans="1:22" hidden="1" x14ac:dyDescent="0.25">
      <c r="A1518" t="s">
        <v>60</v>
      </c>
      <c r="B1518" t="s">
        <v>34</v>
      </c>
      <c r="C1518" t="s">
        <v>6</v>
      </c>
      <c r="D1518" t="s">
        <v>12</v>
      </c>
      <c r="F1518" s="5">
        <v>44078</v>
      </c>
      <c r="G1518" s="5">
        <v>44128</v>
      </c>
      <c r="H1518" s="2">
        <v>2</v>
      </c>
      <c r="I1518" s="6"/>
      <c r="J1518" s="6"/>
      <c r="K1518" s="7">
        <v>1.5</v>
      </c>
      <c r="L1518" s="7">
        <v>275</v>
      </c>
      <c r="M1518" t="s">
        <v>18</v>
      </c>
      <c r="N1518" s="16">
        <f>POWER(SQRT(WorkOrders279[[#This Row],[WorkDate]]-WorkOrders279[[#This Row],[ReqDate]]),2)</f>
        <v>50.000000000000007</v>
      </c>
      <c r="O1518" s="8">
        <f t="array" ref="O1518">INDEX(TechRate,MATCH(H1518,TechNum,0))</f>
        <v>140</v>
      </c>
      <c r="P1518" s="10">
        <f>WorkOrders279[[#This Row],[Techs]]*(WorkOrders279[[#This Row],[PartsCost]]*WorkOrders279[[#This Row],[LbrHrs]])</f>
        <v>825</v>
      </c>
      <c r="Q1518" s="10">
        <f t="shared" si="137"/>
        <v>825</v>
      </c>
      <c r="R1518" s="10">
        <f t="shared" si="138"/>
        <v>275</v>
      </c>
      <c r="S1518" s="10">
        <f t="shared" si="139"/>
        <v>1100</v>
      </c>
      <c r="T1518" s="10">
        <f t="shared" si="140"/>
        <v>1100</v>
      </c>
      <c r="U1518" s="8" t="str">
        <f t="shared" si="141"/>
        <v>Fri</v>
      </c>
      <c r="V1518" s="8" t="str">
        <f t="shared" si="142"/>
        <v>Sat</v>
      </c>
    </row>
    <row r="1519" spans="1:22" hidden="1" x14ac:dyDescent="0.25">
      <c r="A1519" t="s">
        <v>61</v>
      </c>
      <c r="B1519" t="s">
        <v>35</v>
      </c>
      <c r="C1519" t="s">
        <v>8</v>
      </c>
      <c r="D1519" t="s">
        <v>13</v>
      </c>
      <c r="E1519" t="s">
        <v>3</v>
      </c>
      <c r="F1519" s="5">
        <v>44078</v>
      </c>
      <c r="G1519" s="5">
        <v>44145</v>
      </c>
      <c r="H1519" s="2">
        <v>1</v>
      </c>
      <c r="I1519" s="6"/>
      <c r="J1519" s="6"/>
      <c r="K1519" s="7">
        <v>0.75</v>
      </c>
      <c r="L1519" s="7">
        <v>938</v>
      </c>
      <c r="M1519" t="s">
        <v>18</v>
      </c>
      <c r="N1519" s="16">
        <f>POWER(SQRT(WorkOrders279[[#This Row],[WorkDate]]-WorkOrders279[[#This Row],[ReqDate]]),2)</f>
        <v>67</v>
      </c>
      <c r="O1519" s="8">
        <f t="array" ref="O1519">INDEX(TechRate,MATCH(H1519,TechNum,0))</f>
        <v>80</v>
      </c>
      <c r="P1519" s="10">
        <f>WorkOrders279[[#This Row],[Techs]]*(WorkOrders279[[#This Row],[PartsCost]]*WorkOrders279[[#This Row],[LbrHrs]])</f>
        <v>703.5</v>
      </c>
      <c r="Q1519" s="10">
        <f t="shared" si="137"/>
        <v>703.5</v>
      </c>
      <c r="R1519" s="10">
        <f t="shared" si="138"/>
        <v>938</v>
      </c>
      <c r="S1519" s="10">
        <f t="shared" si="139"/>
        <v>1641.5</v>
      </c>
      <c r="T1519" s="10">
        <f t="shared" si="140"/>
        <v>1641.5</v>
      </c>
      <c r="U1519" s="8" t="str">
        <f t="shared" si="141"/>
        <v>Fri</v>
      </c>
      <c r="V1519" s="8" t="str">
        <f t="shared" si="142"/>
        <v>Tue</v>
      </c>
    </row>
    <row r="1520" spans="1:22" hidden="1" x14ac:dyDescent="0.25">
      <c r="A1520" t="s">
        <v>62</v>
      </c>
      <c r="B1520" t="s">
        <v>37</v>
      </c>
      <c r="C1520" t="s">
        <v>43</v>
      </c>
      <c r="D1520" t="s">
        <v>12</v>
      </c>
      <c r="F1520" s="5">
        <v>44079</v>
      </c>
      <c r="G1520" s="5">
        <v>44095</v>
      </c>
      <c r="H1520" s="2">
        <v>1</v>
      </c>
      <c r="I1520" s="6"/>
      <c r="J1520" s="6"/>
      <c r="K1520" s="7">
        <v>0.25</v>
      </c>
      <c r="L1520" s="7">
        <v>61.249699999999997</v>
      </c>
      <c r="M1520" t="s">
        <v>17</v>
      </c>
      <c r="N1520" s="16">
        <f>POWER(SQRT(WorkOrders279[[#This Row],[WorkDate]]-WorkOrders279[[#This Row],[ReqDate]]),2)</f>
        <v>16</v>
      </c>
      <c r="O1520" s="8">
        <f t="array" ref="O1520">INDEX(TechRate,MATCH(H1520,TechNum,0))</f>
        <v>80</v>
      </c>
      <c r="P1520" s="10">
        <f>WorkOrders279[[#This Row],[Techs]]*(WorkOrders279[[#This Row],[PartsCost]]*WorkOrders279[[#This Row],[LbrHrs]])</f>
        <v>15.312424999999999</v>
      </c>
      <c r="Q1520" s="10">
        <f t="shared" si="137"/>
        <v>15.312424999999999</v>
      </c>
      <c r="R1520" s="10">
        <f t="shared" si="138"/>
        <v>61.249699999999997</v>
      </c>
      <c r="S1520" s="10">
        <f t="shared" si="139"/>
        <v>76.562124999999995</v>
      </c>
      <c r="T1520" s="10">
        <f t="shared" si="140"/>
        <v>76.562124999999995</v>
      </c>
      <c r="U1520" s="8" t="str">
        <f t="shared" si="141"/>
        <v>Sat</v>
      </c>
      <c r="V1520" s="8" t="str">
        <f t="shared" si="142"/>
        <v>Mon</v>
      </c>
    </row>
    <row r="1521" spans="1:22" hidden="1" x14ac:dyDescent="0.25">
      <c r="A1521" t="s">
        <v>63</v>
      </c>
      <c r="B1521" t="s">
        <v>38</v>
      </c>
      <c r="C1521" t="s">
        <v>9</v>
      </c>
      <c r="D1521" t="s">
        <v>12</v>
      </c>
      <c r="F1521" s="5">
        <v>44079</v>
      </c>
      <c r="G1521" s="5">
        <v>44096</v>
      </c>
      <c r="H1521" s="2">
        <v>1</v>
      </c>
      <c r="I1521" s="6"/>
      <c r="J1521" s="6"/>
      <c r="K1521" s="7">
        <v>1.5</v>
      </c>
      <c r="L1521" s="7">
        <v>48</v>
      </c>
      <c r="M1521" t="s">
        <v>18</v>
      </c>
      <c r="N1521" s="16">
        <f>POWER(SQRT(WorkOrders279[[#This Row],[WorkDate]]-WorkOrders279[[#This Row],[ReqDate]]),2)</f>
        <v>17</v>
      </c>
      <c r="O1521" s="8">
        <f t="array" ref="O1521">INDEX(TechRate,MATCH(H1521,TechNum,0))</f>
        <v>80</v>
      </c>
      <c r="P1521" s="10">
        <f>WorkOrders279[[#This Row],[Techs]]*(WorkOrders279[[#This Row],[PartsCost]]*WorkOrders279[[#This Row],[LbrHrs]])</f>
        <v>72</v>
      </c>
      <c r="Q1521" s="10">
        <f t="shared" si="137"/>
        <v>72</v>
      </c>
      <c r="R1521" s="10">
        <f t="shared" si="138"/>
        <v>48</v>
      </c>
      <c r="S1521" s="10">
        <f t="shared" si="139"/>
        <v>120</v>
      </c>
      <c r="T1521" s="10">
        <f t="shared" si="140"/>
        <v>120</v>
      </c>
      <c r="U1521" s="8" t="str">
        <f t="shared" si="141"/>
        <v>Sat</v>
      </c>
      <c r="V1521" s="8" t="str">
        <f t="shared" si="142"/>
        <v>Tue</v>
      </c>
    </row>
    <row r="1522" spans="1:22" hidden="1" x14ac:dyDescent="0.25">
      <c r="A1522" t="s">
        <v>64</v>
      </c>
      <c r="B1522" t="s">
        <v>35</v>
      </c>
      <c r="C1522" t="s">
        <v>9</v>
      </c>
      <c r="D1522" t="s">
        <v>12</v>
      </c>
      <c r="F1522" s="5">
        <v>44081</v>
      </c>
      <c r="G1522" s="5">
        <v>44084</v>
      </c>
      <c r="H1522" s="2">
        <v>2</v>
      </c>
      <c r="I1522" s="6"/>
      <c r="J1522" s="6"/>
      <c r="K1522" s="7">
        <v>0.25</v>
      </c>
      <c r="L1522" s="7">
        <v>204.28399999999999</v>
      </c>
      <c r="M1522" t="s">
        <v>17</v>
      </c>
      <c r="N1522" s="16">
        <f>POWER(SQRT(WorkOrders279[[#This Row],[WorkDate]]-WorkOrders279[[#This Row],[ReqDate]]),2)</f>
        <v>2.9999999999999996</v>
      </c>
      <c r="O1522" s="8">
        <f t="array" ref="O1522">INDEX(TechRate,MATCH(H1522,TechNum,0))</f>
        <v>140</v>
      </c>
      <c r="P1522" s="10">
        <f>WorkOrders279[[#This Row],[Techs]]*(WorkOrders279[[#This Row],[PartsCost]]*WorkOrders279[[#This Row],[LbrHrs]])</f>
        <v>102.142</v>
      </c>
      <c r="Q1522" s="10">
        <f t="shared" si="137"/>
        <v>102.142</v>
      </c>
      <c r="R1522" s="10">
        <f t="shared" si="138"/>
        <v>204.28399999999999</v>
      </c>
      <c r="S1522" s="10">
        <f t="shared" si="139"/>
        <v>306.42599999999999</v>
      </c>
      <c r="T1522" s="10">
        <f t="shared" si="140"/>
        <v>306.42599999999999</v>
      </c>
      <c r="U1522" s="8" t="str">
        <f t="shared" si="141"/>
        <v>Mon</v>
      </c>
      <c r="V1522" s="8" t="str">
        <f t="shared" si="142"/>
        <v>Thu</v>
      </c>
    </row>
    <row r="1523" spans="1:22" hidden="1" x14ac:dyDescent="0.25">
      <c r="A1523" t="s">
        <v>65</v>
      </c>
      <c r="B1523" t="s">
        <v>35</v>
      </c>
      <c r="C1523" t="s">
        <v>44</v>
      </c>
      <c r="D1523" t="s">
        <v>13</v>
      </c>
      <c r="F1523" s="5">
        <v>44082</v>
      </c>
      <c r="G1523" s="5">
        <v>44089</v>
      </c>
      <c r="H1523" s="2">
        <v>2</v>
      </c>
      <c r="I1523" s="6"/>
      <c r="J1523" s="6"/>
      <c r="K1523" s="7">
        <v>0.5</v>
      </c>
      <c r="L1523" s="7">
        <v>240</v>
      </c>
      <c r="M1523" t="s">
        <v>17</v>
      </c>
      <c r="N1523" s="16">
        <f>POWER(SQRT(WorkOrders279[[#This Row],[WorkDate]]-WorkOrders279[[#This Row],[ReqDate]]),2)</f>
        <v>7.0000000000000009</v>
      </c>
      <c r="O1523" s="8">
        <f t="array" ref="O1523">INDEX(TechRate,MATCH(H1523,TechNum,0))</f>
        <v>140</v>
      </c>
      <c r="P1523" s="10">
        <f>WorkOrders279[[#This Row],[Techs]]*(WorkOrders279[[#This Row],[PartsCost]]*WorkOrders279[[#This Row],[LbrHrs]])</f>
        <v>240</v>
      </c>
      <c r="Q1523" s="10">
        <f t="shared" si="137"/>
        <v>240</v>
      </c>
      <c r="R1523" s="10">
        <f t="shared" si="138"/>
        <v>240</v>
      </c>
      <c r="S1523" s="10">
        <f t="shared" si="139"/>
        <v>480</v>
      </c>
      <c r="T1523" s="10">
        <f t="shared" si="140"/>
        <v>480</v>
      </c>
      <c r="U1523" s="8" t="str">
        <f t="shared" si="141"/>
        <v>Tue</v>
      </c>
      <c r="V1523" s="8" t="str">
        <f t="shared" si="142"/>
        <v>Tue</v>
      </c>
    </row>
    <row r="1524" spans="1:22" hidden="1" x14ac:dyDescent="0.25">
      <c r="A1524" t="s">
        <v>66</v>
      </c>
      <c r="B1524" t="s">
        <v>39</v>
      </c>
      <c r="C1524" t="s">
        <v>8</v>
      </c>
      <c r="D1524" t="s">
        <v>13</v>
      </c>
      <c r="F1524" s="5">
        <v>44082</v>
      </c>
      <c r="G1524" s="5">
        <v>44091</v>
      </c>
      <c r="H1524" s="2">
        <v>2</v>
      </c>
      <c r="I1524" s="6"/>
      <c r="J1524" s="6"/>
      <c r="K1524" s="7">
        <v>0.5</v>
      </c>
      <c r="L1524" s="7">
        <v>120</v>
      </c>
      <c r="M1524" t="s">
        <v>17</v>
      </c>
      <c r="N1524" s="16">
        <f>POWER(SQRT(WorkOrders279[[#This Row],[WorkDate]]-WorkOrders279[[#This Row],[ReqDate]]),2)</f>
        <v>9</v>
      </c>
      <c r="O1524" s="8">
        <f t="array" ref="O1524">INDEX(TechRate,MATCH(H1524,TechNum,0))</f>
        <v>140</v>
      </c>
      <c r="P1524" s="10">
        <f>WorkOrders279[[#This Row],[Techs]]*(WorkOrders279[[#This Row],[PartsCost]]*WorkOrders279[[#This Row],[LbrHrs]])</f>
        <v>120</v>
      </c>
      <c r="Q1524" s="10">
        <f t="shared" si="137"/>
        <v>120</v>
      </c>
      <c r="R1524" s="10">
        <f t="shared" si="138"/>
        <v>120</v>
      </c>
      <c r="S1524" s="10">
        <f t="shared" si="139"/>
        <v>240</v>
      </c>
      <c r="T1524" s="10">
        <f t="shared" si="140"/>
        <v>240</v>
      </c>
      <c r="U1524" s="8" t="str">
        <f t="shared" si="141"/>
        <v>Tue</v>
      </c>
      <c r="V1524" s="8" t="str">
        <f t="shared" si="142"/>
        <v>Thu</v>
      </c>
    </row>
    <row r="1525" spans="1:22" hidden="1" x14ac:dyDescent="0.25">
      <c r="A1525" t="s">
        <v>67</v>
      </c>
      <c r="B1525" t="s">
        <v>34</v>
      </c>
      <c r="C1525" t="s">
        <v>44</v>
      </c>
      <c r="D1525" t="s">
        <v>2</v>
      </c>
      <c r="F1525" s="5">
        <v>44082</v>
      </c>
      <c r="G1525" s="5">
        <v>44095</v>
      </c>
      <c r="H1525" s="2">
        <v>1</v>
      </c>
      <c r="I1525" s="6"/>
      <c r="J1525" s="6"/>
      <c r="K1525" s="7">
        <v>1.75</v>
      </c>
      <c r="L1525" s="7">
        <v>475</v>
      </c>
      <c r="M1525" t="s">
        <v>17</v>
      </c>
      <c r="N1525" s="16">
        <f>POWER(SQRT(WorkOrders279[[#This Row],[WorkDate]]-WorkOrders279[[#This Row],[ReqDate]]),2)</f>
        <v>12.999999999999998</v>
      </c>
      <c r="O1525" s="8">
        <f t="array" ref="O1525">INDEX(TechRate,MATCH(H1525,TechNum,0))</f>
        <v>80</v>
      </c>
      <c r="P1525" s="10">
        <f>WorkOrders279[[#This Row],[Techs]]*(WorkOrders279[[#This Row],[PartsCost]]*WorkOrders279[[#This Row],[LbrHrs]])</f>
        <v>831.25</v>
      </c>
      <c r="Q1525" s="10">
        <f t="shared" si="137"/>
        <v>831.25</v>
      </c>
      <c r="R1525" s="10">
        <f t="shared" si="138"/>
        <v>475</v>
      </c>
      <c r="S1525" s="10">
        <f t="shared" si="139"/>
        <v>1306.25</v>
      </c>
      <c r="T1525" s="10">
        <f t="shared" si="140"/>
        <v>1306.25</v>
      </c>
      <c r="U1525" s="8" t="str">
        <f t="shared" si="141"/>
        <v>Tue</v>
      </c>
      <c r="V1525" s="8" t="str">
        <f t="shared" si="142"/>
        <v>Mon</v>
      </c>
    </row>
    <row r="1526" spans="1:22" hidden="1" x14ac:dyDescent="0.25">
      <c r="A1526" t="s">
        <v>68</v>
      </c>
      <c r="B1526" t="s">
        <v>39</v>
      </c>
      <c r="C1526" t="s">
        <v>8</v>
      </c>
      <c r="D1526" t="s">
        <v>13</v>
      </c>
      <c r="F1526" s="5">
        <v>44082</v>
      </c>
      <c r="G1526" s="5">
        <v>44096</v>
      </c>
      <c r="H1526" s="2">
        <v>1</v>
      </c>
      <c r="I1526" s="6"/>
      <c r="J1526" s="6"/>
      <c r="K1526" s="7">
        <v>1.75</v>
      </c>
      <c r="L1526" s="7">
        <v>341</v>
      </c>
      <c r="M1526" t="s">
        <v>18</v>
      </c>
      <c r="N1526" s="16">
        <f>POWER(SQRT(WorkOrders279[[#This Row],[WorkDate]]-WorkOrders279[[#This Row],[ReqDate]]),2)</f>
        <v>14</v>
      </c>
      <c r="O1526" s="8">
        <f t="array" ref="O1526">INDEX(TechRate,MATCH(H1526,TechNum,0))</f>
        <v>80</v>
      </c>
      <c r="P1526" s="10">
        <f>WorkOrders279[[#This Row],[Techs]]*(WorkOrders279[[#This Row],[PartsCost]]*WorkOrders279[[#This Row],[LbrHrs]])</f>
        <v>596.75</v>
      </c>
      <c r="Q1526" s="10">
        <f t="shared" si="137"/>
        <v>596.75</v>
      </c>
      <c r="R1526" s="10">
        <f t="shared" si="138"/>
        <v>341</v>
      </c>
      <c r="S1526" s="10">
        <f t="shared" si="139"/>
        <v>937.75</v>
      </c>
      <c r="T1526" s="10">
        <f t="shared" si="140"/>
        <v>937.75</v>
      </c>
      <c r="U1526" s="8" t="str">
        <f t="shared" si="141"/>
        <v>Tue</v>
      </c>
      <c r="V1526" s="8" t="str">
        <f t="shared" si="142"/>
        <v>Tue</v>
      </c>
    </row>
    <row r="1527" spans="1:22" hidden="1" x14ac:dyDescent="0.25">
      <c r="A1527" t="s">
        <v>69</v>
      </c>
      <c r="B1527" t="s">
        <v>35</v>
      </c>
      <c r="C1527" t="s">
        <v>8</v>
      </c>
      <c r="D1527" t="s">
        <v>12</v>
      </c>
      <c r="F1527" s="5">
        <v>44082</v>
      </c>
      <c r="G1527" s="5">
        <v>44132</v>
      </c>
      <c r="H1527" s="2">
        <v>1</v>
      </c>
      <c r="I1527" s="6"/>
      <c r="J1527" s="6"/>
      <c r="K1527" s="7">
        <v>0.75</v>
      </c>
      <c r="L1527" s="7">
        <v>61.180599999999998</v>
      </c>
      <c r="M1527" t="s">
        <v>18</v>
      </c>
      <c r="N1527" s="16">
        <f>POWER(SQRT(WorkOrders279[[#This Row],[WorkDate]]-WorkOrders279[[#This Row],[ReqDate]]),2)</f>
        <v>50.000000000000007</v>
      </c>
      <c r="O1527" s="8">
        <f t="array" ref="O1527">INDEX(TechRate,MATCH(H1527,TechNum,0))</f>
        <v>80</v>
      </c>
      <c r="P1527" s="10">
        <f>WorkOrders279[[#This Row],[Techs]]*(WorkOrders279[[#This Row],[PartsCost]]*WorkOrders279[[#This Row],[LbrHrs]])</f>
        <v>45.885449999999999</v>
      </c>
      <c r="Q1527" s="10">
        <f t="shared" si="137"/>
        <v>45.885449999999999</v>
      </c>
      <c r="R1527" s="10">
        <f t="shared" si="138"/>
        <v>61.180599999999998</v>
      </c>
      <c r="S1527" s="10">
        <f t="shared" si="139"/>
        <v>107.06604999999999</v>
      </c>
      <c r="T1527" s="10">
        <f t="shared" si="140"/>
        <v>107.06604999999999</v>
      </c>
      <c r="U1527" s="8" t="str">
        <f t="shared" si="141"/>
        <v>Tue</v>
      </c>
      <c r="V1527" s="8" t="str">
        <f t="shared" si="142"/>
        <v>Wed</v>
      </c>
    </row>
    <row r="1528" spans="1:22" hidden="1" x14ac:dyDescent="0.25">
      <c r="A1528" t="s">
        <v>70</v>
      </c>
      <c r="B1528" t="s">
        <v>37</v>
      </c>
      <c r="C1528" t="s">
        <v>43</v>
      </c>
      <c r="D1528" t="s">
        <v>13</v>
      </c>
      <c r="F1528" s="5">
        <v>44082</v>
      </c>
      <c r="G1528" s="5">
        <v>44152</v>
      </c>
      <c r="H1528" s="2">
        <v>1</v>
      </c>
      <c r="I1528" s="6"/>
      <c r="J1528" s="6"/>
      <c r="K1528" s="7">
        <v>0.5</v>
      </c>
      <c r="L1528" s="7">
        <v>155.3931</v>
      </c>
      <c r="M1528" t="s">
        <v>17</v>
      </c>
      <c r="N1528" s="16">
        <f>POWER(SQRT(WorkOrders279[[#This Row],[WorkDate]]-WorkOrders279[[#This Row],[ReqDate]]),2)</f>
        <v>70</v>
      </c>
      <c r="O1528" s="8">
        <f t="array" ref="O1528">INDEX(TechRate,MATCH(H1528,TechNum,0))</f>
        <v>80</v>
      </c>
      <c r="P1528" s="10">
        <f>WorkOrders279[[#This Row],[Techs]]*(WorkOrders279[[#This Row],[PartsCost]]*WorkOrders279[[#This Row],[LbrHrs]])</f>
        <v>77.696550000000002</v>
      </c>
      <c r="Q1528" s="10">
        <f t="shared" si="137"/>
        <v>77.696550000000002</v>
      </c>
      <c r="R1528" s="10">
        <f t="shared" si="138"/>
        <v>155.3931</v>
      </c>
      <c r="S1528" s="10">
        <f t="shared" si="139"/>
        <v>233.08965000000001</v>
      </c>
      <c r="T1528" s="10">
        <f t="shared" si="140"/>
        <v>233.08965000000001</v>
      </c>
      <c r="U1528" s="8" t="str">
        <f t="shared" si="141"/>
        <v>Tue</v>
      </c>
      <c r="V1528" s="8" t="str">
        <f t="shared" si="142"/>
        <v>Tue</v>
      </c>
    </row>
    <row r="1529" spans="1:22" hidden="1" x14ac:dyDescent="0.25">
      <c r="A1529" t="s">
        <v>71</v>
      </c>
      <c r="B1529" t="s">
        <v>35</v>
      </c>
      <c r="C1529" t="s">
        <v>6</v>
      </c>
      <c r="D1529" t="s">
        <v>13</v>
      </c>
      <c r="E1529" t="s">
        <v>3</v>
      </c>
      <c r="F1529" s="5">
        <v>44083</v>
      </c>
      <c r="G1529" s="5">
        <v>44098</v>
      </c>
      <c r="H1529" s="2">
        <v>2</v>
      </c>
      <c r="I1529" s="6"/>
      <c r="J1529" s="6"/>
      <c r="K1529" s="7">
        <v>0.5</v>
      </c>
      <c r="L1529" s="7">
        <v>204.28399999999999</v>
      </c>
      <c r="M1529" t="s">
        <v>18</v>
      </c>
      <c r="N1529" s="16">
        <f>POWER(SQRT(WorkOrders279[[#This Row],[WorkDate]]-WorkOrders279[[#This Row],[ReqDate]]),2)</f>
        <v>15.000000000000002</v>
      </c>
      <c r="O1529" s="8">
        <f t="array" ref="O1529">INDEX(TechRate,MATCH(H1529,TechNum,0))</f>
        <v>140</v>
      </c>
      <c r="P1529" s="10">
        <f>WorkOrders279[[#This Row],[Techs]]*(WorkOrders279[[#This Row],[PartsCost]]*WorkOrders279[[#This Row],[LbrHrs]])</f>
        <v>204.28399999999999</v>
      </c>
      <c r="Q1529" s="10">
        <f t="shared" si="137"/>
        <v>204.28399999999999</v>
      </c>
      <c r="R1529" s="10">
        <f t="shared" si="138"/>
        <v>204.28399999999999</v>
      </c>
      <c r="S1529" s="10">
        <f t="shared" si="139"/>
        <v>408.56799999999998</v>
      </c>
      <c r="T1529" s="10">
        <f t="shared" si="140"/>
        <v>408.56799999999998</v>
      </c>
      <c r="U1529" s="8" t="str">
        <f t="shared" si="141"/>
        <v>Wed</v>
      </c>
      <c r="V1529" s="8" t="str">
        <f t="shared" si="142"/>
        <v>Thu</v>
      </c>
    </row>
    <row r="1530" spans="1:22" hidden="1" x14ac:dyDescent="0.25">
      <c r="A1530" t="s">
        <v>72</v>
      </c>
      <c r="B1530" t="s">
        <v>37</v>
      </c>
      <c r="C1530" t="s">
        <v>43</v>
      </c>
      <c r="D1530" t="s">
        <v>12</v>
      </c>
      <c r="F1530" s="5">
        <v>44083</v>
      </c>
      <c r="G1530" s="5">
        <v>44103</v>
      </c>
      <c r="H1530" s="2">
        <v>1</v>
      </c>
      <c r="I1530" s="6"/>
      <c r="J1530" s="6"/>
      <c r="K1530" s="7">
        <v>0.5</v>
      </c>
      <c r="L1530" s="7">
        <v>37.917400000000001</v>
      </c>
      <c r="M1530" t="s">
        <v>17</v>
      </c>
      <c r="N1530" s="16">
        <f>POWER(SQRT(WorkOrders279[[#This Row],[WorkDate]]-WorkOrders279[[#This Row],[ReqDate]]),2)</f>
        <v>20.000000000000004</v>
      </c>
      <c r="O1530" s="8">
        <f t="array" ref="O1530">INDEX(TechRate,MATCH(H1530,TechNum,0))</f>
        <v>80</v>
      </c>
      <c r="P1530" s="10">
        <f>WorkOrders279[[#This Row],[Techs]]*(WorkOrders279[[#This Row],[PartsCost]]*WorkOrders279[[#This Row],[LbrHrs]])</f>
        <v>18.9587</v>
      </c>
      <c r="Q1530" s="10">
        <f t="shared" si="137"/>
        <v>18.9587</v>
      </c>
      <c r="R1530" s="10">
        <f t="shared" si="138"/>
        <v>37.917400000000001</v>
      </c>
      <c r="S1530" s="10">
        <f t="shared" si="139"/>
        <v>56.876100000000001</v>
      </c>
      <c r="T1530" s="10">
        <f t="shared" si="140"/>
        <v>56.876100000000001</v>
      </c>
      <c r="U1530" s="8" t="str">
        <f t="shared" si="141"/>
        <v>Wed</v>
      </c>
      <c r="V1530" s="8" t="str">
        <f t="shared" si="142"/>
        <v>Tue</v>
      </c>
    </row>
    <row r="1531" spans="1:22" hidden="1" x14ac:dyDescent="0.25">
      <c r="A1531" t="s">
        <v>73</v>
      </c>
      <c r="B1531" t="s">
        <v>35</v>
      </c>
      <c r="C1531" t="s">
        <v>9</v>
      </c>
      <c r="D1531" t="s">
        <v>11</v>
      </c>
      <c r="E1531" t="s">
        <v>3</v>
      </c>
      <c r="F1531" s="5">
        <v>44083</v>
      </c>
      <c r="G1531" s="5">
        <v>44103</v>
      </c>
      <c r="H1531" s="2">
        <v>1</v>
      </c>
      <c r="I1531" s="6"/>
      <c r="J1531" s="6"/>
      <c r="K1531" s="7">
        <v>0.25</v>
      </c>
      <c r="L1531" s="7">
        <v>88.405699999999996</v>
      </c>
      <c r="M1531" t="s">
        <v>17</v>
      </c>
      <c r="N1531" s="16">
        <f>POWER(SQRT(WorkOrders279[[#This Row],[WorkDate]]-WorkOrders279[[#This Row],[ReqDate]]),2)</f>
        <v>20.000000000000004</v>
      </c>
      <c r="O1531" s="8">
        <f t="array" ref="O1531">INDEX(TechRate,MATCH(H1531,TechNum,0))</f>
        <v>80</v>
      </c>
      <c r="P1531" s="10">
        <f>WorkOrders279[[#This Row],[Techs]]*(WorkOrders279[[#This Row],[PartsCost]]*WorkOrders279[[#This Row],[LbrHrs]])</f>
        <v>22.101424999999999</v>
      </c>
      <c r="Q1531" s="10">
        <f t="shared" si="137"/>
        <v>22.101424999999999</v>
      </c>
      <c r="R1531" s="10">
        <f t="shared" si="138"/>
        <v>88.405699999999996</v>
      </c>
      <c r="S1531" s="10">
        <f t="shared" si="139"/>
        <v>110.507125</v>
      </c>
      <c r="T1531" s="10">
        <f t="shared" si="140"/>
        <v>110.507125</v>
      </c>
      <c r="U1531" s="8" t="str">
        <f t="shared" si="141"/>
        <v>Wed</v>
      </c>
      <c r="V1531" s="8" t="str">
        <f t="shared" si="142"/>
        <v>Tue</v>
      </c>
    </row>
    <row r="1532" spans="1:22" hidden="1" x14ac:dyDescent="0.25">
      <c r="A1532" t="s">
        <v>74</v>
      </c>
      <c r="B1532" t="s">
        <v>37</v>
      </c>
      <c r="C1532" t="s">
        <v>43</v>
      </c>
      <c r="D1532" t="s">
        <v>11</v>
      </c>
      <c r="F1532" s="5">
        <v>44083</v>
      </c>
      <c r="G1532" s="5">
        <v>44103</v>
      </c>
      <c r="H1532" s="2">
        <v>1</v>
      </c>
      <c r="I1532" s="6"/>
      <c r="J1532" s="6"/>
      <c r="K1532" s="7">
        <v>0.25</v>
      </c>
      <c r="L1532" s="7">
        <v>202.28639999999999</v>
      </c>
      <c r="M1532" t="s">
        <v>17</v>
      </c>
      <c r="N1532" s="16">
        <f>POWER(SQRT(WorkOrders279[[#This Row],[WorkDate]]-WorkOrders279[[#This Row],[ReqDate]]),2)</f>
        <v>20.000000000000004</v>
      </c>
      <c r="O1532" s="8">
        <f t="array" ref="O1532">INDEX(TechRate,MATCH(H1532,TechNum,0))</f>
        <v>80</v>
      </c>
      <c r="P1532" s="10">
        <f>WorkOrders279[[#This Row],[Techs]]*(WorkOrders279[[#This Row],[PartsCost]]*WorkOrders279[[#This Row],[LbrHrs]])</f>
        <v>50.571599999999997</v>
      </c>
      <c r="Q1532" s="10">
        <f t="shared" si="137"/>
        <v>50.571599999999997</v>
      </c>
      <c r="R1532" s="10">
        <f t="shared" si="138"/>
        <v>202.28639999999999</v>
      </c>
      <c r="S1532" s="10">
        <f t="shared" si="139"/>
        <v>252.85799999999998</v>
      </c>
      <c r="T1532" s="10">
        <f t="shared" si="140"/>
        <v>252.85799999999998</v>
      </c>
      <c r="U1532" s="8" t="str">
        <f t="shared" si="141"/>
        <v>Wed</v>
      </c>
      <c r="V1532" s="8" t="str">
        <f t="shared" si="142"/>
        <v>Tue</v>
      </c>
    </row>
    <row r="1533" spans="1:22" hidden="1" x14ac:dyDescent="0.25">
      <c r="A1533" t="s">
        <v>75</v>
      </c>
      <c r="B1533" t="s">
        <v>38</v>
      </c>
      <c r="C1533" t="s">
        <v>8</v>
      </c>
      <c r="D1533" t="s">
        <v>12</v>
      </c>
      <c r="F1533" s="5">
        <v>44084</v>
      </c>
      <c r="G1533" s="5">
        <v>44102</v>
      </c>
      <c r="H1533" s="2">
        <v>1</v>
      </c>
      <c r="I1533" s="6"/>
      <c r="J1533" s="6"/>
      <c r="K1533" s="7">
        <v>0.5</v>
      </c>
      <c r="L1533" s="7">
        <v>120</v>
      </c>
      <c r="M1533" t="s">
        <v>19</v>
      </c>
      <c r="N1533" s="16">
        <f>POWER(SQRT(WorkOrders279[[#This Row],[WorkDate]]-WorkOrders279[[#This Row],[ReqDate]]),2)</f>
        <v>17.999999999999996</v>
      </c>
      <c r="O1533" s="8">
        <f t="array" ref="O1533">INDEX(TechRate,MATCH(H1533,TechNum,0))</f>
        <v>80</v>
      </c>
      <c r="P1533" s="10">
        <f>WorkOrders279[[#This Row],[Techs]]*(WorkOrders279[[#This Row],[PartsCost]]*WorkOrders279[[#This Row],[LbrHrs]])</f>
        <v>60</v>
      </c>
      <c r="Q1533" s="10">
        <f t="shared" si="137"/>
        <v>60</v>
      </c>
      <c r="R1533" s="10">
        <f t="shared" si="138"/>
        <v>120</v>
      </c>
      <c r="S1533" s="10">
        <f t="shared" si="139"/>
        <v>180</v>
      </c>
      <c r="T1533" s="10">
        <f t="shared" si="140"/>
        <v>180</v>
      </c>
      <c r="U1533" s="8" t="str">
        <f t="shared" si="141"/>
        <v>Thu</v>
      </c>
      <c r="V1533" s="8" t="str">
        <f t="shared" si="142"/>
        <v>Mon</v>
      </c>
    </row>
    <row r="1534" spans="1:22" hidden="1" x14ac:dyDescent="0.25">
      <c r="A1534" t="s">
        <v>76</v>
      </c>
      <c r="B1534" t="s">
        <v>35</v>
      </c>
      <c r="C1534" t="s">
        <v>6</v>
      </c>
      <c r="D1534" t="s">
        <v>11</v>
      </c>
      <c r="F1534" s="5">
        <v>44085</v>
      </c>
      <c r="G1534" s="5">
        <v>44088</v>
      </c>
      <c r="H1534" s="2">
        <v>1</v>
      </c>
      <c r="I1534" s="6"/>
      <c r="J1534" s="6"/>
      <c r="K1534" s="7">
        <v>0.25</v>
      </c>
      <c r="L1534" s="7">
        <v>120</v>
      </c>
      <c r="M1534" t="s">
        <v>17</v>
      </c>
      <c r="N1534" s="16">
        <f>POWER(SQRT(WorkOrders279[[#This Row],[WorkDate]]-WorkOrders279[[#This Row],[ReqDate]]),2)</f>
        <v>2.9999999999999996</v>
      </c>
      <c r="O1534" s="8">
        <f t="array" ref="O1534">INDEX(TechRate,MATCH(H1534,TechNum,0))</f>
        <v>80</v>
      </c>
      <c r="P1534" s="10">
        <f>WorkOrders279[[#This Row],[Techs]]*(WorkOrders279[[#This Row],[PartsCost]]*WorkOrders279[[#This Row],[LbrHrs]])</f>
        <v>30</v>
      </c>
      <c r="Q1534" s="10">
        <f t="shared" si="137"/>
        <v>30</v>
      </c>
      <c r="R1534" s="10">
        <f t="shared" si="138"/>
        <v>120</v>
      </c>
      <c r="S1534" s="10">
        <f t="shared" si="139"/>
        <v>150</v>
      </c>
      <c r="T1534" s="10">
        <f t="shared" si="140"/>
        <v>150</v>
      </c>
      <c r="U1534" s="8" t="str">
        <f t="shared" si="141"/>
        <v>Fri</v>
      </c>
      <c r="V1534" s="8" t="str">
        <f t="shared" si="142"/>
        <v>Mon</v>
      </c>
    </row>
    <row r="1535" spans="1:22" hidden="1" x14ac:dyDescent="0.25">
      <c r="A1535" t="s">
        <v>77</v>
      </c>
      <c r="B1535" t="s">
        <v>42</v>
      </c>
      <c r="C1535" t="s">
        <v>44</v>
      </c>
      <c r="D1535" t="s">
        <v>13</v>
      </c>
      <c r="F1535" s="5">
        <v>44085</v>
      </c>
      <c r="G1535" s="5">
        <v>44089</v>
      </c>
      <c r="H1535" s="2">
        <v>2</v>
      </c>
      <c r="I1535" s="6"/>
      <c r="J1535" s="6"/>
      <c r="K1535" s="7">
        <v>0.5</v>
      </c>
      <c r="L1535" s="7">
        <v>535.62480000000005</v>
      </c>
      <c r="M1535" t="s">
        <v>18</v>
      </c>
      <c r="N1535" s="16">
        <f>POWER(SQRT(WorkOrders279[[#This Row],[WorkDate]]-WorkOrders279[[#This Row],[ReqDate]]),2)</f>
        <v>4</v>
      </c>
      <c r="O1535" s="8">
        <f t="array" ref="O1535">INDEX(TechRate,MATCH(H1535,TechNum,0))</f>
        <v>140</v>
      </c>
      <c r="P1535" s="10">
        <f>WorkOrders279[[#This Row],[Techs]]*(WorkOrders279[[#This Row],[PartsCost]]*WorkOrders279[[#This Row],[LbrHrs]])</f>
        <v>535.62480000000005</v>
      </c>
      <c r="Q1535" s="10">
        <f t="shared" si="137"/>
        <v>535.62480000000005</v>
      </c>
      <c r="R1535" s="10">
        <f t="shared" si="138"/>
        <v>535.62480000000005</v>
      </c>
      <c r="S1535" s="10">
        <f t="shared" si="139"/>
        <v>1071.2496000000001</v>
      </c>
      <c r="T1535" s="10">
        <f t="shared" si="140"/>
        <v>1071.2496000000001</v>
      </c>
      <c r="U1535" s="8" t="str">
        <f t="shared" si="141"/>
        <v>Fri</v>
      </c>
      <c r="V1535" s="8" t="str">
        <f t="shared" si="142"/>
        <v>Tue</v>
      </c>
    </row>
    <row r="1536" spans="1:22" hidden="1" x14ac:dyDescent="0.25">
      <c r="A1536" t="s">
        <v>78</v>
      </c>
      <c r="B1536" t="s">
        <v>35</v>
      </c>
      <c r="C1536" t="s">
        <v>8</v>
      </c>
      <c r="D1536" t="s">
        <v>12</v>
      </c>
      <c r="F1536" s="5">
        <v>44085</v>
      </c>
      <c r="G1536" s="5">
        <v>44097</v>
      </c>
      <c r="H1536" s="2">
        <v>2</v>
      </c>
      <c r="I1536" s="6"/>
      <c r="J1536" s="6"/>
      <c r="K1536" s="7">
        <v>0.25</v>
      </c>
      <c r="L1536" s="7">
        <v>24.63</v>
      </c>
      <c r="M1536" t="s">
        <v>17</v>
      </c>
      <c r="N1536" s="16">
        <f>POWER(SQRT(WorkOrders279[[#This Row],[WorkDate]]-WorkOrders279[[#This Row],[ReqDate]]),2)</f>
        <v>11.999999999999998</v>
      </c>
      <c r="O1536" s="8">
        <f t="array" ref="O1536">INDEX(TechRate,MATCH(H1536,TechNum,0))</f>
        <v>140</v>
      </c>
      <c r="P1536" s="10">
        <f>WorkOrders279[[#This Row],[Techs]]*(WorkOrders279[[#This Row],[PartsCost]]*WorkOrders279[[#This Row],[LbrHrs]])</f>
        <v>12.315</v>
      </c>
      <c r="Q1536" s="10">
        <f t="shared" si="137"/>
        <v>12.315</v>
      </c>
      <c r="R1536" s="10">
        <f t="shared" si="138"/>
        <v>24.63</v>
      </c>
      <c r="S1536" s="10">
        <f t="shared" si="139"/>
        <v>36.945</v>
      </c>
      <c r="T1536" s="10">
        <f t="shared" si="140"/>
        <v>36.945</v>
      </c>
      <c r="U1536" s="8" t="str">
        <f t="shared" si="141"/>
        <v>Fri</v>
      </c>
      <c r="V1536" s="8" t="str">
        <f t="shared" si="142"/>
        <v>Wed</v>
      </c>
    </row>
    <row r="1537" spans="1:22" hidden="1" x14ac:dyDescent="0.25">
      <c r="A1537" t="s">
        <v>79</v>
      </c>
      <c r="B1537" t="s">
        <v>35</v>
      </c>
      <c r="C1537" t="s">
        <v>8</v>
      </c>
      <c r="D1537" t="s">
        <v>13</v>
      </c>
      <c r="F1537" s="5">
        <v>44085</v>
      </c>
      <c r="G1537" s="5">
        <v>44100</v>
      </c>
      <c r="H1537" s="2">
        <v>2</v>
      </c>
      <c r="I1537" s="6"/>
      <c r="J1537" s="6"/>
      <c r="K1537" s="7">
        <v>0.5</v>
      </c>
      <c r="L1537" s="7">
        <v>43.26</v>
      </c>
      <c r="M1537" t="s">
        <v>17</v>
      </c>
      <c r="N1537" s="16">
        <f>POWER(SQRT(WorkOrders279[[#This Row],[WorkDate]]-WorkOrders279[[#This Row],[ReqDate]]),2)</f>
        <v>15.000000000000002</v>
      </c>
      <c r="O1537" s="8">
        <f t="array" ref="O1537">INDEX(TechRate,MATCH(H1537,TechNum,0))</f>
        <v>140</v>
      </c>
      <c r="P1537" s="10">
        <f>WorkOrders279[[#This Row],[Techs]]*(WorkOrders279[[#This Row],[PartsCost]]*WorkOrders279[[#This Row],[LbrHrs]])</f>
        <v>43.26</v>
      </c>
      <c r="Q1537" s="10">
        <f t="shared" si="137"/>
        <v>43.26</v>
      </c>
      <c r="R1537" s="10">
        <f t="shared" si="138"/>
        <v>43.26</v>
      </c>
      <c r="S1537" s="10">
        <f t="shared" si="139"/>
        <v>86.52</v>
      </c>
      <c r="T1537" s="10">
        <f t="shared" si="140"/>
        <v>86.52</v>
      </c>
      <c r="U1537" s="8" t="str">
        <f t="shared" si="141"/>
        <v>Fri</v>
      </c>
      <c r="V1537" s="8" t="str">
        <f t="shared" si="142"/>
        <v>Sat</v>
      </c>
    </row>
    <row r="1538" spans="1:22" hidden="1" x14ac:dyDescent="0.25">
      <c r="A1538" t="s">
        <v>80</v>
      </c>
      <c r="B1538" t="s">
        <v>38</v>
      </c>
      <c r="C1538" t="s">
        <v>8</v>
      </c>
      <c r="D1538" t="s">
        <v>12</v>
      </c>
      <c r="F1538" s="5">
        <v>44085</v>
      </c>
      <c r="G1538" s="5">
        <v>44110</v>
      </c>
      <c r="H1538" s="2">
        <v>1</v>
      </c>
      <c r="I1538" s="6"/>
      <c r="J1538" s="6"/>
      <c r="K1538" s="7">
        <v>0.25</v>
      </c>
      <c r="L1538" s="7">
        <v>21.33</v>
      </c>
      <c r="M1538" t="s">
        <v>17</v>
      </c>
      <c r="N1538" s="16">
        <f>POWER(SQRT(WorkOrders279[[#This Row],[WorkDate]]-WorkOrders279[[#This Row],[ReqDate]]),2)</f>
        <v>25</v>
      </c>
      <c r="O1538" s="8">
        <f t="array" ref="O1538">INDEX(TechRate,MATCH(H1538,TechNum,0))</f>
        <v>80</v>
      </c>
      <c r="P1538" s="10">
        <f>WorkOrders279[[#This Row],[Techs]]*(WorkOrders279[[#This Row],[PartsCost]]*WorkOrders279[[#This Row],[LbrHrs]])</f>
        <v>5.3324999999999996</v>
      </c>
      <c r="Q1538" s="10">
        <f t="shared" si="137"/>
        <v>5.3324999999999996</v>
      </c>
      <c r="R1538" s="10">
        <f t="shared" si="138"/>
        <v>21.33</v>
      </c>
      <c r="S1538" s="10">
        <f t="shared" si="139"/>
        <v>26.662499999999998</v>
      </c>
      <c r="T1538" s="10">
        <f t="shared" si="140"/>
        <v>26.662499999999998</v>
      </c>
      <c r="U1538" s="8" t="str">
        <f t="shared" si="141"/>
        <v>Fri</v>
      </c>
      <c r="V1538" s="8" t="str">
        <f t="shared" si="142"/>
        <v>Tue</v>
      </c>
    </row>
    <row r="1539" spans="1:22" hidden="1" x14ac:dyDescent="0.25">
      <c r="A1539" t="s">
        <v>81</v>
      </c>
      <c r="B1539" t="s">
        <v>38</v>
      </c>
      <c r="C1539" t="s">
        <v>8</v>
      </c>
      <c r="D1539" t="s">
        <v>13</v>
      </c>
      <c r="F1539" s="5">
        <v>44086</v>
      </c>
      <c r="G1539" s="5">
        <v>44102</v>
      </c>
      <c r="H1539" s="2">
        <v>1</v>
      </c>
      <c r="I1539" s="6"/>
      <c r="J1539" s="6"/>
      <c r="K1539" s="7">
        <v>1</v>
      </c>
      <c r="L1539" s="7">
        <v>0.45600000000000002</v>
      </c>
      <c r="M1539" t="s">
        <v>18</v>
      </c>
      <c r="N1539" s="16">
        <f>POWER(SQRT(WorkOrders279[[#This Row],[WorkDate]]-WorkOrders279[[#This Row],[ReqDate]]),2)</f>
        <v>16</v>
      </c>
      <c r="O1539" s="8">
        <f t="array" ref="O1539">INDEX(TechRate,MATCH(H1539,TechNum,0))</f>
        <v>80</v>
      </c>
      <c r="P1539" s="10">
        <f>WorkOrders279[[#This Row],[Techs]]*(WorkOrders279[[#This Row],[PartsCost]]*WorkOrders279[[#This Row],[LbrHrs]])</f>
        <v>0.45600000000000002</v>
      </c>
      <c r="Q1539" s="10">
        <f t="shared" si="137"/>
        <v>0.45600000000000002</v>
      </c>
      <c r="R1539" s="10">
        <f t="shared" si="138"/>
        <v>0.45600000000000002</v>
      </c>
      <c r="S1539" s="10">
        <f t="shared" si="139"/>
        <v>0.91200000000000003</v>
      </c>
      <c r="T1539" s="10">
        <f t="shared" si="140"/>
        <v>0.91200000000000003</v>
      </c>
      <c r="U1539" s="8" t="str">
        <f t="shared" si="141"/>
        <v>Sat</v>
      </c>
      <c r="V1539" s="8" t="str">
        <f t="shared" si="142"/>
        <v>Mon</v>
      </c>
    </row>
    <row r="1540" spans="1:22" hidden="1" x14ac:dyDescent="0.25">
      <c r="A1540" t="s">
        <v>82</v>
      </c>
      <c r="B1540" t="s">
        <v>35</v>
      </c>
      <c r="C1540" t="s">
        <v>8</v>
      </c>
      <c r="D1540" t="s">
        <v>12</v>
      </c>
      <c r="F1540" s="5">
        <v>44088</v>
      </c>
      <c r="G1540" s="5">
        <v>44098</v>
      </c>
      <c r="H1540" s="2">
        <v>2</v>
      </c>
      <c r="I1540" s="6"/>
      <c r="J1540" s="6"/>
      <c r="K1540" s="7">
        <v>0.25</v>
      </c>
      <c r="L1540" s="7">
        <v>126.62309999999999</v>
      </c>
      <c r="M1540" t="s">
        <v>18</v>
      </c>
      <c r="N1540" s="16">
        <f>POWER(SQRT(WorkOrders279[[#This Row],[WorkDate]]-WorkOrders279[[#This Row],[ReqDate]]),2)</f>
        <v>10.000000000000002</v>
      </c>
      <c r="O1540" s="8">
        <f t="array" ref="O1540">INDEX(TechRate,MATCH(H1540,TechNum,0))</f>
        <v>140</v>
      </c>
      <c r="P1540" s="10">
        <f>WorkOrders279[[#This Row],[Techs]]*(WorkOrders279[[#This Row],[PartsCost]]*WorkOrders279[[#This Row],[LbrHrs]])</f>
        <v>63.311549999999997</v>
      </c>
      <c r="Q1540" s="10">
        <f t="shared" si="137"/>
        <v>63.311549999999997</v>
      </c>
      <c r="R1540" s="10">
        <f t="shared" si="138"/>
        <v>126.62309999999999</v>
      </c>
      <c r="S1540" s="10">
        <f t="shared" si="139"/>
        <v>189.93464999999998</v>
      </c>
      <c r="T1540" s="10">
        <f t="shared" si="140"/>
        <v>189.93464999999998</v>
      </c>
      <c r="U1540" s="8" t="str">
        <f t="shared" si="141"/>
        <v>Mon</v>
      </c>
      <c r="V1540" s="8" t="str">
        <f t="shared" si="142"/>
        <v>Thu</v>
      </c>
    </row>
    <row r="1541" spans="1:22" hidden="1" x14ac:dyDescent="0.25">
      <c r="A1541" t="s">
        <v>83</v>
      </c>
      <c r="B1541" t="s">
        <v>38</v>
      </c>
      <c r="C1541" t="s">
        <v>8</v>
      </c>
      <c r="D1541" t="s">
        <v>13</v>
      </c>
      <c r="F1541" s="5">
        <v>44088</v>
      </c>
      <c r="G1541" s="5">
        <v>44102</v>
      </c>
      <c r="H1541" s="2">
        <v>1</v>
      </c>
      <c r="I1541" s="6"/>
      <c r="J1541" s="6"/>
      <c r="K1541" s="7">
        <v>1.5</v>
      </c>
      <c r="L1541" s="7">
        <v>251.0033</v>
      </c>
      <c r="M1541" t="s">
        <v>17</v>
      </c>
      <c r="N1541" s="16">
        <f>POWER(SQRT(WorkOrders279[[#This Row],[WorkDate]]-WorkOrders279[[#This Row],[ReqDate]]),2)</f>
        <v>14</v>
      </c>
      <c r="O1541" s="8">
        <f t="array" ref="O1541">INDEX(TechRate,MATCH(H1541,TechNum,0))</f>
        <v>80</v>
      </c>
      <c r="P1541" s="10">
        <f>WorkOrders279[[#This Row],[Techs]]*(WorkOrders279[[#This Row],[PartsCost]]*WorkOrders279[[#This Row],[LbrHrs]])</f>
        <v>376.50495000000001</v>
      </c>
      <c r="Q1541" s="10">
        <f t="shared" si="137"/>
        <v>376.50495000000001</v>
      </c>
      <c r="R1541" s="10">
        <f t="shared" si="138"/>
        <v>251.0033</v>
      </c>
      <c r="S1541" s="10">
        <f t="shared" si="139"/>
        <v>627.50824999999998</v>
      </c>
      <c r="T1541" s="10">
        <f t="shared" si="140"/>
        <v>627.50824999999998</v>
      </c>
      <c r="U1541" s="8" t="str">
        <f t="shared" si="141"/>
        <v>Mon</v>
      </c>
      <c r="V1541" s="8" t="str">
        <f t="shared" si="142"/>
        <v>Mon</v>
      </c>
    </row>
    <row r="1542" spans="1:22" hidden="1" x14ac:dyDescent="0.25">
      <c r="A1542" t="s">
        <v>84</v>
      </c>
      <c r="B1542" t="s">
        <v>39</v>
      </c>
      <c r="C1542" t="s">
        <v>44</v>
      </c>
      <c r="D1542" t="s">
        <v>12</v>
      </c>
      <c r="E1542" t="s">
        <v>3</v>
      </c>
      <c r="F1542" s="5">
        <v>44088</v>
      </c>
      <c r="G1542" s="5">
        <v>44109</v>
      </c>
      <c r="H1542" s="2">
        <v>1</v>
      </c>
      <c r="I1542" s="6"/>
      <c r="J1542" s="6"/>
      <c r="K1542" s="7">
        <v>0.5</v>
      </c>
      <c r="L1542" s="7">
        <v>395.28</v>
      </c>
      <c r="M1542" t="s">
        <v>19</v>
      </c>
      <c r="N1542" s="16">
        <f>POWER(SQRT(WorkOrders279[[#This Row],[WorkDate]]-WorkOrders279[[#This Row],[ReqDate]]),2)</f>
        <v>21</v>
      </c>
      <c r="O1542" s="8">
        <f t="array" ref="O1542">INDEX(TechRate,MATCH(H1542,TechNum,0))</f>
        <v>80</v>
      </c>
      <c r="P1542" s="10">
        <f>WorkOrders279[[#This Row],[Techs]]*(WorkOrders279[[#This Row],[PartsCost]]*WorkOrders279[[#This Row],[LbrHrs]])</f>
        <v>197.64</v>
      </c>
      <c r="Q1542" s="10">
        <f t="shared" si="137"/>
        <v>197.64</v>
      </c>
      <c r="R1542" s="10">
        <f t="shared" si="138"/>
        <v>395.28</v>
      </c>
      <c r="S1542" s="10">
        <f t="shared" si="139"/>
        <v>592.91999999999996</v>
      </c>
      <c r="T1542" s="10">
        <f t="shared" si="140"/>
        <v>592.91999999999996</v>
      </c>
      <c r="U1542" s="8" t="str">
        <f t="shared" si="141"/>
        <v>Mon</v>
      </c>
      <c r="V1542" s="8" t="str">
        <f t="shared" si="142"/>
        <v>Mon</v>
      </c>
    </row>
    <row r="1543" spans="1:22" hidden="1" x14ac:dyDescent="0.25">
      <c r="A1543" t="s">
        <v>85</v>
      </c>
      <c r="B1543" t="s">
        <v>35</v>
      </c>
      <c r="C1543" t="s">
        <v>6</v>
      </c>
      <c r="D1543" t="s">
        <v>11</v>
      </c>
      <c r="E1543" t="s">
        <v>3</v>
      </c>
      <c r="F1543" s="5">
        <v>44088</v>
      </c>
      <c r="G1543" s="5">
        <v>44111</v>
      </c>
      <c r="H1543" s="2">
        <v>1</v>
      </c>
      <c r="I1543" s="6"/>
      <c r="J1543" s="6"/>
      <c r="K1543" s="7">
        <v>0.25</v>
      </c>
      <c r="L1543" s="7">
        <v>36</v>
      </c>
      <c r="M1543" t="s">
        <v>17</v>
      </c>
      <c r="N1543" s="16">
        <f>POWER(SQRT(WorkOrders279[[#This Row],[WorkDate]]-WorkOrders279[[#This Row],[ReqDate]]),2)</f>
        <v>22.999999999999996</v>
      </c>
      <c r="O1543" s="8">
        <f t="array" ref="O1543">INDEX(TechRate,MATCH(H1543,TechNum,0))</f>
        <v>80</v>
      </c>
      <c r="P1543" s="10">
        <f>WorkOrders279[[#This Row],[Techs]]*(WorkOrders279[[#This Row],[PartsCost]]*WorkOrders279[[#This Row],[LbrHrs]])</f>
        <v>9</v>
      </c>
      <c r="Q1543" s="10">
        <f t="shared" si="137"/>
        <v>9</v>
      </c>
      <c r="R1543" s="10">
        <f t="shared" si="138"/>
        <v>36</v>
      </c>
      <c r="S1543" s="10">
        <f t="shared" si="139"/>
        <v>45</v>
      </c>
      <c r="T1543" s="10">
        <f t="shared" si="140"/>
        <v>45</v>
      </c>
      <c r="U1543" s="8" t="str">
        <f t="shared" si="141"/>
        <v>Mon</v>
      </c>
      <c r="V1543" s="8" t="str">
        <f t="shared" si="142"/>
        <v>Wed</v>
      </c>
    </row>
    <row r="1544" spans="1:22" hidden="1" x14ac:dyDescent="0.25">
      <c r="A1544" t="s">
        <v>86</v>
      </c>
      <c r="B1544" t="s">
        <v>37</v>
      </c>
      <c r="C1544" t="s">
        <v>43</v>
      </c>
      <c r="D1544" t="s">
        <v>12</v>
      </c>
      <c r="F1544" s="5">
        <v>44088</v>
      </c>
      <c r="G1544" s="5">
        <v>44158</v>
      </c>
      <c r="H1544" s="2">
        <v>1</v>
      </c>
      <c r="I1544" s="6"/>
      <c r="J1544" s="6"/>
      <c r="K1544" s="7">
        <v>1.75</v>
      </c>
      <c r="L1544" s="7">
        <v>510.67529999999999</v>
      </c>
      <c r="M1544" t="s">
        <v>19</v>
      </c>
      <c r="N1544" s="16">
        <f>POWER(SQRT(WorkOrders279[[#This Row],[WorkDate]]-WorkOrders279[[#This Row],[ReqDate]]),2)</f>
        <v>70</v>
      </c>
      <c r="O1544" s="8">
        <f t="array" ref="O1544">INDEX(TechRate,MATCH(H1544,TechNum,0))</f>
        <v>80</v>
      </c>
      <c r="P1544" s="10">
        <f>WorkOrders279[[#This Row],[Techs]]*(WorkOrders279[[#This Row],[PartsCost]]*WorkOrders279[[#This Row],[LbrHrs]])</f>
        <v>893.68177500000002</v>
      </c>
      <c r="Q1544" s="10">
        <f t="shared" si="137"/>
        <v>893.68177500000002</v>
      </c>
      <c r="R1544" s="10">
        <f t="shared" si="138"/>
        <v>510.67529999999999</v>
      </c>
      <c r="S1544" s="10">
        <f t="shared" si="139"/>
        <v>1404.3570749999999</v>
      </c>
      <c r="T1544" s="10">
        <f t="shared" si="140"/>
        <v>1404.3570749999999</v>
      </c>
      <c r="U1544" s="8" t="str">
        <f t="shared" si="141"/>
        <v>Mon</v>
      </c>
      <c r="V1544" s="8" t="str">
        <f t="shared" si="142"/>
        <v>Mon</v>
      </c>
    </row>
    <row r="1545" spans="1:22" hidden="1" x14ac:dyDescent="0.25">
      <c r="A1545" t="s">
        <v>87</v>
      </c>
      <c r="B1545" t="s">
        <v>35</v>
      </c>
      <c r="C1545" t="s">
        <v>6</v>
      </c>
      <c r="D1545" t="s">
        <v>13</v>
      </c>
      <c r="F1545" s="5">
        <v>44089</v>
      </c>
      <c r="G1545" s="5">
        <v>44111</v>
      </c>
      <c r="H1545" s="2">
        <v>2</v>
      </c>
      <c r="I1545" s="6"/>
      <c r="J1545" s="6"/>
      <c r="K1545" s="7">
        <v>0.5</v>
      </c>
      <c r="L1545" s="7">
        <v>42.66</v>
      </c>
      <c r="M1545" t="s">
        <v>17</v>
      </c>
      <c r="N1545" s="16">
        <f>POWER(SQRT(WorkOrders279[[#This Row],[WorkDate]]-WorkOrders279[[#This Row],[ReqDate]]),2)</f>
        <v>22</v>
      </c>
      <c r="O1545" s="8">
        <f t="array" ref="O1545">INDEX(TechRate,MATCH(H1545,TechNum,0))</f>
        <v>140</v>
      </c>
      <c r="P1545" s="10">
        <f>WorkOrders279[[#This Row],[Techs]]*(WorkOrders279[[#This Row],[PartsCost]]*WorkOrders279[[#This Row],[LbrHrs]])</f>
        <v>42.66</v>
      </c>
      <c r="Q1545" s="10">
        <f t="shared" si="137"/>
        <v>42.66</v>
      </c>
      <c r="R1545" s="10">
        <f t="shared" si="138"/>
        <v>42.66</v>
      </c>
      <c r="S1545" s="10">
        <f t="shared" si="139"/>
        <v>85.32</v>
      </c>
      <c r="T1545" s="10">
        <f t="shared" si="140"/>
        <v>85.32</v>
      </c>
      <c r="U1545" s="8" t="str">
        <f t="shared" si="141"/>
        <v>Tue</v>
      </c>
      <c r="V1545" s="8" t="str">
        <f t="shared" si="142"/>
        <v>Wed</v>
      </c>
    </row>
    <row r="1546" spans="1:22" hidden="1" x14ac:dyDescent="0.25">
      <c r="A1546" t="s">
        <v>88</v>
      </c>
      <c r="B1546" t="s">
        <v>38</v>
      </c>
      <c r="C1546" t="s">
        <v>8</v>
      </c>
      <c r="D1546" t="s">
        <v>13</v>
      </c>
      <c r="F1546" s="5">
        <v>44090</v>
      </c>
      <c r="G1546" s="5">
        <v>44102</v>
      </c>
      <c r="H1546" s="2">
        <v>1</v>
      </c>
      <c r="I1546" s="6"/>
      <c r="J1546" s="6"/>
      <c r="K1546" s="7">
        <v>1</v>
      </c>
      <c r="L1546" s="7">
        <v>5.4720000000000004</v>
      </c>
      <c r="M1546" t="s">
        <v>18</v>
      </c>
      <c r="N1546" s="16">
        <f>POWER(SQRT(WorkOrders279[[#This Row],[WorkDate]]-WorkOrders279[[#This Row],[ReqDate]]),2)</f>
        <v>11.999999999999998</v>
      </c>
      <c r="O1546" s="8">
        <f t="array" ref="O1546">INDEX(TechRate,MATCH(H1546,TechNum,0))</f>
        <v>80</v>
      </c>
      <c r="P1546" s="10">
        <f>WorkOrders279[[#This Row],[Techs]]*(WorkOrders279[[#This Row],[PartsCost]]*WorkOrders279[[#This Row],[LbrHrs]])</f>
        <v>5.4720000000000004</v>
      </c>
      <c r="Q1546" s="10">
        <f t="shared" si="137"/>
        <v>5.4720000000000004</v>
      </c>
      <c r="R1546" s="10">
        <f t="shared" si="138"/>
        <v>5.4720000000000004</v>
      </c>
      <c r="S1546" s="10">
        <f t="shared" si="139"/>
        <v>10.944000000000001</v>
      </c>
      <c r="T1546" s="10">
        <f t="shared" si="140"/>
        <v>10.944000000000001</v>
      </c>
      <c r="U1546" s="8" t="str">
        <f t="shared" si="141"/>
        <v>Wed</v>
      </c>
      <c r="V1546" s="8" t="str">
        <f t="shared" si="142"/>
        <v>Mon</v>
      </c>
    </row>
    <row r="1547" spans="1:22" hidden="1" x14ac:dyDescent="0.25">
      <c r="A1547" t="s">
        <v>89</v>
      </c>
      <c r="B1547" t="s">
        <v>35</v>
      </c>
      <c r="C1547" t="s">
        <v>8</v>
      </c>
      <c r="D1547" t="s">
        <v>12</v>
      </c>
      <c r="E1547" t="s">
        <v>3</v>
      </c>
      <c r="F1547" s="5">
        <v>44090</v>
      </c>
      <c r="G1547" s="5">
        <v>44102</v>
      </c>
      <c r="H1547" s="2">
        <v>1</v>
      </c>
      <c r="I1547" s="6"/>
      <c r="J1547" s="6"/>
      <c r="K1547" s="7">
        <v>0.25</v>
      </c>
      <c r="L1547" s="7">
        <v>45.237400000000001</v>
      </c>
      <c r="M1547" t="s">
        <v>17</v>
      </c>
      <c r="N1547" s="16">
        <f>POWER(SQRT(WorkOrders279[[#This Row],[WorkDate]]-WorkOrders279[[#This Row],[ReqDate]]),2)</f>
        <v>11.999999999999998</v>
      </c>
      <c r="O1547" s="8">
        <f t="array" ref="O1547">INDEX(TechRate,MATCH(H1547,TechNum,0))</f>
        <v>80</v>
      </c>
      <c r="P1547" s="10">
        <f>WorkOrders279[[#This Row],[Techs]]*(WorkOrders279[[#This Row],[PartsCost]]*WorkOrders279[[#This Row],[LbrHrs]])</f>
        <v>11.30935</v>
      </c>
      <c r="Q1547" s="10">
        <f t="shared" si="137"/>
        <v>11.30935</v>
      </c>
      <c r="R1547" s="10">
        <f t="shared" si="138"/>
        <v>45.237400000000001</v>
      </c>
      <c r="S1547" s="10">
        <f t="shared" si="139"/>
        <v>56.546750000000003</v>
      </c>
      <c r="T1547" s="10">
        <f t="shared" si="140"/>
        <v>56.546750000000003</v>
      </c>
      <c r="U1547" s="8" t="str">
        <f t="shared" si="141"/>
        <v>Wed</v>
      </c>
      <c r="V1547" s="8" t="str">
        <f t="shared" si="142"/>
        <v>Mon</v>
      </c>
    </row>
    <row r="1548" spans="1:22" hidden="1" x14ac:dyDescent="0.25">
      <c r="A1548" t="s">
        <v>90</v>
      </c>
      <c r="B1548" t="s">
        <v>35</v>
      </c>
      <c r="C1548" t="s">
        <v>9</v>
      </c>
      <c r="D1548" t="s">
        <v>12</v>
      </c>
      <c r="F1548" s="5">
        <v>44090</v>
      </c>
      <c r="G1548" s="5">
        <v>44105</v>
      </c>
      <c r="H1548" s="2">
        <v>2</v>
      </c>
      <c r="I1548" s="6"/>
      <c r="J1548" s="6"/>
      <c r="K1548" s="7">
        <v>0.75</v>
      </c>
      <c r="L1548" s="7">
        <v>199.452</v>
      </c>
      <c r="M1548" t="s">
        <v>18</v>
      </c>
      <c r="N1548" s="16">
        <f>POWER(SQRT(WorkOrders279[[#This Row],[WorkDate]]-WorkOrders279[[#This Row],[ReqDate]]),2)</f>
        <v>15.000000000000002</v>
      </c>
      <c r="O1548" s="8">
        <f t="array" ref="O1548">INDEX(TechRate,MATCH(H1548,TechNum,0))</f>
        <v>140</v>
      </c>
      <c r="P1548" s="10">
        <f>WorkOrders279[[#This Row],[Techs]]*(WorkOrders279[[#This Row],[PartsCost]]*WorkOrders279[[#This Row],[LbrHrs]])</f>
        <v>299.178</v>
      </c>
      <c r="Q1548" s="10">
        <f t="shared" si="137"/>
        <v>299.178</v>
      </c>
      <c r="R1548" s="10">
        <f t="shared" si="138"/>
        <v>199.452</v>
      </c>
      <c r="S1548" s="10">
        <f t="shared" si="139"/>
        <v>498.63</v>
      </c>
      <c r="T1548" s="10">
        <f t="shared" si="140"/>
        <v>498.63</v>
      </c>
      <c r="U1548" s="8" t="str">
        <f t="shared" si="141"/>
        <v>Wed</v>
      </c>
      <c r="V1548" s="8" t="str">
        <f t="shared" si="142"/>
        <v>Thu</v>
      </c>
    </row>
    <row r="1549" spans="1:22" hidden="1" x14ac:dyDescent="0.25">
      <c r="A1549" t="s">
        <v>91</v>
      </c>
      <c r="B1549" t="s">
        <v>39</v>
      </c>
      <c r="C1549" t="s">
        <v>9</v>
      </c>
      <c r="D1549" t="s">
        <v>12</v>
      </c>
      <c r="F1549" s="5">
        <v>44090</v>
      </c>
      <c r="G1549" s="5">
        <v>44109</v>
      </c>
      <c r="H1549" s="2">
        <v>2</v>
      </c>
      <c r="I1549" s="6"/>
      <c r="J1549" s="6"/>
      <c r="K1549" s="7">
        <v>0.5</v>
      </c>
      <c r="L1549" s="7">
        <v>144</v>
      </c>
      <c r="M1549" t="s">
        <v>18</v>
      </c>
      <c r="N1549" s="16">
        <f>POWER(SQRT(WorkOrders279[[#This Row],[WorkDate]]-WorkOrders279[[#This Row],[ReqDate]]),2)</f>
        <v>19.000000000000004</v>
      </c>
      <c r="O1549" s="8">
        <f t="array" ref="O1549">INDEX(TechRate,MATCH(H1549,TechNum,0))</f>
        <v>140</v>
      </c>
      <c r="P1549" s="10">
        <f>WorkOrders279[[#This Row],[Techs]]*(WorkOrders279[[#This Row],[PartsCost]]*WorkOrders279[[#This Row],[LbrHrs]])</f>
        <v>144</v>
      </c>
      <c r="Q1549" s="10">
        <f t="shared" si="137"/>
        <v>144</v>
      </c>
      <c r="R1549" s="10">
        <f t="shared" si="138"/>
        <v>144</v>
      </c>
      <c r="S1549" s="10">
        <f t="shared" si="139"/>
        <v>288</v>
      </c>
      <c r="T1549" s="10">
        <f t="shared" si="140"/>
        <v>288</v>
      </c>
      <c r="U1549" s="8" t="str">
        <f t="shared" si="141"/>
        <v>Wed</v>
      </c>
      <c r="V1549" s="8" t="str">
        <f t="shared" si="142"/>
        <v>Mon</v>
      </c>
    </row>
    <row r="1550" spans="1:22" hidden="1" x14ac:dyDescent="0.25">
      <c r="A1550" t="s">
        <v>92</v>
      </c>
      <c r="B1550" t="s">
        <v>39</v>
      </c>
      <c r="C1550" t="s">
        <v>9</v>
      </c>
      <c r="D1550" t="s">
        <v>11</v>
      </c>
      <c r="F1550" s="5">
        <v>44091</v>
      </c>
      <c r="G1550" s="5">
        <v>44110</v>
      </c>
      <c r="H1550" s="2">
        <v>1</v>
      </c>
      <c r="I1550" s="6"/>
      <c r="J1550" s="6"/>
      <c r="K1550" s="7">
        <v>0.25</v>
      </c>
      <c r="L1550" s="7">
        <v>6.2160000000000002</v>
      </c>
      <c r="M1550" t="s">
        <v>18</v>
      </c>
      <c r="N1550" s="16">
        <f>POWER(SQRT(WorkOrders279[[#This Row],[WorkDate]]-WorkOrders279[[#This Row],[ReqDate]]),2)</f>
        <v>19.000000000000004</v>
      </c>
      <c r="O1550" s="8">
        <f t="array" ref="O1550">INDEX(TechRate,MATCH(H1550,TechNum,0))</f>
        <v>80</v>
      </c>
      <c r="P1550" s="10">
        <f>WorkOrders279[[#This Row],[Techs]]*(WorkOrders279[[#This Row],[PartsCost]]*WorkOrders279[[#This Row],[LbrHrs]])</f>
        <v>1.554</v>
      </c>
      <c r="Q1550" s="10">
        <f t="shared" si="137"/>
        <v>1.554</v>
      </c>
      <c r="R1550" s="10">
        <f t="shared" si="138"/>
        <v>6.2160000000000002</v>
      </c>
      <c r="S1550" s="10">
        <f t="shared" si="139"/>
        <v>7.7700000000000005</v>
      </c>
      <c r="T1550" s="10">
        <f t="shared" si="140"/>
        <v>7.7700000000000005</v>
      </c>
      <c r="U1550" s="8" t="str">
        <f t="shared" si="141"/>
        <v>Thu</v>
      </c>
      <c r="V1550" s="8" t="str">
        <f t="shared" si="142"/>
        <v>Tue</v>
      </c>
    </row>
    <row r="1551" spans="1:22" hidden="1" x14ac:dyDescent="0.25">
      <c r="A1551" t="s">
        <v>93</v>
      </c>
      <c r="B1551" t="s">
        <v>35</v>
      </c>
      <c r="C1551" t="s">
        <v>6</v>
      </c>
      <c r="D1551" t="s">
        <v>13</v>
      </c>
      <c r="F1551" s="5">
        <v>44091</v>
      </c>
      <c r="G1551" s="5">
        <v>44116</v>
      </c>
      <c r="H1551" s="2">
        <v>2</v>
      </c>
      <c r="I1551" s="6"/>
      <c r="J1551" s="6"/>
      <c r="K1551" s="7">
        <v>1</v>
      </c>
      <c r="L1551" s="7">
        <v>36</v>
      </c>
      <c r="M1551" t="s">
        <v>17</v>
      </c>
      <c r="N1551" s="16">
        <f>POWER(SQRT(WorkOrders279[[#This Row],[WorkDate]]-WorkOrders279[[#This Row],[ReqDate]]),2)</f>
        <v>25</v>
      </c>
      <c r="O1551" s="8">
        <f t="array" ref="O1551">INDEX(TechRate,MATCH(H1551,TechNum,0))</f>
        <v>140</v>
      </c>
      <c r="P1551" s="10">
        <f>WorkOrders279[[#This Row],[Techs]]*(WorkOrders279[[#This Row],[PartsCost]]*WorkOrders279[[#This Row],[LbrHrs]])</f>
        <v>72</v>
      </c>
      <c r="Q1551" s="10">
        <f t="shared" si="137"/>
        <v>72</v>
      </c>
      <c r="R1551" s="10">
        <f t="shared" si="138"/>
        <v>36</v>
      </c>
      <c r="S1551" s="10">
        <f t="shared" si="139"/>
        <v>108</v>
      </c>
      <c r="T1551" s="10">
        <f t="shared" si="140"/>
        <v>108</v>
      </c>
      <c r="U1551" s="8" t="str">
        <f t="shared" si="141"/>
        <v>Thu</v>
      </c>
      <c r="V1551" s="8" t="str">
        <f t="shared" si="142"/>
        <v>Mon</v>
      </c>
    </row>
    <row r="1552" spans="1:22" hidden="1" x14ac:dyDescent="0.25">
      <c r="A1552" t="s">
        <v>94</v>
      </c>
      <c r="B1552" t="s">
        <v>34</v>
      </c>
      <c r="C1552" t="s">
        <v>44</v>
      </c>
      <c r="D1552" t="s">
        <v>12</v>
      </c>
      <c r="F1552" s="5">
        <v>44091</v>
      </c>
      <c r="G1552" s="5">
        <v>44116</v>
      </c>
      <c r="H1552" s="2">
        <v>2</v>
      </c>
      <c r="I1552" s="6"/>
      <c r="J1552" s="6"/>
      <c r="K1552" s="7">
        <v>0.75</v>
      </c>
      <c r="L1552" s="7">
        <v>40</v>
      </c>
      <c r="M1552" t="s">
        <v>18</v>
      </c>
      <c r="N1552" s="16">
        <f>POWER(SQRT(WorkOrders279[[#This Row],[WorkDate]]-WorkOrders279[[#This Row],[ReqDate]]),2)</f>
        <v>25</v>
      </c>
      <c r="O1552" s="8">
        <f t="array" ref="O1552">INDEX(TechRate,MATCH(H1552,TechNum,0))</f>
        <v>140</v>
      </c>
      <c r="P1552" s="10">
        <f>WorkOrders279[[#This Row],[Techs]]*(WorkOrders279[[#This Row],[PartsCost]]*WorkOrders279[[#This Row],[LbrHrs]])</f>
        <v>60</v>
      </c>
      <c r="Q1552" s="10">
        <f t="shared" si="137"/>
        <v>60</v>
      </c>
      <c r="R1552" s="10">
        <f t="shared" si="138"/>
        <v>40</v>
      </c>
      <c r="S1552" s="10">
        <f t="shared" si="139"/>
        <v>100</v>
      </c>
      <c r="T1552" s="10">
        <f t="shared" si="140"/>
        <v>100</v>
      </c>
      <c r="U1552" s="8" t="str">
        <f t="shared" si="141"/>
        <v>Thu</v>
      </c>
      <c r="V1552" s="8" t="str">
        <f t="shared" si="142"/>
        <v>Mon</v>
      </c>
    </row>
    <row r="1553" spans="1:22" hidden="1" x14ac:dyDescent="0.25">
      <c r="A1553" t="s">
        <v>95</v>
      </c>
      <c r="B1553" t="s">
        <v>37</v>
      </c>
      <c r="C1553" t="s">
        <v>43</v>
      </c>
      <c r="D1553" t="s">
        <v>12</v>
      </c>
      <c r="F1553" s="5">
        <v>44091</v>
      </c>
      <c r="G1553" s="5">
        <v>44152</v>
      </c>
      <c r="H1553" s="2">
        <v>1</v>
      </c>
      <c r="I1553" s="6"/>
      <c r="J1553" s="6"/>
      <c r="K1553" s="7">
        <v>0.25</v>
      </c>
      <c r="L1553" s="7">
        <v>87.581299999999999</v>
      </c>
      <c r="M1553" t="s">
        <v>17</v>
      </c>
      <c r="N1553" s="16">
        <f>POWER(SQRT(WorkOrders279[[#This Row],[WorkDate]]-WorkOrders279[[#This Row],[ReqDate]]),2)</f>
        <v>60.999999999999993</v>
      </c>
      <c r="O1553" s="8">
        <f t="array" ref="O1553">INDEX(TechRate,MATCH(H1553,TechNum,0))</f>
        <v>80</v>
      </c>
      <c r="P1553" s="10">
        <f>WorkOrders279[[#This Row],[Techs]]*(WorkOrders279[[#This Row],[PartsCost]]*WorkOrders279[[#This Row],[LbrHrs]])</f>
        <v>21.895325</v>
      </c>
      <c r="Q1553" s="10">
        <f t="shared" si="137"/>
        <v>21.895325</v>
      </c>
      <c r="R1553" s="10">
        <f t="shared" si="138"/>
        <v>87.581299999999999</v>
      </c>
      <c r="S1553" s="10">
        <f t="shared" si="139"/>
        <v>109.476625</v>
      </c>
      <c r="T1553" s="10">
        <f t="shared" si="140"/>
        <v>109.476625</v>
      </c>
      <c r="U1553" s="8" t="str">
        <f t="shared" si="141"/>
        <v>Thu</v>
      </c>
      <c r="V1553" s="8" t="str">
        <f t="shared" si="142"/>
        <v>Tue</v>
      </c>
    </row>
    <row r="1554" spans="1:22" hidden="1" x14ac:dyDescent="0.25">
      <c r="A1554" t="s">
        <v>96</v>
      </c>
      <c r="B1554" t="s">
        <v>38</v>
      </c>
      <c r="C1554" t="s">
        <v>8</v>
      </c>
      <c r="D1554" t="s">
        <v>13</v>
      </c>
      <c r="F1554" s="5">
        <v>44095</v>
      </c>
      <c r="G1554" s="5">
        <v>44102</v>
      </c>
      <c r="H1554" s="2">
        <v>1</v>
      </c>
      <c r="I1554" s="6"/>
      <c r="J1554" s="6"/>
      <c r="K1554" s="7">
        <v>0.5</v>
      </c>
      <c r="L1554" s="7">
        <v>30</v>
      </c>
      <c r="M1554" t="s">
        <v>18</v>
      </c>
      <c r="N1554" s="16">
        <f>POWER(SQRT(WorkOrders279[[#This Row],[WorkDate]]-WorkOrders279[[#This Row],[ReqDate]]),2)</f>
        <v>7.0000000000000009</v>
      </c>
      <c r="O1554" s="8">
        <f t="array" ref="O1554">INDEX(TechRate,MATCH(H1554,TechNum,0))</f>
        <v>80</v>
      </c>
      <c r="P1554" s="10">
        <f>WorkOrders279[[#This Row],[Techs]]*(WorkOrders279[[#This Row],[PartsCost]]*WorkOrders279[[#This Row],[LbrHrs]])</f>
        <v>15</v>
      </c>
      <c r="Q1554" s="10">
        <f t="shared" si="137"/>
        <v>15</v>
      </c>
      <c r="R1554" s="10">
        <f t="shared" si="138"/>
        <v>30</v>
      </c>
      <c r="S1554" s="10">
        <f t="shared" si="139"/>
        <v>45</v>
      </c>
      <c r="T1554" s="10">
        <f t="shared" si="140"/>
        <v>45</v>
      </c>
      <c r="U1554" s="8" t="str">
        <f t="shared" si="141"/>
        <v>Mon</v>
      </c>
      <c r="V1554" s="8" t="str">
        <f t="shared" si="142"/>
        <v>Mon</v>
      </c>
    </row>
    <row r="1555" spans="1:22" hidden="1" x14ac:dyDescent="0.25">
      <c r="A1555" t="s">
        <v>97</v>
      </c>
      <c r="B1555" t="s">
        <v>39</v>
      </c>
      <c r="C1555" t="s">
        <v>6</v>
      </c>
      <c r="D1555" t="s">
        <v>11</v>
      </c>
      <c r="F1555" s="5">
        <v>44095</v>
      </c>
      <c r="G1555" s="5">
        <v>44123</v>
      </c>
      <c r="H1555" s="2">
        <v>1</v>
      </c>
      <c r="I1555" s="6"/>
      <c r="J1555" s="6"/>
      <c r="K1555" s="7">
        <v>0.25</v>
      </c>
      <c r="L1555" s="7">
        <v>144</v>
      </c>
      <c r="M1555" t="s">
        <v>19</v>
      </c>
      <c r="N1555" s="16">
        <f>POWER(SQRT(WorkOrders279[[#This Row],[WorkDate]]-WorkOrders279[[#This Row],[ReqDate]]),2)</f>
        <v>28.000000000000004</v>
      </c>
      <c r="O1555" s="8">
        <f t="array" ref="O1555">INDEX(TechRate,MATCH(H1555,TechNum,0))</f>
        <v>80</v>
      </c>
      <c r="P1555" s="10">
        <f>WorkOrders279[[#This Row],[Techs]]*(WorkOrders279[[#This Row],[PartsCost]]*WorkOrders279[[#This Row],[LbrHrs]])</f>
        <v>36</v>
      </c>
      <c r="Q1555" s="10">
        <f t="shared" si="137"/>
        <v>36</v>
      </c>
      <c r="R1555" s="10">
        <f t="shared" si="138"/>
        <v>144</v>
      </c>
      <c r="S1555" s="10">
        <f t="shared" si="139"/>
        <v>180</v>
      </c>
      <c r="T1555" s="10">
        <f t="shared" si="140"/>
        <v>180</v>
      </c>
      <c r="U1555" s="8" t="str">
        <f t="shared" si="141"/>
        <v>Mon</v>
      </c>
      <c r="V1555" s="8" t="str">
        <f t="shared" si="142"/>
        <v>Mon</v>
      </c>
    </row>
    <row r="1556" spans="1:22" hidden="1" x14ac:dyDescent="0.25">
      <c r="A1556" t="s">
        <v>98</v>
      </c>
      <c r="B1556" t="s">
        <v>38</v>
      </c>
      <c r="C1556" t="s">
        <v>8</v>
      </c>
      <c r="D1556" t="s">
        <v>13</v>
      </c>
      <c r="E1556" t="s">
        <v>3</v>
      </c>
      <c r="F1556" s="5">
        <v>44095</v>
      </c>
      <c r="G1556" s="5">
        <v>44139</v>
      </c>
      <c r="H1556" s="2">
        <v>1</v>
      </c>
      <c r="I1556" s="6"/>
      <c r="J1556" s="6"/>
      <c r="K1556" s="7">
        <v>0.75</v>
      </c>
      <c r="L1556" s="7">
        <v>297.51229999999998</v>
      </c>
      <c r="M1556" t="s">
        <v>17</v>
      </c>
      <c r="N1556" s="16">
        <f>POWER(SQRT(WorkOrders279[[#This Row],[WorkDate]]-WorkOrders279[[#This Row],[ReqDate]]),2)</f>
        <v>44</v>
      </c>
      <c r="O1556" s="8">
        <f t="array" ref="O1556">INDEX(TechRate,MATCH(H1556,TechNum,0))</f>
        <v>80</v>
      </c>
      <c r="P1556" s="10">
        <f>WorkOrders279[[#This Row],[Techs]]*(WorkOrders279[[#This Row],[PartsCost]]*WorkOrders279[[#This Row],[LbrHrs]])</f>
        <v>223.13422499999999</v>
      </c>
      <c r="Q1556" s="10">
        <f t="shared" si="137"/>
        <v>223.13422499999999</v>
      </c>
      <c r="R1556" s="10">
        <f t="shared" si="138"/>
        <v>297.51229999999998</v>
      </c>
      <c r="S1556" s="10">
        <f t="shared" si="139"/>
        <v>520.646525</v>
      </c>
      <c r="T1556" s="10">
        <f t="shared" si="140"/>
        <v>520.646525</v>
      </c>
      <c r="U1556" s="8" t="str">
        <f t="shared" si="141"/>
        <v>Mon</v>
      </c>
      <c r="V1556" s="8" t="str">
        <f t="shared" si="142"/>
        <v>Wed</v>
      </c>
    </row>
    <row r="1557" spans="1:22" hidden="1" x14ac:dyDescent="0.25">
      <c r="A1557" t="s">
        <v>99</v>
      </c>
      <c r="B1557" t="s">
        <v>38</v>
      </c>
      <c r="C1557" t="s">
        <v>6</v>
      </c>
      <c r="D1557" t="s">
        <v>12</v>
      </c>
      <c r="F1557" s="5">
        <v>44095</v>
      </c>
      <c r="G1557" s="5">
        <v>44160</v>
      </c>
      <c r="H1557" s="2">
        <v>1</v>
      </c>
      <c r="I1557" s="6"/>
      <c r="J1557" s="6"/>
      <c r="K1557" s="7">
        <v>0.5</v>
      </c>
      <c r="L1557" s="7">
        <v>64.171000000000006</v>
      </c>
      <c r="M1557" t="s">
        <v>19</v>
      </c>
      <c r="N1557" s="16">
        <f>POWER(SQRT(WorkOrders279[[#This Row],[WorkDate]]-WorkOrders279[[#This Row],[ReqDate]]),2)</f>
        <v>64.999999999999986</v>
      </c>
      <c r="O1557" s="8">
        <f t="array" ref="O1557">INDEX(TechRate,MATCH(H1557,TechNum,0))</f>
        <v>80</v>
      </c>
      <c r="P1557" s="10">
        <f>WorkOrders279[[#This Row],[Techs]]*(WorkOrders279[[#This Row],[PartsCost]]*WorkOrders279[[#This Row],[LbrHrs]])</f>
        <v>32.085500000000003</v>
      </c>
      <c r="Q1557" s="10">
        <f t="shared" si="137"/>
        <v>32.085500000000003</v>
      </c>
      <c r="R1557" s="10">
        <f t="shared" si="138"/>
        <v>64.171000000000006</v>
      </c>
      <c r="S1557" s="10">
        <f t="shared" si="139"/>
        <v>96.256500000000017</v>
      </c>
      <c r="T1557" s="10">
        <f t="shared" si="140"/>
        <v>96.256500000000017</v>
      </c>
      <c r="U1557" s="8" t="str">
        <f t="shared" si="141"/>
        <v>Mon</v>
      </c>
      <c r="V1557" s="8" t="str">
        <f t="shared" si="142"/>
        <v>Wed</v>
      </c>
    </row>
    <row r="1558" spans="1:22" hidden="1" x14ac:dyDescent="0.25">
      <c r="A1558" t="s">
        <v>100</v>
      </c>
      <c r="B1558" t="s">
        <v>37</v>
      </c>
      <c r="C1558" t="s">
        <v>43</v>
      </c>
      <c r="D1558" t="s">
        <v>11</v>
      </c>
      <c r="F1558" s="5">
        <v>44096</v>
      </c>
      <c r="G1558" s="5">
        <v>44105</v>
      </c>
      <c r="H1558" s="2">
        <v>1</v>
      </c>
      <c r="I1558" s="6"/>
      <c r="J1558" s="6"/>
      <c r="K1558" s="7">
        <v>0.25</v>
      </c>
      <c r="L1558" s="7">
        <v>20.475000000000001</v>
      </c>
      <c r="M1558" t="s">
        <v>17</v>
      </c>
      <c r="N1558" s="16">
        <f>POWER(SQRT(WorkOrders279[[#This Row],[WorkDate]]-WorkOrders279[[#This Row],[ReqDate]]),2)</f>
        <v>9</v>
      </c>
      <c r="O1558" s="8">
        <f t="array" ref="O1558">INDEX(TechRate,MATCH(H1558,TechNum,0))</f>
        <v>80</v>
      </c>
      <c r="P1558" s="10">
        <f>WorkOrders279[[#This Row],[Techs]]*(WorkOrders279[[#This Row],[PartsCost]]*WorkOrders279[[#This Row],[LbrHrs]])</f>
        <v>5.1187500000000004</v>
      </c>
      <c r="Q1558" s="10">
        <f t="shared" si="137"/>
        <v>5.1187500000000004</v>
      </c>
      <c r="R1558" s="10">
        <f t="shared" si="138"/>
        <v>20.475000000000001</v>
      </c>
      <c r="S1558" s="10">
        <f t="shared" si="139"/>
        <v>25.59375</v>
      </c>
      <c r="T1558" s="10">
        <f t="shared" si="140"/>
        <v>25.59375</v>
      </c>
      <c r="U1558" s="8" t="str">
        <f t="shared" si="141"/>
        <v>Tue</v>
      </c>
      <c r="V1558" s="8" t="str">
        <f t="shared" si="142"/>
        <v>Thu</v>
      </c>
    </row>
    <row r="1559" spans="1:22" hidden="1" x14ac:dyDescent="0.25">
      <c r="A1559" t="s">
        <v>101</v>
      </c>
      <c r="B1559" t="s">
        <v>38</v>
      </c>
      <c r="C1559" t="s">
        <v>8</v>
      </c>
      <c r="D1559" t="s">
        <v>2</v>
      </c>
      <c r="F1559" s="5">
        <v>44097</v>
      </c>
      <c r="G1559" s="5">
        <v>44111</v>
      </c>
      <c r="H1559" s="2">
        <v>1</v>
      </c>
      <c r="I1559" s="6"/>
      <c r="J1559" s="6"/>
      <c r="K1559" s="7">
        <v>1</v>
      </c>
      <c r="L1559" s="7">
        <v>200</v>
      </c>
      <c r="M1559" t="s">
        <v>18</v>
      </c>
      <c r="N1559" s="16">
        <f>POWER(SQRT(WorkOrders279[[#This Row],[WorkDate]]-WorkOrders279[[#This Row],[ReqDate]]),2)</f>
        <v>14</v>
      </c>
      <c r="O1559" s="8">
        <f t="array" ref="O1559">INDEX(TechRate,MATCH(H1559,TechNum,0))</f>
        <v>80</v>
      </c>
      <c r="P1559" s="10">
        <f>WorkOrders279[[#This Row],[Techs]]*(WorkOrders279[[#This Row],[PartsCost]]*WorkOrders279[[#This Row],[LbrHrs]])</f>
        <v>200</v>
      </c>
      <c r="Q1559" s="10">
        <f t="shared" si="137"/>
        <v>200</v>
      </c>
      <c r="R1559" s="10">
        <f t="shared" si="138"/>
        <v>200</v>
      </c>
      <c r="S1559" s="10">
        <f t="shared" si="139"/>
        <v>400</v>
      </c>
      <c r="T1559" s="10">
        <f t="shared" si="140"/>
        <v>400</v>
      </c>
      <c r="U1559" s="8" t="str">
        <f t="shared" si="141"/>
        <v>Wed</v>
      </c>
      <c r="V1559" s="8" t="str">
        <f t="shared" si="142"/>
        <v>Wed</v>
      </c>
    </row>
    <row r="1560" spans="1:22" hidden="1" x14ac:dyDescent="0.25">
      <c r="A1560" t="s">
        <v>102</v>
      </c>
      <c r="B1560" t="s">
        <v>39</v>
      </c>
      <c r="C1560" t="s">
        <v>9</v>
      </c>
      <c r="D1560" t="s">
        <v>2</v>
      </c>
      <c r="F1560" s="5">
        <v>44097</v>
      </c>
      <c r="G1560" s="5">
        <v>44119</v>
      </c>
      <c r="H1560" s="2">
        <v>1</v>
      </c>
      <c r="I1560" s="6"/>
      <c r="J1560" s="6"/>
      <c r="K1560" s="7">
        <v>1.5</v>
      </c>
      <c r="L1560" s="7">
        <v>123.9555</v>
      </c>
      <c r="M1560" t="s">
        <v>18</v>
      </c>
      <c r="N1560" s="16">
        <f>POWER(SQRT(WorkOrders279[[#This Row],[WorkDate]]-WorkOrders279[[#This Row],[ReqDate]]),2)</f>
        <v>22</v>
      </c>
      <c r="O1560" s="8">
        <f t="array" ref="O1560">INDEX(TechRate,MATCH(H1560,TechNum,0))</f>
        <v>80</v>
      </c>
      <c r="P1560" s="10">
        <f>WorkOrders279[[#This Row],[Techs]]*(WorkOrders279[[#This Row],[PartsCost]]*WorkOrders279[[#This Row],[LbrHrs]])</f>
        <v>185.93324999999999</v>
      </c>
      <c r="Q1560" s="10">
        <f t="shared" si="137"/>
        <v>185.93324999999999</v>
      </c>
      <c r="R1560" s="10">
        <f t="shared" si="138"/>
        <v>123.9555</v>
      </c>
      <c r="S1560" s="10">
        <f t="shared" si="139"/>
        <v>309.88874999999996</v>
      </c>
      <c r="T1560" s="10">
        <f t="shared" si="140"/>
        <v>309.88874999999996</v>
      </c>
      <c r="U1560" s="8" t="str">
        <f t="shared" si="141"/>
        <v>Wed</v>
      </c>
      <c r="V1560" s="8" t="str">
        <f t="shared" si="142"/>
        <v>Thu</v>
      </c>
    </row>
    <row r="1561" spans="1:22" hidden="1" x14ac:dyDescent="0.25">
      <c r="A1561" t="s">
        <v>103</v>
      </c>
      <c r="B1561" t="s">
        <v>34</v>
      </c>
      <c r="C1561" t="s">
        <v>44</v>
      </c>
      <c r="D1561" t="s">
        <v>13</v>
      </c>
      <c r="F1561" s="5">
        <v>44097</v>
      </c>
      <c r="G1561" s="5">
        <v>44128</v>
      </c>
      <c r="H1561" s="2">
        <v>1</v>
      </c>
      <c r="I1561" s="6"/>
      <c r="J1561" s="6"/>
      <c r="K1561" s="7">
        <v>0.5</v>
      </c>
      <c r="L1561" s="7">
        <v>193.88310000000001</v>
      </c>
      <c r="M1561" t="s">
        <v>17</v>
      </c>
      <c r="N1561" s="16">
        <f>POWER(SQRT(WorkOrders279[[#This Row],[WorkDate]]-WorkOrders279[[#This Row],[ReqDate]]),2)</f>
        <v>30.999999999999996</v>
      </c>
      <c r="O1561" s="8">
        <f t="array" ref="O1561">INDEX(TechRate,MATCH(H1561,TechNum,0))</f>
        <v>80</v>
      </c>
      <c r="P1561" s="10">
        <f>WorkOrders279[[#This Row],[Techs]]*(WorkOrders279[[#This Row],[PartsCost]]*WorkOrders279[[#This Row],[LbrHrs]])</f>
        <v>96.941550000000007</v>
      </c>
      <c r="Q1561" s="10">
        <f t="shared" si="137"/>
        <v>96.941550000000007</v>
      </c>
      <c r="R1561" s="10">
        <f t="shared" si="138"/>
        <v>193.88310000000001</v>
      </c>
      <c r="S1561" s="10">
        <f t="shared" si="139"/>
        <v>290.82465000000002</v>
      </c>
      <c r="T1561" s="10">
        <f t="shared" si="140"/>
        <v>290.82465000000002</v>
      </c>
      <c r="U1561" s="8" t="str">
        <f t="shared" si="141"/>
        <v>Wed</v>
      </c>
      <c r="V1561" s="8" t="str">
        <f t="shared" si="142"/>
        <v>Sat</v>
      </c>
    </row>
    <row r="1562" spans="1:22" hidden="1" x14ac:dyDescent="0.25">
      <c r="A1562" t="s">
        <v>104</v>
      </c>
      <c r="B1562" t="s">
        <v>39</v>
      </c>
      <c r="C1562" t="s">
        <v>8</v>
      </c>
      <c r="D1562" t="s">
        <v>12</v>
      </c>
      <c r="F1562" s="5">
        <v>44097</v>
      </c>
      <c r="G1562" s="5">
        <v>44132</v>
      </c>
      <c r="H1562" s="2">
        <v>2</v>
      </c>
      <c r="I1562" s="6"/>
      <c r="J1562" s="6"/>
      <c r="K1562" s="7">
        <v>0.5</v>
      </c>
      <c r="L1562" s="7">
        <v>1.173</v>
      </c>
      <c r="M1562" t="s">
        <v>18</v>
      </c>
      <c r="N1562" s="16">
        <f>POWER(SQRT(WorkOrders279[[#This Row],[WorkDate]]-WorkOrders279[[#This Row],[ReqDate]]),2)</f>
        <v>35</v>
      </c>
      <c r="O1562" s="8">
        <f t="array" ref="O1562">INDEX(TechRate,MATCH(H1562,TechNum,0))</f>
        <v>140</v>
      </c>
      <c r="P1562" s="10">
        <f>WorkOrders279[[#This Row],[Techs]]*(WorkOrders279[[#This Row],[PartsCost]]*WorkOrders279[[#This Row],[LbrHrs]])</f>
        <v>1.173</v>
      </c>
      <c r="Q1562" s="10">
        <f t="shared" si="137"/>
        <v>1.173</v>
      </c>
      <c r="R1562" s="10">
        <f t="shared" si="138"/>
        <v>1.173</v>
      </c>
      <c r="S1562" s="10">
        <f t="shared" si="139"/>
        <v>2.3460000000000001</v>
      </c>
      <c r="T1562" s="10">
        <f t="shared" si="140"/>
        <v>2.3460000000000001</v>
      </c>
      <c r="U1562" s="8" t="str">
        <f t="shared" si="141"/>
        <v>Wed</v>
      </c>
      <c r="V1562" s="8" t="str">
        <f t="shared" si="142"/>
        <v>Wed</v>
      </c>
    </row>
    <row r="1563" spans="1:22" hidden="1" x14ac:dyDescent="0.25">
      <c r="A1563" t="s">
        <v>105</v>
      </c>
      <c r="B1563" t="s">
        <v>34</v>
      </c>
      <c r="C1563" t="s">
        <v>6</v>
      </c>
      <c r="D1563" t="s">
        <v>12</v>
      </c>
      <c r="F1563" s="5">
        <v>44098</v>
      </c>
      <c r="G1563" s="5">
        <v>44109</v>
      </c>
      <c r="H1563" s="2">
        <v>2</v>
      </c>
      <c r="I1563" s="6"/>
      <c r="J1563" s="6"/>
      <c r="K1563" s="7">
        <v>0.75</v>
      </c>
      <c r="L1563" s="7">
        <v>664.78880000000004</v>
      </c>
      <c r="M1563" t="s">
        <v>17</v>
      </c>
      <c r="N1563" s="16">
        <f>POWER(SQRT(WorkOrders279[[#This Row],[WorkDate]]-WorkOrders279[[#This Row],[ReqDate]]),2)</f>
        <v>11</v>
      </c>
      <c r="O1563" s="8">
        <f t="array" ref="O1563">INDEX(TechRate,MATCH(H1563,TechNum,0))</f>
        <v>140</v>
      </c>
      <c r="P1563" s="10">
        <f>WorkOrders279[[#This Row],[Techs]]*(WorkOrders279[[#This Row],[PartsCost]]*WorkOrders279[[#This Row],[LbrHrs]])</f>
        <v>997.18320000000006</v>
      </c>
      <c r="Q1563" s="10">
        <f t="shared" si="137"/>
        <v>997.18320000000006</v>
      </c>
      <c r="R1563" s="10">
        <f t="shared" si="138"/>
        <v>664.78880000000004</v>
      </c>
      <c r="S1563" s="10">
        <f t="shared" si="139"/>
        <v>1661.9720000000002</v>
      </c>
      <c r="T1563" s="10">
        <f t="shared" si="140"/>
        <v>1661.9720000000002</v>
      </c>
      <c r="U1563" s="8" t="str">
        <f t="shared" si="141"/>
        <v>Thu</v>
      </c>
      <c r="V1563" s="8" t="str">
        <f t="shared" si="142"/>
        <v>Mon</v>
      </c>
    </row>
    <row r="1564" spans="1:22" hidden="1" x14ac:dyDescent="0.25">
      <c r="A1564" t="s">
        <v>106</v>
      </c>
      <c r="B1564" t="s">
        <v>35</v>
      </c>
      <c r="C1564" t="s">
        <v>8</v>
      </c>
      <c r="D1564" t="s">
        <v>11</v>
      </c>
      <c r="F1564" s="5">
        <v>44098</v>
      </c>
      <c r="G1564" s="5">
        <v>44119</v>
      </c>
      <c r="H1564" s="2">
        <v>1</v>
      </c>
      <c r="I1564" s="6"/>
      <c r="J1564" s="6"/>
      <c r="K1564" s="7">
        <v>0.25</v>
      </c>
      <c r="L1564" s="7">
        <v>160</v>
      </c>
      <c r="M1564" t="s">
        <v>17</v>
      </c>
      <c r="N1564" s="16">
        <f>POWER(SQRT(WorkOrders279[[#This Row],[WorkDate]]-WorkOrders279[[#This Row],[ReqDate]]),2)</f>
        <v>21</v>
      </c>
      <c r="O1564" s="8">
        <f t="array" ref="O1564">INDEX(TechRate,MATCH(H1564,TechNum,0))</f>
        <v>80</v>
      </c>
      <c r="P1564" s="10">
        <f>WorkOrders279[[#This Row],[Techs]]*(WorkOrders279[[#This Row],[PartsCost]]*WorkOrders279[[#This Row],[LbrHrs]])</f>
        <v>40</v>
      </c>
      <c r="Q1564" s="10">
        <f t="shared" si="137"/>
        <v>40</v>
      </c>
      <c r="R1564" s="10">
        <f t="shared" si="138"/>
        <v>160</v>
      </c>
      <c r="S1564" s="10">
        <f t="shared" si="139"/>
        <v>200</v>
      </c>
      <c r="T1564" s="10">
        <f t="shared" si="140"/>
        <v>200</v>
      </c>
      <c r="U1564" s="8" t="str">
        <f t="shared" si="141"/>
        <v>Thu</v>
      </c>
      <c r="V1564" s="8" t="str">
        <f t="shared" si="142"/>
        <v>Thu</v>
      </c>
    </row>
    <row r="1565" spans="1:22" hidden="1" x14ac:dyDescent="0.25">
      <c r="A1565" t="s">
        <v>107</v>
      </c>
      <c r="B1565" t="s">
        <v>35</v>
      </c>
      <c r="C1565" t="s">
        <v>9</v>
      </c>
      <c r="D1565" t="s">
        <v>13</v>
      </c>
      <c r="F1565" s="5">
        <v>44098</v>
      </c>
      <c r="G1565" s="5">
        <v>44140</v>
      </c>
      <c r="H1565" s="2">
        <v>2</v>
      </c>
      <c r="I1565" s="6"/>
      <c r="J1565" s="6"/>
      <c r="K1565" s="7">
        <v>0.75</v>
      </c>
      <c r="L1565" s="7">
        <v>159.50489999999999</v>
      </c>
      <c r="M1565" t="s">
        <v>17</v>
      </c>
      <c r="N1565" s="16">
        <f>POWER(SQRT(WorkOrders279[[#This Row],[WorkDate]]-WorkOrders279[[#This Row],[ReqDate]]),2)</f>
        <v>42</v>
      </c>
      <c r="O1565" s="8">
        <f t="array" ref="O1565">INDEX(TechRate,MATCH(H1565,TechNum,0))</f>
        <v>140</v>
      </c>
      <c r="P1565" s="10">
        <f>WorkOrders279[[#This Row],[Techs]]*(WorkOrders279[[#This Row],[PartsCost]]*WorkOrders279[[#This Row],[LbrHrs]])</f>
        <v>239.25734999999997</v>
      </c>
      <c r="Q1565" s="10">
        <f t="shared" si="137"/>
        <v>239.25734999999997</v>
      </c>
      <c r="R1565" s="10">
        <f t="shared" si="138"/>
        <v>159.50489999999999</v>
      </c>
      <c r="S1565" s="10">
        <f t="shared" si="139"/>
        <v>398.76224999999999</v>
      </c>
      <c r="T1565" s="10">
        <f t="shared" si="140"/>
        <v>398.76224999999999</v>
      </c>
      <c r="U1565" s="8" t="str">
        <f t="shared" si="141"/>
        <v>Thu</v>
      </c>
      <c r="V1565" s="8" t="str">
        <f t="shared" si="142"/>
        <v>Thu</v>
      </c>
    </row>
    <row r="1566" spans="1:22" hidden="1" x14ac:dyDescent="0.25">
      <c r="A1566" t="s">
        <v>108</v>
      </c>
      <c r="B1566" t="s">
        <v>36</v>
      </c>
      <c r="C1566" t="s">
        <v>44</v>
      </c>
      <c r="D1566" t="s">
        <v>12</v>
      </c>
      <c r="F1566" s="5">
        <v>44098</v>
      </c>
      <c r="G1566" s="5">
        <v>44152</v>
      </c>
      <c r="H1566" s="2">
        <v>2</v>
      </c>
      <c r="I1566" s="6"/>
      <c r="J1566" s="6"/>
      <c r="K1566" s="7">
        <v>0.75</v>
      </c>
      <c r="L1566" s="7">
        <v>169.63499999999999</v>
      </c>
      <c r="M1566" t="s">
        <v>19</v>
      </c>
      <c r="N1566" s="16">
        <f>POWER(SQRT(WorkOrders279[[#This Row],[WorkDate]]-WorkOrders279[[#This Row],[ReqDate]]),2)</f>
        <v>54</v>
      </c>
      <c r="O1566" s="8">
        <f t="array" ref="O1566">INDEX(TechRate,MATCH(H1566,TechNum,0))</f>
        <v>140</v>
      </c>
      <c r="P1566" s="10">
        <f>WorkOrders279[[#This Row],[Techs]]*(WorkOrders279[[#This Row],[PartsCost]]*WorkOrders279[[#This Row],[LbrHrs]])</f>
        <v>254.45249999999999</v>
      </c>
      <c r="Q1566" s="10">
        <f t="shared" si="137"/>
        <v>254.45249999999999</v>
      </c>
      <c r="R1566" s="10">
        <f t="shared" si="138"/>
        <v>169.63499999999999</v>
      </c>
      <c r="S1566" s="10">
        <f t="shared" si="139"/>
        <v>424.08749999999998</v>
      </c>
      <c r="T1566" s="10">
        <f t="shared" si="140"/>
        <v>424.08749999999998</v>
      </c>
      <c r="U1566" s="8" t="str">
        <f t="shared" si="141"/>
        <v>Thu</v>
      </c>
      <c r="V1566" s="8" t="str">
        <f t="shared" si="142"/>
        <v>Tue</v>
      </c>
    </row>
    <row r="1567" spans="1:22" hidden="1" x14ac:dyDescent="0.25">
      <c r="A1567" t="s">
        <v>109</v>
      </c>
      <c r="B1567" t="s">
        <v>42</v>
      </c>
      <c r="C1567" t="s">
        <v>9</v>
      </c>
      <c r="D1567" t="s">
        <v>13</v>
      </c>
      <c r="F1567" s="5">
        <v>44102</v>
      </c>
      <c r="G1567" s="5">
        <v>44104</v>
      </c>
      <c r="H1567" s="2">
        <v>2</v>
      </c>
      <c r="I1567" s="6"/>
      <c r="J1567" s="6"/>
      <c r="K1567" s="7">
        <v>0.5</v>
      </c>
      <c r="L1567" s="7">
        <v>202.86</v>
      </c>
      <c r="M1567" t="s">
        <v>17</v>
      </c>
      <c r="N1567" s="16">
        <f>POWER(SQRT(WorkOrders279[[#This Row],[WorkDate]]-WorkOrders279[[#This Row],[ReqDate]]),2)</f>
        <v>2.0000000000000004</v>
      </c>
      <c r="O1567" s="8">
        <f t="array" ref="O1567">INDEX(TechRate,MATCH(H1567,TechNum,0))</f>
        <v>140</v>
      </c>
      <c r="P1567" s="10">
        <f>WorkOrders279[[#This Row],[Techs]]*(WorkOrders279[[#This Row],[PartsCost]]*WorkOrders279[[#This Row],[LbrHrs]])</f>
        <v>202.86</v>
      </c>
      <c r="Q1567" s="10">
        <f t="shared" si="137"/>
        <v>202.86</v>
      </c>
      <c r="R1567" s="10">
        <f t="shared" si="138"/>
        <v>202.86</v>
      </c>
      <c r="S1567" s="10">
        <f t="shared" si="139"/>
        <v>405.72</v>
      </c>
      <c r="T1567" s="10">
        <f t="shared" si="140"/>
        <v>405.72</v>
      </c>
      <c r="U1567" s="8" t="str">
        <f t="shared" si="141"/>
        <v>Mon</v>
      </c>
      <c r="V1567" s="8" t="str">
        <f t="shared" si="142"/>
        <v>Wed</v>
      </c>
    </row>
    <row r="1568" spans="1:22" hidden="1" x14ac:dyDescent="0.25">
      <c r="A1568" t="s">
        <v>110</v>
      </c>
      <c r="B1568" t="s">
        <v>37</v>
      </c>
      <c r="C1568" t="s">
        <v>43</v>
      </c>
      <c r="D1568" t="s">
        <v>12</v>
      </c>
      <c r="F1568" s="5">
        <v>44102</v>
      </c>
      <c r="G1568" s="5">
        <v>44111</v>
      </c>
      <c r="H1568" s="2">
        <v>1</v>
      </c>
      <c r="I1568" s="6"/>
      <c r="J1568" s="6"/>
      <c r="K1568" s="7">
        <v>0.5</v>
      </c>
      <c r="L1568" s="7">
        <v>10.53</v>
      </c>
      <c r="M1568" t="s">
        <v>19</v>
      </c>
      <c r="N1568" s="16">
        <f>POWER(SQRT(WorkOrders279[[#This Row],[WorkDate]]-WorkOrders279[[#This Row],[ReqDate]]),2)</f>
        <v>9</v>
      </c>
      <c r="O1568" s="8">
        <f t="array" ref="O1568">INDEX(TechRate,MATCH(H1568,TechNum,0))</f>
        <v>80</v>
      </c>
      <c r="P1568" s="10">
        <f>WorkOrders279[[#This Row],[Techs]]*(WorkOrders279[[#This Row],[PartsCost]]*WorkOrders279[[#This Row],[LbrHrs]])</f>
        <v>5.2649999999999997</v>
      </c>
      <c r="Q1568" s="10">
        <f t="shared" si="137"/>
        <v>5.2649999999999997</v>
      </c>
      <c r="R1568" s="10">
        <f t="shared" si="138"/>
        <v>10.53</v>
      </c>
      <c r="S1568" s="10">
        <f t="shared" si="139"/>
        <v>15.794999999999998</v>
      </c>
      <c r="T1568" s="10">
        <f t="shared" si="140"/>
        <v>15.794999999999998</v>
      </c>
      <c r="U1568" s="8" t="str">
        <f t="shared" si="141"/>
        <v>Mon</v>
      </c>
      <c r="V1568" s="8" t="str">
        <f t="shared" si="142"/>
        <v>Wed</v>
      </c>
    </row>
    <row r="1569" spans="1:22" hidden="1" x14ac:dyDescent="0.25">
      <c r="A1569" t="s">
        <v>111</v>
      </c>
      <c r="B1569" t="s">
        <v>34</v>
      </c>
      <c r="C1569" t="s">
        <v>6</v>
      </c>
      <c r="D1569" t="s">
        <v>13</v>
      </c>
      <c r="F1569" s="5">
        <v>44102</v>
      </c>
      <c r="G1569" s="5">
        <v>44131</v>
      </c>
      <c r="H1569" s="2">
        <v>2</v>
      </c>
      <c r="I1569" s="6"/>
      <c r="J1569" s="6"/>
      <c r="K1569" s="7">
        <v>0.75</v>
      </c>
      <c r="L1569" s="7">
        <v>1.8240000000000001</v>
      </c>
      <c r="M1569" t="s">
        <v>18</v>
      </c>
      <c r="N1569" s="16">
        <f>POWER(SQRT(WorkOrders279[[#This Row],[WorkDate]]-WorkOrders279[[#This Row],[ReqDate]]),2)</f>
        <v>28.999999999999996</v>
      </c>
      <c r="O1569" s="8">
        <f t="array" ref="O1569">INDEX(TechRate,MATCH(H1569,TechNum,0))</f>
        <v>140</v>
      </c>
      <c r="P1569" s="10">
        <f>WorkOrders279[[#This Row],[Techs]]*(WorkOrders279[[#This Row],[PartsCost]]*WorkOrders279[[#This Row],[LbrHrs]])</f>
        <v>2.7360000000000002</v>
      </c>
      <c r="Q1569" s="10">
        <f t="shared" ref="Q1569:Q1632" si="143">IF(I1569="Yes",0,P1569)</f>
        <v>2.7360000000000002</v>
      </c>
      <c r="R1569" s="10">
        <f t="shared" ref="R1569:R1632" si="144">IF(J1569="Yes",0,L1569)</f>
        <v>1.8240000000000001</v>
      </c>
      <c r="S1569" s="10">
        <f t="shared" ref="S1569:S1632" si="145">SUM(L1569,P1569)</f>
        <v>4.5600000000000005</v>
      </c>
      <c r="T1569" s="10">
        <f t="shared" ref="T1569:T1632" si="146">SUM(Q1569,R1569)</f>
        <v>4.5600000000000005</v>
      </c>
      <c r="U1569" s="8" t="str">
        <f t="shared" ref="U1569:U1632" si="147">TEXT(F1569,"ddd")</f>
        <v>Mon</v>
      </c>
      <c r="V1569" s="8" t="str">
        <f t="shared" ref="V1569:V1632" si="148">TEXT(G1569,"ddd")</f>
        <v>Tue</v>
      </c>
    </row>
    <row r="1570" spans="1:22" hidden="1" x14ac:dyDescent="0.25">
      <c r="A1570" t="s">
        <v>112</v>
      </c>
      <c r="B1570" t="s">
        <v>37</v>
      </c>
      <c r="C1570" t="s">
        <v>8</v>
      </c>
      <c r="D1570" t="s">
        <v>12</v>
      </c>
      <c r="F1570" s="5">
        <v>44103</v>
      </c>
      <c r="G1570" s="5">
        <v>44112</v>
      </c>
      <c r="H1570" s="2">
        <v>2</v>
      </c>
      <c r="I1570" s="6"/>
      <c r="J1570" s="6"/>
      <c r="K1570" s="7">
        <v>0.5</v>
      </c>
      <c r="L1570" s="7">
        <v>54.124600000000001</v>
      </c>
      <c r="M1570" t="s">
        <v>17</v>
      </c>
      <c r="N1570" s="16">
        <f>POWER(SQRT(WorkOrders279[[#This Row],[WorkDate]]-WorkOrders279[[#This Row],[ReqDate]]),2)</f>
        <v>9</v>
      </c>
      <c r="O1570" s="8">
        <f t="array" ref="O1570">INDEX(TechRate,MATCH(H1570,TechNum,0))</f>
        <v>140</v>
      </c>
      <c r="P1570" s="10">
        <f>WorkOrders279[[#This Row],[Techs]]*(WorkOrders279[[#This Row],[PartsCost]]*WorkOrders279[[#This Row],[LbrHrs]])</f>
        <v>54.124600000000001</v>
      </c>
      <c r="Q1570" s="10">
        <f t="shared" si="143"/>
        <v>54.124600000000001</v>
      </c>
      <c r="R1570" s="10">
        <f t="shared" si="144"/>
        <v>54.124600000000001</v>
      </c>
      <c r="S1570" s="10">
        <f t="shared" si="145"/>
        <v>108.2492</v>
      </c>
      <c r="T1570" s="10">
        <f t="shared" si="146"/>
        <v>108.2492</v>
      </c>
      <c r="U1570" s="8" t="str">
        <f t="shared" si="147"/>
        <v>Tue</v>
      </c>
      <c r="V1570" s="8" t="str">
        <f t="shared" si="148"/>
        <v>Thu</v>
      </c>
    </row>
    <row r="1571" spans="1:22" hidden="1" x14ac:dyDescent="0.25">
      <c r="A1571" t="s">
        <v>113</v>
      </c>
      <c r="B1571" t="s">
        <v>35</v>
      </c>
      <c r="C1571" t="s">
        <v>6</v>
      </c>
      <c r="D1571" t="s">
        <v>11</v>
      </c>
      <c r="F1571" s="5">
        <v>44103</v>
      </c>
      <c r="G1571" s="5">
        <v>44125</v>
      </c>
      <c r="H1571" s="2">
        <v>2</v>
      </c>
      <c r="I1571" s="6"/>
      <c r="J1571" s="6"/>
      <c r="K1571" s="7">
        <v>0.25</v>
      </c>
      <c r="L1571" s="7">
        <v>367.71109999999999</v>
      </c>
      <c r="M1571" t="s">
        <v>17</v>
      </c>
      <c r="N1571" s="16">
        <f>POWER(SQRT(WorkOrders279[[#This Row],[WorkDate]]-WorkOrders279[[#This Row],[ReqDate]]),2)</f>
        <v>22</v>
      </c>
      <c r="O1571" s="8">
        <f t="array" ref="O1571">INDEX(TechRate,MATCH(H1571,TechNum,0))</f>
        <v>140</v>
      </c>
      <c r="P1571" s="10">
        <f>WorkOrders279[[#This Row],[Techs]]*(WorkOrders279[[#This Row],[PartsCost]]*WorkOrders279[[#This Row],[LbrHrs]])</f>
        <v>183.85554999999999</v>
      </c>
      <c r="Q1571" s="10">
        <f t="shared" si="143"/>
        <v>183.85554999999999</v>
      </c>
      <c r="R1571" s="10">
        <f t="shared" si="144"/>
        <v>367.71109999999999</v>
      </c>
      <c r="S1571" s="10">
        <f t="shared" si="145"/>
        <v>551.56664999999998</v>
      </c>
      <c r="T1571" s="10">
        <f t="shared" si="146"/>
        <v>551.56664999999998</v>
      </c>
      <c r="U1571" s="8" t="str">
        <f t="shared" si="147"/>
        <v>Tue</v>
      </c>
      <c r="V1571" s="8" t="str">
        <f t="shared" si="148"/>
        <v>Wed</v>
      </c>
    </row>
    <row r="1572" spans="1:22" hidden="1" x14ac:dyDescent="0.25">
      <c r="A1572" t="s">
        <v>114</v>
      </c>
      <c r="B1572" t="s">
        <v>38</v>
      </c>
      <c r="C1572" t="s">
        <v>43</v>
      </c>
      <c r="D1572" t="s">
        <v>12</v>
      </c>
      <c r="F1572" s="5">
        <v>44103</v>
      </c>
      <c r="G1572" s="5">
        <v>44123</v>
      </c>
      <c r="H1572" s="2">
        <v>1</v>
      </c>
      <c r="I1572" s="6"/>
      <c r="J1572" s="6"/>
      <c r="K1572" s="7">
        <v>1.5</v>
      </c>
      <c r="L1572" s="7">
        <v>139.035</v>
      </c>
      <c r="M1572" t="s">
        <v>17</v>
      </c>
      <c r="N1572" s="16">
        <f>POWER(SQRT(WorkOrders279[[#This Row],[WorkDate]]-WorkOrders279[[#This Row],[ReqDate]]),2)</f>
        <v>20.000000000000004</v>
      </c>
      <c r="O1572" s="8">
        <f t="array" ref="O1572">INDEX(TechRate,MATCH(H1572,TechNum,0))</f>
        <v>80</v>
      </c>
      <c r="P1572" s="10">
        <f>WorkOrders279[[#This Row],[Techs]]*(WorkOrders279[[#This Row],[PartsCost]]*WorkOrders279[[#This Row],[LbrHrs]])</f>
        <v>208.55250000000001</v>
      </c>
      <c r="Q1572" s="10">
        <f t="shared" si="143"/>
        <v>208.55250000000001</v>
      </c>
      <c r="R1572" s="10">
        <f t="shared" si="144"/>
        <v>139.035</v>
      </c>
      <c r="S1572" s="10">
        <f t="shared" si="145"/>
        <v>347.58749999999998</v>
      </c>
      <c r="T1572" s="10">
        <f t="shared" si="146"/>
        <v>347.58749999999998</v>
      </c>
      <c r="U1572" s="8" t="str">
        <f t="shared" si="147"/>
        <v>Tue</v>
      </c>
      <c r="V1572" s="8" t="str">
        <f t="shared" si="148"/>
        <v>Mon</v>
      </c>
    </row>
    <row r="1573" spans="1:22" hidden="1" x14ac:dyDescent="0.25">
      <c r="A1573" t="s">
        <v>115</v>
      </c>
      <c r="B1573" t="s">
        <v>38</v>
      </c>
      <c r="C1573" t="s">
        <v>8</v>
      </c>
      <c r="D1573" t="s">
        <v>13</v>
      </c>
      <c r="F1573" s="5">
        <v>44103</v>
      </c>
      <c r="G1573" s="5">
        <v>44131</v>
      </c>
      <c r="H1573" s="2">
        <v>1</v>
      </c>
      <c r="I1573" s="6"/>
      <c r="J1573" s="6"/>
      <c r="K1573" s="7">
        <v>0.5</v>
      </c>
      <c r="L1573" s="7">
        <v>50.317</v>
      </c>
      <c r="M1573" t="s">
        <v>19</v>
      </c>
      <c r="N1573" s="16">
        <f>POWER(SQRT(WorkOrders279[[#This Row],[WorkDate]]-WorkOrders279[[#This Row],[ReqDate]]),2)</f>
        <v>28.000000000000004</v>
      </c>
      <c r="O1573" s="8">
        <f t="array" ref="O1573">INDEX(TechRate,MATCH(H1573,TechNum,0))</f>
        <v>80</v>
      </c>
      <c r="P1573" s="10">
        <f>WorkOrders279[[#This Row],[Techs]]*(WorkOrders279[[#This Row],[PartsCost]]*WorkOrders279[[#This Row],[LbrHrs]])</f>
        <v>25.1585</v>
      </c>
      <c r="Q1573" s="10">
        <f t="shared" si="143"/>
        <v>25.1585</v>
      </c>
      <c r="R1573" s="10">
        <f t="shared" si="144"/>
        <v>50.317</v>
      </c>
      <c r="S1573" s="10">
        <f t="shared" si="145"/>
        <v>75.475499999999997</v>
      </c>
      <c r="T1573" s="10">
        <f t="shared" si="146"/>
        <v>75.475499999999997</v>
      </c>
      <c r="U1573" s="8" t="str">
        <f t="shared" si="147"/>
        <v>Tue</v>
      </c>
      <c r="V1573" s="8" t="str">
        <f t="shared" si="148"/>
        <v>Tue</v>
      </c>
    </row>
    <row r="1574" spans="1:22" hidden="1" x14ac:dyDescent="0.25">
      <c r="A1574" t="s">
        <v>116</v>
      </c>
      <c r="B1574" t="s">
        <v>34</v>
      </c>
      <c r="C1574" t="s">
        <v>9</v>
      </c>
      <c r="D1574" t="s">
        <v>2</v>
      </c>
      <c r="F1574" s="5">
        <v>44103</v>
      </c>
      <c r="G1574" s="5">
        <v>44159</v>
      </c>
      <c r="H1574" s="2">
        <v>1</v>
      </c>
      <c r="I1574" s="6"/>
      <c r="J1574" s="6"/>
      <c r="K1574" s="7">
        <v>1</v>
      </c>
      <c r="L1574" s="7">
        <v>122.4273</v>
      </c>
      <c r="M1574" t="s">
        <v>18</v>
      </c>
      <c r="N1574" s="16">
        <f>POWER(SQRT(WorkOrders279[[#This Row],[WorkDate]]-WorkOrders279[[#This Row],[ReqDate]]),2)</f>
        <v>56</v>
      </c>
      <c r="O1574" s="8">
        <f t="array" ref="O1574">INDEX(TechRate,MATCH(H1574,TechNum,0))</f>
        <v>80</v>
      </c>
      <c r="P1574" s="10">
        <f>WorkOrders279[[#This Row],[Techs]]*(WorkOrders279[[#This Row],[PartsCost]]*WorkOrders279[[#This Row],[LbrHrs]])</f>
        <v>122.4273</v>
      </c>
      <c r="Q1574" s="10">
        <f t="shared" si="143"/>
        <v>122.4273</v>
      </c>
      <c r="R1574" s="10">
        <f t="shared" si="144"/>
        <v>122.4273</v>
      </c>
      <c r="S1574" s="10">
        <f t="shared" si="145"/>
        <v>244.8546</v>
      </c>
      <c r="T1574" s="10">
        <f t="shared" si="146"/>
        <v>244.8546</v>
      </c>
      <c r="U1574" s="8" t="str">
        <f t="shared" si="147"/>
        <v>Tue</v>
      </c>
      <c r="V1574" s="8" t="str">
        <f t="shared" si="148"/>
        <v>Tue</v>
      </c>
    </row>
    <row r="1575" spans="1:22" hidden="1" x14ac:dyDescent="0.25">
      <c r="A1575" t="s">
        <v>117</v>
      </c>
      <c r="B1575" t="s">
        <v>38</v>
      </c>
      <c r="C1575" t="s">
        <v>8</v>
      </c>
      <c r="D1575" t="s">
        <v>12</v>
      </c>
      <c r="F1575" s="5">
        <v>44103</v>
      </c>
      <c r="G1575" s="5">
        <v>44167</v>
      </c>
      <c r="H1575" s="2">
        <v>1</v>
      </c>
      <c r="I1575" s="6"/>
      <c r="J1575" s="6"/>
      <c r="K1575" s="7">
        <v>1</v>
      </c>
      <c r="L1575" s="7">
        <v>78.5535</v>
      </c>
      <c r="M1575" t="s">
        <v>19</v>
      </c>
      <c r="N1575" s="16">
        <f>POWER(SQRT(WorkOrders279[[#This Row],[WorkDate]]-WorkOrders279[[#This Row],[ReqDate]]),2)</f>
        <v>64</v>
      </c>
      <c r="O1575" s="8">
        <f t="array" ref="O1575">INDEX(TechRate,MATCH(H1575,TechNum,0))</f>
        <v>80</v>
      </c>
      <c r="P1575" s="10">
        <f>WorkOrders279[[#This Row],[Techs]]*(WorkOrders279[[#This Row],[PartsCost]]*WorkOrders279[[#This Row],[LbrHrs]])</f>
        <v>78.5535</v>
      </c>
      <c r="Q1575" s="10">
        <f t="shared" si="143"/>
        <v>78.5535</v>
      </c>
      <c r="R1575" s="10">
        <f t="shared" si="144"/>
        <v>78.5535</v>
      </c>
      <c r="S1575" s="10">
        <f t="shared" si="145"/>
        <v>157.107</v>
      </c>
      <c r="T1575" s="10">
        <f t="shared" si="146"/>
        <v>157.107</v>
      </c>
      <c r="U1575" s="8" t="str">
        <f t="shared" si="147"/>
        <v>Tue</v>
      </c>
      <c r="V1575" s="8" t="str">
        <f t="shared" si="148"/>
        <v>Wed</v>
      </c>
    </row>
    <row r="1576" spans="1:22" hidden="1" x14ac:dyDescent="0.25">
      <c r="A1576" t="s">
        <v>118</v>
      </c>
      <c r="B1576" t="s">
        <v>35</v>
      </c>
      <c r="C1576" t="s">
        <v>8</v>
      </c>
      <c r="D1576" t="s">
        <v>11</v>
      </c>
      <c r="E1576" t="s">
        <v>3</v>
      </c>
      <c r="F1576" s="5">
        <v>44104</v>
      </c>
      <c r="G1576" s="5">
        <v>44111</v>
      </c>
      <c r="H1576" s="2">
        <v>1</v>
      </c>
      <c r="I1576" s="6"/>
      <c r="J1576" s="6"/>
      <c r="K1576" s="7">
        <v>0.25</v>
      </c>
      <c r="L1576" s="7">
        <v>239.1001</v>
      </c>
      <c r="M1576" t="s">
        <v>17</v>
      </c>
      <c r="N1576" s="16">
        <f>POWER(SQRT(WorkOrders279[[#This Row],[WorkDate]]-WorkOrders279[[#This Row],[ReqDate]]),2)</f>
        <v>7.0000000000000009</v>
      </c>
      <c r="O1576" s="8">
        <f t="array" ref="O1576">INDEX(TechRate,MATCH(H1576,TechNum,0))</f>
        <v>80</v>
      </c>
      <c r="P1576" s="10">
        <f>WorkOrders279[[#This Row],[Techs]]*(WorkOrders279[[#This Row],[PartsCost]]*WorkOrders279[[#This Row],[LbrHrs]])</f>
        <v>59.775024999999999</v>
      </c>
      <c r="Q1576" s="10">
        <f t="shared" si="143"/>
        <v>59.775024999999999</v>
      </c>
      <c r="R1576" s="10">
        <f t="shared" si="144"/>
        <v>239.1001</v>
      </c>
      <c r="S1576" s="10">
        <f t="shared" si="145"/>
        <v>298.87512500000003</v>
      </c>
      <c r="T1576" s="10">
        <f t="shared" si="146"/>
        <v>298.87512500000003</v>
      </c>
      <c r="U1576" s="8" t="str">
        <f t="shared" si="147"/>
        <v>Wed</v>
      </c>
      <c r="V1576" s="8" t="str">
        <f t="shared" si="148"/>
        <v>Wed</v>
      </c>
    </row>
    <row r="1577" spans="1:22" hidden="1" x14ac:dyDescent="0.25">
      <c r="A1577" t="s">
        <v>119</v>
      </c>
      <c r="B1577" t="s">
        <v>34</v>
      </c>
      <c r="C1577" t="s">
        <v>44</v>
      </c>
      <c r="D1577" t="s">
        <v>13</v>
      </c>
      <c r="F1577" s="5">
        <v>44104</v>
      </c>
      <c r="G1577" s="5">
        <v>44123</v>
      </c>
      <c r="H1577" s="2">
        <v>1</v>
      </c>
      <c r="I1577" s="6"/>
      <c r="J1577" s="6"/>
      <c r="K1577" s="7">
        <v>0.5</v>
      </c>
      <c r="L1577" s="7">
        <v>61.180599999999998</v>
      </c>
      <c r="M1577" t="s">
        <v>18</v>
      </c>
      <c r="N1577" s="16">
        <f>POWER(SQRT(WorkOrders279[[#This Row],[WorkDate]]-WorkOrders279[[#This Row],[ReqDate]]),2)</f>
        <v>19.000000000000004</v>
      </c>
      <c r="O1577" s="8">
        <f t="array" ref="O1577">INDEX(TechRate,MATCH(H1577,TechNum,0))</f>
        <v>80</v>
      </c>
      <c r="P1577" s="10">
        <f>WorkOrders279[[#This Row],[Techs]]*(WorkOrders279[[#This Row],[PartsCost]]*WorkOrders279[[#This Row],[LbrHrs]])</f>
        <v>30.590299999999999</v>
      </c>
      <c r="Q1577" s="10">
        <f t="shared" si="143"/>
        <v>30.590299999999999</v>
      </c>
      <c r="R1577" s="10">
        <f t="shared" si="144"/>
        <v>61.180599999999998</v>
      </c>
      <c r="S1577" s="10">
        <f t="shared" si="145"/>
        <v>91.770899999999997</v>
      </c>
      <c r="T1577" s="10">
        <f t="shared" si="146"/>
        <v>91.770899999999997</v>
      </c>
      <c r="U1577" s="8" t="str">
        <f t="shared" si="147"/>
        <v>Wed</v>
      </c>
      <c r="V1577" s="8" t="str">
        <f t="shared" si="148"/>
        <v>Mon</v>
      </c>
    </row>
    <row r="1578" spans="1:22" hidden="1" x14ac:dyDescent="0.25">
      <c r="A1578" t="s">
        <v>120</v>
      </c>
      <c r="B1578" t="s">
        <v>35</v>
      </c>
      <c r="C1578" t="s">
        <v>44</v>
      </c>
      <c r="D1578" t="s">
        <v>2</v>
      </c>
      <c r="F1578" s="5">
        <v>44104</v>
      </c>
      <c r="G1578" s="5">
        <v>44153</v>
      </c>
      <c r="H1578" s="2">
        <v>2</v>
      </c>
      <c r="I1578" s="6"/>
      <c r="J1578" s="6"/>
      <c r="K1578" s="7">
        <v>2.25</v>
      </c>
      <c r="L1578" s="7">
        <v>800.71119999999996</v>
      </c>
      <c r="M1578" t="s">
        <v>17</v>
      </c>
      <c r="N1578" s="16">
        <f>POWER(SQRT(WorkOrders279[[#This Row],[WorkDate]]-WorkOrders279[[#This Row],[ReqDate]]),2)</f>
        <v>49</v>
      </c>
      <c r="O1578" s="8">
        <f t="array" ref="O1578">INDEX(TechRate,MATCH(H1578,TechNum,0))</f>
        <v>140</v>
      </c>
      <c r="P1578" s="10">
        <f>WorkOrders279[[#This Row],[Techs]]*(WorkOrders279[[#This Row],[PartsCost]]*WorkOrders279[[#This Row],[LbrHrs]])</f>
        <v>3603.2003999999997</v>
      </c>
      <c r="Q1578" s="10">
        <f t="shared" si="143"/>
        <v>3603.2003999999997</v>
      </c>
      <c r="R1578" s="10">
        <f t="shared" si="144"/>
        <v>800.71119999999996</v>
      </c>
      <c r="S1578" s="10">
        <f t="shared" si="145"/>
        <v>4403.9115999999995</v>
      </c>
      <c r="T1578" s="10">
        <f t="shared" si="146"/>
        <v>4403.9115999999995</v>
      </c>
      <c r="U1578" s="8" t="str">
        <f t="shared" si="147"/>
        <v>Wed</v>
      </c>
      <c r="V1578" s="8" t="str">
        <f t="shared" si="148"/>
        <v>Wed</v>
      </c>
    </row>
    <row r="1579" spans="1:22" hidden="1" x14ac:dyDescent="0.25">
      <c r="A1579" t="s">
        <v>121</v>
      </c>
      <c r="B1579" t="s">
        <v>35</v>
      </c>
      <c r="C1579" t="s">
        <v>8</v>
      </c>
      <c r="D1579" t="s">
        <v>12</v>
      </c>
      <c r="F1579" s="5">
        <v>44105</v>
      </c>
      <c r="G1579" s="5">
        <v>44130</v>
      </c>
      <c r="H1579" s="2">
        <v>1</v>
      </c>
      <c r="I1579" s="6"/>
      <c r="J1579" s="6"/>
      <c r="K1579" s="7">
        <v>0.25</v>
      </c>
      <c r="L1579" s="7">
        <v>19.196999999999999</v>
      </c>
      <c r="M1579" t="s">
        <v>17</v>
      </c>
      <c r="N1579" s="16">
        <f>POWER(SQRT(WorkOrders279[[#This Row],[WorkDate]]-WorkOrders279[[#This Row],[ReqDate]]),2)</f>
        <v>25</v>
      </c>
      <c r="O1579" s="8">
        <f t="array" ref="O1579">INDEX(TechRate,MATCH(H1579,TechNum,0))</f>
        <v>80</v>
      </c>
      <c r="P1579" s="10">
        <f>WorkOrders279[[#This Row],[Techs]]*(WorkOrders279[[#This Row],[PartsCost]]*WorkOrders279[[#This Row],[LbrHrs]])</f>
        <v>4.7992499999999998</v>
      </c>
      <c r="Q1579" s="10">
        <f t="shared" si="143"/>
        <v>4.7992499999999998</v>
      </c>
      <c r="R1579" s="10">
        <f t="shared" si="144"/>
        <v>19.196999999999999</v>
      </c>
      <c r="S1579" s="10">
        <f t="shared" si="145"/>
        <v>23.99625</v>
      </c>
      <c r="T1579" s="10">
        <f t="shared" si="146"/>
        <v>23.99625</v>
      </c>
      <c r="U1579" s="8" t="str">
        <f t="shared" si="147"/>
        <v>Thu</v>
      </c>
      <c r="V1579" s="8" t="str">
        <f t="shared" si="148"/>
        <v>Mon</v>
      </c>
    </row>
    <row r="1580" spans="1:22" hidden="1" x14ac:dyDescent="0.25">
      <c r="A1580" t="s">
        <v>122</v>
      </c>
      <c r="B1580" t="s">
        <v>37</v>
      </c>
      <c r="C1580" t="s">
        <v>43</v>
      </c>
      <c r="D1580" t="s">
        <v>12</v>
      </c>
      <c r="F1580" s="5">
        <v>44109</v>
      </c>
      <c r="G1580" s="5">
        <v>44117</v>
      </c>
      <c r="H1580" s="2">
        <v>1</v>
      </c>
      <c r="I1580" s="6"/>
      <c r="J1580" s="6"/>
      <c r="K1580" s="7">
        <v>0.25</v>
      </c>
      <c r="L1580" s="7">
        <v>19.5</v>
      </c>
      <c r="M1580" t="s">
        <v>17</v>
      </c>
      <c r="N1580" s="16">
        <f>POWER(SQRT(WorkOrders279[[#This Row],[WorkDate]]-WorkOrders279[[#This Row],[ReqDate]]),2)</f>
        <v>8.0000000000000018</v>
      </c>
      <c r="O1580" s="8">
        <f t="array" ref="O1580">INDEX(TechRate,MATCH(H1580,TechNum,0))</f>
        <v>80</v>
      </c>
      <c r="P1580" s="10">
        <f>WorkOrders279[[#This Row],[Techs]]*(WorkOrders279[[#This Row],[PartsCost]]*WorkOrders279[[#This Row],[LbrHrs]])</f>
        <v>4.875</v>
      </c>
      <c r="Q1580" s="10">
        <f t="shared" si="143"/>
        <v>4.875</v>
      </c>
      <c r="R1580" s="10">
        <f t="shared" si="144"/>
        <v>19.5</v>
      </c>
      <c r="S1580" s="10">
        <f t="shared" si="145"/>
        <v>24.375</v>
      </c>
      <c r="T1580" s="10">
        <f t="shared" si="146"/>
        <v>24.375</v>
      </c>
      <c r="U1580" s="8" t="str">
        <f t="shared" si="147"/>
        <v>Mon</v>
      </c>
      <c r="V1580" s="8" t="str">
        <f t="shared" si="148"/>
        <v>Tue</v>
      </c>
    </row>
    <row r="1581" spans="1:22" hidden="1" x14ac:dyDescent="0.25">
      <c r="A1581" t="s">
        <v>123</v>
      </c>
      <c r="B1581" t="s">
        <v>37</v>
      </c>
      <c r="C1581" t="s">
        <v>43</v>
      </c>
      <c r="D1581" t="s">
        <v>11</v>
      </c>
      <c r="F1581" s="5">
        <v>44109</v>
      </c>
      <c r="G1581" s="5">
        <v>44117</v>
      </c>
      <c r="H1581" s="2">
        <v>1</v>
      </c>
      <c r="I1581" s="6"/>
      <c r="J1581" s="6"/>
      <c r="K1581" s="7">
        <v>0.25</v>
      </c>
      <c r="L1581" s="7">
        <v>22.425000000000001</v>
      </c>
      <c r="M1581" t="s">
        <v>17</v>
      </c>
      <c r="N1581" s="16">
        <f>POWER(SQRT(WorkOrders279[[#This Row],[WorkDate]]-WorkOrders279[[#This Row],[ReqDate]]),2)</f>
        <v>8.0000000000000018</v>
      </c>
      <c r="O1581" s="8">
        <f t="array" ref="O1581">INDEX(TechRate,MATCH(H1581,TechNum,0))</f>
        <v>80</v>
      </c>
      <c r="P1581" s="10">
        <f>WorkOrders279[[#This Row],[Techs]]*(WorkOrders279[[#This Row],[PartsCost]]*WorkOrders279[[#This Row],[LbrHrs]])</f>
        <v>5.6062500000000002</v>
      </c>
      <c r="Q1581" s="10">
        <f t="shared" si="143"/>
        <v>5.6062500000000002</v>
      </c>
      <c r="R1581" s="10">
        <f t="shared" si="144"/>
        <v>22.425000000000001</v>
      </c>
      <c r="S1581" s="10">
        <f t="shared" si="145"/>
        <v>28.03125</v>
      </c>
      <c r="T1581" s="10">
        <f t="shared" si="146"/>
        <v>28.03125</v>
      </c>
      <c r="U1581" s="8" t="str">
        <f t="shared" si="147"/>
        <v>Mon</v>
      </c>
      <c r="V1581" s="8" t="str">
        <f t="shared" si="148"/>
        <v>Tue</v>
      </c>
    </row>
    <row r="1582" spans="1:22" hidden="1" x14ac:dyDescent="0.25">
      <c r="A1582" t="s">
        <v>124</v>
      </c>
      <c r="B1582" t="s">
        <v>38</v>
      </c>
      <c r="C1582" t="s">
        <v>9</v>
      </c>
      <c r="D1582" t="s">
        <v>12</v>
      </c>
      <c r="F1582" s="5">
        <v>44109</v>
      </c>
      <c r="G1582" s="5">
        <v>44117</v>
      </c>
      <c r="H1582" s="2">
        <v>1</v>
      </c>
      <c r="I1582" s="6"/>
      <c r="J1582" s="6"/>
      <c r="K1582" s="7">
        <v>0.5</v>
      </c>
      <c r="L1582" s="7">
        <v>26.582599999999999</v>
      </c>
      <c r="M1582" t="s">
        <v>17</v>
      </c>
      <c r="N1582" s="16">
        <f>POWER(SQRT(WorkOrders279[[#This Row],[WorkDate]]-WorkOrders279[[#This Row],[ReqDate]]),2)</f>
        <v>8.0000000000000018</v>
      </c>
      <c r="O1582" s="8">
        <f t="array" ref="O1582">INDEX(TechRate,MATCH(H1582,TechNum,0))</f>
        <v>80</v>
      </c>
      <c r="P1582" s="10">
        <f>WorkOrders279[[#This Row],[Techs]]*(WorkOrders279[[#This Row],[PartsCost]]*WorkOrders279[[#This Row],[LbrHrs]])</f>
        <v>13.2913</v>
      </c>
      <c r="Q1582" s="10">
        <f t="shared" si="143"/>
        <v>13.2913</v>
      </c>
      <c r="R1582" s="10">
        <f t="shared" si="144"/>
        <v>26.582599999999999</v>
      </c>
      <c r="S1582" s="10">
        <f t="shared" si="145"/>
        <v>39.873899999999999</v>
      </c>
      <c r="T1582" s="10">
        <f t="shared" si="146"/>
        <v>39.873899999999999</v>
      </c>
      <c r="U1582" s="8" t="str">
        <f t="shared" si="147"/>
        <v>Mon</v>
      </c>
      <c r="V1582" s="8" t="str">
        <f t="shared" si="148"/>
        <v>Tue</v>
      </c>
    </row>
    <row r="1583" spans="1:22" hidden="1" x14ac:dyDescent="0.25">
      <c r="A1583" t="s">
        <v>125</v>
      </c>
      <c r="B1583" t="s">
        <v>34</v>
      </c>
      <c r="C1583" t="s">
        <v>44</v>
      </c>
      <c r="D1583" t="s">
        <v>12</v>
      </c>
      <c r="F1583" s="5">
        <v>44109</v>
      </c>
      <c r="G1583" s="5">
        <v>44128</v>
      </c>
      <c r="H1583" s="2">
        <v>1</v>
      </c>
      <c r="I1583" s="6"/>
      <c r="J1583" s="6"/>
      <c r="K1583" s="7">
        <v>0.5</v>
      </c>
      <c r="L1583" s="7">
        <v>288.20800000000003</v>
      </c>
      <c r="M1583" t="s">
        <v>18</v>
      </c>
      <c r="N1583" s="16">
        <f>POWER(SQRT(WorkOrders279[[#This Row],[WorkDate]]-WorkOrders279[[#This Row],[ReqDate]]),2)</f>
        <v>19.000000000000004</v>
      </c>
      <c r="O1583" s="8">
        <f t="array" ref="O1583">INDEX(TechRate,MATCH(H1583,TechNum,0))</f>
        <v>80</v>
      </c>
      <c r="P1583" s="10">
        <f>WorkOrders279[[#This Row],[Techs]]*(WorkOrders279[[#This Row],[PartsCost]]*WorkOrders279[[#This Row],[LbrHrs]])</f>
        <v>144.10400000000001</v>
      </c>
      <c r="Q1583" s="10">
        <f t="shared" si="143"/>
        <v>144.10400000000001</v>
      </c>
      <c r="R1583" s="10">
        <f t="shared" si="144"/>
        <v>288.20800000000003</v>
      </c>
      <c r="S1583" s="10">
        <f t="shared" si="145"/>
        <v>432.31200000000001</v>
      </c>
      <c r="T1583" s="10">
        <f t="shared" si="146"/>
        <v>432.31200000000001</v>
      </c>
      <c r="U1583" s="8" t="str">
        <f t="shared" si="147"/>
        <v>Mon</v>
      </c>
      <c r="V1583" s="8" t="str">
        <f t="shared" si="148"/>
        <v>Sat</v>
      </c>
    </row>
    <row r="1584" spans="1:22" hidden="1" x14ac:dyDescent="0.25">
      <c r="A1584" t="s">
        <v>126</v>
      </c>
      <c r="B1584" t="s">
        <v>37</v>
      </c>
      <c r="C1584" t="s">
        <v>43</v>
      </c>
      <c r="D1584" t="s">
        <v>13</v>
      </c>
      <c r="F1584" s="5">
        <v>44109</v>
      </c>
      <c r="G1584" s="5">
        <v>44123</v>
      </c>
      <c r="H1584" s="2">
        <v>1</v>
      </c>
      <c r="I1584" s="6"/>
      <c r="J1584" s="6"/>
      <c r="K1584" s="7">
        <v>0.5</v>
      </c>
      <c r="L1584" s="7">
        <v>54.236800000000002</v>
      </c>
      <c r="M1584" t="s">
        <v>17</v>
      </c>
      <c r="N1584" s="16">
        <f>POWER(SQRT(WorkOrders279[[#This Row],[WorkDate]]-WorkOrders279[[#This Row],[ReqDate]]),2)</f>
        <v>14</v>
      </c>
      <c r="O1584" s="8">
        <f t="array" ref="O1584">INDEX(TechRate,MATCH(H1584,TechNum,0))</f>
        <v>80</v>
      </c>
      <c r="P1584" s="10">
        <f>WorkOrders279[[#This Row],[Techs]]*(WorkOrders279[[#This Row],[PartsCost]]*WorkOrders279[[#This Row],[LbrHrs]])</f>
        <v>27.118400000000001</v>
      </c>
      <c r="Q1584" s="10">
        <f t="shared" si="143"/>
        <v>27.118400000000001</v>
      </c>
      <c r="R1584" s="10">
        <f t="shared" si="144"/>
        <v>54.236800000000002</v>
      </c>
      <c r="S1584" s="10">
        <f t="shared" si="145"/>
        <v>81.355199999999996</v>
      </c>
      <c r="T1584" s="10">
        <f t="shared" si="146"/>
        <v>81.355199999999996</v>
      </c>
      <c r="U1584" s="8" t="str">
        <f t="shared" si="147"/>
        <v>Mon</v>
      </c>
      <c r="V1584" s="8" t="str">
        <f t="shared" si="148"/>
        <v>Mon</v>
      </c>
    </row>
    <row r="1585" spans="1:22" hidden="1" x14ac:dyDescent="0.25">
      <c r="A1585" t="s">
        <v>127</v>
      </c>
      <c r="B1585" t="s">
        <v>38</v>
      </c>
      <c r="C1585" t="s">
        <v>43</v>
      </c>
      <c r="D1585" t="s">
        <v>12</v>
      </c>
      <c r="F1585" s="5">
        <v>44110</v>
      </c>
      <c r="G1585" s="5">
        <v>44123</v>
      </c>
      <c r="H1585" s="2">
        <v>1</v>
      </c>
      <c r="I1585" s="6"/>
      <c r="J1585" s="6"/>
      <c r="K1585" s="7">
        <v>0.25</v>
      </c>
      <c r="L1585" s="7">
        <v>332.39699999999999</v>
      </c>
      <c r="M1585" t="s">
        <v>19</v>
      </c>
      <c r="N1585" s="16">
        <f>POWER(SQRT(WorkOrders279[[#This Row],[WorkDate]]-WorkOrders279[[#This Row],[ReqDate]]),2)</f>
        <v>12.999999999999998</v>
      </c>
      <c r="O1585" s="8">
        <f t="array" ref="O1585">INDEX(TechRate,MATCH(H1585,TechNum,0))</f>
        <v>80</v>
      </c>
      <c r="P1585" s="10">
        <f>WorkOrders279[[#This Row],[Techs]]*(WorkOrders279[[#This Row],[PartsCost]]*WorkOrders279[[#This Row],[LbrHrs]])</f>
        <v>83.099249999999998</v>
      </c>
      <c r="Q1585" s="10">
        <f t="shared" si="143"/>
        <v>83.099249999999998</v>
      </c>
      <c r="R1585" s="10">
        <f t="shared" si="144"/>
        <v>332.39699999999999</v>
      </c>
      <c r="S1585" s="10">
        <f t="shared" si="145"/>
        <v>415.49624999999997</v>
      </c>
      <c r="T1585" s="10">
        <f t="shared" si="146"/>
        <v>415.49624999999997</v>
      </c>
      <c r="U1585" s="8" t="str">
        <f t="shared" si="147"/>
        <v>Tue</v>
      </c>
      <c r="V1585" s="8" t="str">
        <f t="shared" si="148"/>
        <v>Mon</v>
      </c>
    </row>
    <row r="1586" spans="1:22" hidden="1" x14ac:dyDescent="0.25">
      <c r="A1586" t="s">
        <v>128</v>
      </c>
      <c r="B1586" t="s">
        <v>35</v>
      </c>
      <c r="C1586" t="s">
        <v>8</v>
      </c>
      <c r="D1586" t="s">
        <v>12</v>
      </c>
      <c r="F1586" s="5">
        <v>44110</v>
      </c>
      <c r="G1586" s="5">
        <v>44127</v>
      </c>
      <c r="H1586" s="2">
        <v>2</v>
      </c>
      <c r="I1586" s="6"/>
      <c r="J1586" s="6"/>
      <c r="K1586" s="7">
        <v>0.75</v>
      </c>
      <c r="L1586" s="7">
        <v>124.1649</v>
      </c>
      <c r="M1586" t="s">
        <v>18</v>
      </c>
      <c r="N1586" s="16">
        <f>POWER(SQRT(WorkOrders279[[#This Row],[WorkDate]]-WorkOrders279[[#This Row],[ReqDate]]),2)</f>
        <v>17</v>
      </c>
      <c r="O1586" s="8">
        <f t="array" ref="O1586">INDEX(TechRate,MATCH(H1586,TechNum,0))</f>
        <v>140</v>
      </c>
      <c r="P1586" s="10">
        <f>WorkOrders279[[#This Row],[Techs]]*(WorkOrders279[[#This Row],[PartsCost]]*WorkOrders279[[#This Row],[LbrHrs]])</f>
        <v>186.24735000000001</v>
      </c>
      <c r="Q1586" s="10">
        <f t="shared" si="143"/>
        <v>186.24735000000001</v>
      </c>
      <c r="R1586" s="10">
        <f t="shared" si="144"/>
        <v>124.1649</v>
      </c>
      <c r="S1586" s="10">
        <f t="shared" si="145"/>
        <v>310.41225000000003</v>
      </c>
      <c r="T1586" s="10">
        <f t="shared" si="146"/>
        <v>310.41225000000003</v>
      </c>
      <c r="U1586" s="8" t="str">
        <f t="shared" si="147"/>
        <v>Tue</v>
      </c>
      <c r="V1586" s="8" t="str">
        <f t="shared" si="148"/>
        <v>Fri</v>
      </c>
    </row>
    <row r="1587" spans="1:22" hidden="1" x14ac:dyDescent="0.25">
      <c r="A1587" t="s">
        <v>129</v>
      </c>
      <c r="B1587" t="s">
        <v>34</v>
      </c>
      <c r="C1587" t="s">
        <v>9</v>
      </c>
      <c r="D1587" t="s">
        <v>11</v>
      </c>
      <c r="F1587" s="5">
        <v>44110</v>
      </c>
      <c r="G1587" s="5">
        <v>44130</v>
      </c>
      <c r="H1587" s="2">
        <v>1</v>
      </c>
      <c r="I1587" s="6"/>
      <c r="J1587" s="6"/>
      <c r="K1587" s="7">
        <v>0.25</v>
      </c>
      <c r="L1587" s="7">
        <v>21.63</v>
      </c>
      <c r="M1587" t="s">
        <v>17</v>
      </c>
      <c r="N1587" s="16">
        <f>POWER(SQRT(WorkOrders279[[#This Row],[WorkDate]]-WorkOrders279[[#This Row],[ReqDate]]),2)</f>
        <v>20.000000000000004</v>
      </c>
      <c r="O1587" s="8">
        <f t="array" ref="O1587">INDEX(TechRate,MATCH(H1587,TechNum,0))</f>
        <v>80</v>
      </c>
      <c r="P1587" s="10">
        <f>WorkOrders279[[#This Row],[Techs]]*(WorkOrders279[[#This Row],[PartsCost]]*WorkOrders279[[#This Row],[LbrHrs]])</f>
        <v>5.4074999999999998</v>
      </c>
      <c r="Q1587" s="10">
        <f t="shared" si="143"/>
        <v>5.4074999999999998</v>
      </c>
      <c r="R1587" s="10">
        <f t="shared" si="144"/>
        <v>21.63</v>
      </c>
      <c r="S1587" s="10">
        <f t="shared" si="145"/>
        <v>27.037499999999998</v>
      </c>
      <c r="T1587" s="10">
        <f t="shared" si="146"/>
        <v>27.037499999999998</v>
      </c>
      <c r="U1587" s="8" t="str">
        <f t="shared" si="147"/>
        <v>Tue</v>
      </c>
      <c r="V1587" s="8" t="str">
        <f t="shared" si="148"/>
        <v>Mon</v>
      </c>
    </row>
    <row r="1588" spans="1:22" hidden="1" x14ac:dyDescent="0.25">
      <c r="A1588" t="s">
        <v>130</v>
      </c>
      <c r="B1588" t="s">
        <v>35</v>
      </c>
      <c r="C1588" t="s">
        <v>8</v>
      </c>
      <c r="D1588" t="s">
        <v>12</v>
      </c>
      <c r="F1588" s="5">
        <v>44111</v>
      </c>
      <c r="G1588" s="5">
        <v>44123</v>
      </c>
      <c r="H1588" s="2">
        <v>2</v>
      </c>
      <c r="I1588" s="6"/>
      <c r="J1588" s="6" t="s">
        <v>3</v>
      </c>
      <c r="K1588" s="7">
        <v>0.25</v>
      </c>
      <c r="L1588" s="7">
        <v>33</v>
      </c>
      <c r="M1588" t="s">
        <v>18</v>
      </c>
      <c r="N1588" s="16">
        <f>POWER(SQRT(WorkOrders279[[#This Row],[WorkDate]]-WorkOrders279[[#This Row],[ReqDate]]),2)</f>
        <v>11.999999999999998</v>
      </c>
      <c r="O1588" s="8">
        <f t="array" ref="O1588">INDEX(TechRate,MATCH(H1588,TechNum,0))</f>
        <v>140</v>
      </c>
      <c r="P1588" s="10">
        <f>WorkOrders279[[#This Row],[Techs]]*(WorkOrders279[[#This Row],[PartsCost]]*WorkOrders279[[#This Row],[LbrHrs]])</f>
        <v>16.5</v>
      </c>
      <c r="Q1588" s="10">
        <f t="shared" si="143"/>
        <v>16.5</v>
      </c>
      <c r="R1588" s="10">
        <f t="shared" si="144"/>
        <v>0</v>
      </c>
      <c r="S1588" s="10">
        <f t="shared" si="145"/>
        <v>49.5</v>
      </c>
      <c r="T1588" s="10">
        <f t="shared" si="146"/>
        <v>16.5</v>
      </c>
      <c r="U1588" s="8" t="str">
        <f t="shared" si="147"/>
        <v>Wed</v>
      </c>
      <c r="V1588" s="8" t="str">
        <f t="shared" si="148"/>
        <v>Mon</v>
      </c>
    </row>
    <row r="1589" spans="1:22" hidden="1" x14ac:dyDescent="0.25">
      <c r="A1589" t="s">
        <v>131</v>
      </c>
      <c r="B1589" t="s">
        <v>35</v>
      </c>
      <c r="C1589" t="s">
        <v>8</v>
      </c>
      <c r="D1589" t="s">
        <v>12</v>
      </c>
      <c r="F1589" s="5">
        <v>44111</v>
      </c>
      <c r="G1589" s="5">
        <v>44123</v>
      </c>
      <c r="H1589" s="2">
        <v>2</v>
      </c>
      <c r="I1589" s="6"/>
      <c r="J1589" s="6"/>
      <c r="K1589" s="7">
        <v>0.5</v>
      </c>
      <c r="L1589" s="7">
        <v>154.5</v>
      </c>
      <c r="M1589" t="s">
        <v>18</v>
      </c>
      <c r="N1589" s="16">
        <f>POWER(SQRT(WorkOrders279[[#This Row],[WorkDate]]-WorkOrders279[[#This Row],[ReqDate]]),2)</f>
        <v>11.999999999999998</v>
      </c>
      <c r="O1589" s="8">
        <f t="array" ref="O1589">INDEX(TechRate,MATCH(H1589,TechNum,0))</f>
        <v>140</v>
      </c>
      <c r="P1589" s="10">
        <f>WorkOrders279[[#This Row],[Techs]]*(WorkOrders279[[#This Row],[PartsCost]]*WorkOrders279[[#This Row],[LbrHrs]])</f>
        <v>154.5</v>
      </c>
      <c r="Q1589" s="10">
        <f t="shared" si="143"/>
        <v>154.5</v>
      </c>
      <c r="R1589" s="10">
        <f t="shared" si="144"/>
        <v>154.5</v>
      </c>
      <c r="S1589" s="10">
        <f t="shared" si="145"/>
        <v>309</v>
      </c>
      <c r="T1589" s="10">
        <f t="shared" si="146"/>
        <v>309</v>
      </c>
      <c r="U1589" s="8" t="str">
        <f t="shared" si="147"/>
        <v>Wed</v>
      </c>
      <c r="V1589" s="8" t="str">
        <f t="shared" si="148"/>
        <v>Mon</v>
      </c>
    </row>
    <row r="1590" spans="1:22" hidden="1" x14ac:dyDescent="0.25">
      <c r="A1590" t="s">
        <v>132</v>
      </c>
      <c r="B1590" t="s">
        <v>37</v>
      </c>
      <c r="C1590" t="s">
        <v>43</v>
      </c>
      <c r="D1590" t="s">
        <v>2</v>
      </c>
      <c r="F1590" s="5">
        <v>44111</v>
      </c>
      <c r="G1590" s="5">
        <v>44124</v>
      </c>
      <c r="H1590" s="2">
        <v>1</v>
      </c>
      <c r="I1590" s="6"/>
      <c r="J1590" s="6"/>
      <c r="K1590" s="7">
        <v>1</v>
      </c>
      <c r="L1590" s="7">
        <v>48.75</v>
      </c>
      <c r="M1590" t="s">
        <v>17</v>
      </c>
      <c r="N1590" s="16">
        <f>POWER(SQRT(WorkOrders279[[#This Row],[WorkDate]]-WorkOrders279[[#This Row],[ReqDate]]),2)</f>
        <v>12.999999999999998</v>
      </c>
      <c r="O1590" s="8">
        <f t="array" ref="O1590">INDEX(TechRate,MATCH(H1590,TechNum,0))</f>
        <v>80</v>
      </c>
      <c r="P1590" s="10">
        <f>WorkOrders279[[#This Row],[Techs]]*(WorkOrders279[[#This Row],[PartsCost]]*WorkOrders279[[#This Row],[LbrHrs]])</f>
        <v>48.75</v>
      </c>
      <c r="Q1590" s="10">
        <f t="shared" si="143"/>
        <v>48.75</v>
      </c>
      <c r="R1590" s="10">
        <f t="shared" si="144"/>
        <v>48.75</v>
      </c>
      <c r="S1590" s="10">
        <f t="shared" si="145"/>
        <v>97.5</v>
      </c>
      <c r="T1590" s="10">
        <f t="shared" si="146"/>
        <v>97.5</v>
      </c>
      <c r="U1590" s="8" t="str">
        <f t="shared" si="147"/>
        <v>Wed</v>
      </c>
      <c r="V1590" s="8" t="str">
        <f t="shared" si="148"/>
        <v>Tue</v>
      </c>
    </row>
    <row r="1591" spans="1:22" hidden="1" x14ac:dyDescent="0.25">
      <c r="A1591" t="s">
        <v>133</v>
      </c>
      <c r="B1591" t="s">
        <v>37</v>
      </c>
      <c r="C1591" t="s">
        <v>43</v>
      </c>
      <c r="D1591" t="s">
        <v>11</v>
      </c>
      <c r="F1591" s="5">
        <v>44112</v>
      </c>
      <c r="G1591" s="5">
        <v>44124</v>
      </c>
      <c r="H1591" s="2">
        <v>1</v>
      </c>
      <c r="I1591" s="6"/>
      <c r="J1591" s="6"/>
      <c r="K1591" s="7">
        <v>0.25</v>
      </c>
      <c r="L1591" s="7">
        <v>76.1678</v>
      </c>
      <c r="M1591" t="s">
        <v>17</v>
      </c>
      <c r="N1591" s="16">
        <f>POWER(SQRT(WorkOrders279[[#This Row],[WorkDate]]-WorkOrders279[[#This Row],[ReqDate]]),2)</f>
        <v>11.999999999999998</v>
      </c>
      <c r="O1591" s="8">
        <f t="array" ref="O1591">INDEX(TechRate,MATCH(H1591,TechNum,0))</f>
        <v>80</v>
      </c>
      <c r="P1591" s="10">
        <f>WorkOrders279[[#This Row],[Techs]]*(WorkOrders279[[#This Row],[PartsCost]]*WorkOrders279[[#This Row],[LbrHrs]])</f>
        <v>19.04195</v>
      </c>
      <c r="Q1591" s="10">
        <f t="shared" si="143"/>
        <v>19.04195</v>
      </c>
      <c r="R1591" s="10">
        <f t="shared" si="144"/>
        <v>76.1678</v>
      </c>
      <c r="S1591" s="10">
        <f t="shared" si="145"/>
        <v>95.20975</v>
      </c>
      <c r="T1591" s="10">
        <f t="shared" si="146"/>
        <v>95.20975</v>
      </c>
      <c r="U1591" s="8" t="str">
        <f t="shared" si="147"/>
        <v>Thu</v>
      </c>
      <c r="V1591" s="8" t="str">
        <f t="shared" si="148"/>
        <v>Tue</v>
      </c>
    </row>
    <row r="1592" spans="1:22" hidden="1" x14ac:dyDescent="0.25">
      <c r="A1592" t="s">
        <v>134</v>
      </c>
      <c r="B1592" t="s">
        <v>35</v>
      </c>
      <c r="C1592" t="s">
        <v>8</v>
      </c>
      <c r="D1592" t="s">
        <v>13</v>
      </c>
      <c r="F1592" s="5">
        <v>44112</v>
      </c>
      <c r="G1592" s="5">
        <v>44142</v>
      </c>
      <c r="H1592" s="2">
        <v>1</v>
      </c>
      <c r="I1592" s="6"/>
      <c r="J1592" s="6"/>
      <c r="K1592" s="7">
        <v>0.75</v>
      </c>
      <c r="L1592" s="7">
        <v>117</v>
      </c>
      <c r="M1592" t="s">
        <v>18</v>
      </c>
      <c r="N1592" s="16">
        <f>POWER(SQRT(WorkOrders279[[#This Row],[WorkDate]]-WorkOrders279[[#This Row],[ReqDate]]),2)</f>
        <v>30</v>
      </c>
      <c r="O1592" s="8">
        <f t="array" ref="O1592">INDEX(TechRate,MATCH(H1592,TechNum,0))</f>
        <v>80</v>
      </c>
      <c r="P1592" s="10">
        <f>WorkOrders279[[#This Row],[Techs]]*(WorkOrders279[[#This Row],[PartsCost]]*WorkOrders279[[#This Row],[LbrHrs]])</f>
        <v>87.75</v>
      </c>
      <c r="Q1592" s="10">
        <f t="shared" si="143"/>
        <v>87.75</v>
      </c>
      <c r="R1592" s="10">
        <f t="shared" si="144"/>
        <v>117</v>
      </c>
      <c r="S1592" s="10">
        <f t="shared" si="145"/>
        <v>204.75</v>
      </c>
      <c r="T1592" s="10">
        <f t="shared" si="146"/>
        <v>204.75</v>
      </c>
      <c r="U1592" s="8" t="str">
        <f t="shared" si="147"/>
        <v>Thu</v>
      </c>
      <c r="V1592" s="8" t="str">
        <f t="shared" si="148"/>
        <v>Sat</v>
      </c>
    </row>
    <row r="1593" spans="1:22" hidden="1" x14ac:dyDescent="0.25">
      <c r="A1593" t="s">
        <v>135</v>
      </c>
      <c r="B1593" t="s">
        <v>35</v>
      </c>
      <c r="C1593" t="s">
        <v>44</v>
      </c>
      <c r="D1593" t="s">
        <v>2</v>
      </c>
      <c r="F1593" s="5">
        <v>44112</v>
      </c>
      <c r="G1593" s="5">
        <v>44145</v>
      </c>
      <c r="H1593" s="2">
        <v>2</v>
      </c>
      <c r="I1593" s="6"/>
      <c r="J1593" s="6"/>
      <c r="K1593" s="7">
        <v>1.5</v>
      </c>
      <c r="L1593" s="7">
        <v>1575.9739999999999</v>
      </c>
      <c r="M1593" t="s">
        <v>18</v>
      </c>
      <c r="N1593" s="16">
        <f>POWER(SQRT(WorkOrders279[[#This Row],[WorkDate]]-WorkOrders279[[#This Row],[ReqDate]]),2)</f>
        <v>33</v>
      </c>
      <c r="O1593" s="8">
        <f t="array" ref="O1593">INDEX(TechRate,MATCH(H1593,TechNum,0))</f>
        <v>140</v>
      </c>
      <c r="P1593" s="10">
        <f>WorkOrders279[[#This Row],[Techs]]*(WorkOrders279[[#This Row],[PartsCost]]*WorkOrders279[[#This Row],[LbrHrs]])</f>
        <v>4727.9219999999996</v>
      </c>
      <c r="Q1593" s="10">
        <f t="shared" si="143"/>
        <v>4727.9219999999996</v>
      </c>
      <c r="R1593" s="10">
        <f t="shared" si="144"/>
        <v>1575.9739999999999</v>
      </c>
      <c r="S1593" s="10">
        <f t="shared" si="145"/>
        <v>6303.8959999999997</v>
      </c>
      <c r="T1593" s="10">
        <f t="shared" si="146"/>
        <v>6303.8959999999997</v>
      </c>
      <c r="U1593" s="8" t="str">
        <f t="shared" si="147"/>
        <v>Thu</v>
      </c>
      <c r="V1593" s="8" t="str">
        <f t="shared" si="148"/>
        <v>Tue</v>
      </c>
    </row>
    <row r="1594" spans="1:22" hidden="1" x14ac:dyDescent="0.25">
      <c r="A1594" t="s">
        <v>136</v>
      </c>
      <c r="B1594" t="s">
        <v>38</v>
      </c>
      <c r="C1594" t="s">
        <v>8</v>
      </c>
      <c r="D1594" t="s">
        <v>13</v>
      </c>
      <c r="F1594" s="5">
        <v>44112</v>
      </c>
      <c r="G1594" s="5">
        <v>44153</v>
      </c>
      <c r="H1594" s="2">
        <v>1</v>
      </c>
      <c r="I1594" s="6"/>
      <c r="J1594" s="6"/>
      <c r="K1594" s="7">
        <v>0.5</v>
      </c>
      <c r="L1594" s="7">
        <v>21.33</v>
      </c>
      <c r="M1594" t="s">
        <v>19</v>
      </c>
      <c r="N1594" s="16">
        <f>POWER(SQRT(WorkOrders279[[#This Row],[WorkDate]]-WorkOrders279[[#This Row],[ReqDate]]),2)</f>
        <v>41</v>
      </c>
      <c r="O1594" s="8">
        <f t="array" ref="O1594">INDEX(TechRate,MATCH(H1594,TechNum,0))</f>
        <v>80</v>
      </c>
      <c r="P1594" s="10">
        <f>WorkOrders279[[#This Row],[Techs]]*(WorkOrders279[[#This Row],[PartsCost]]*WorkOrders279[[#This Row],[LbrHrs]])</f>
        <v>10.664999999999999</v>
      </c>
      <c r="Q1594" s="10">
        <f t="shared" si="143"/>
        <v>10.664999999999999</v>
      </c>
      <c r="R1594" s="10">
        <f t="shared" si="144"/>
        <v>21.33</v>
      </c>
      <c r="S1594" s="10">
        <f t="shared" si="145"/>
        <v>31.994999999999997</v>
      </c>
      <c r="T1594" s="10">
        <f t="shared" si="146"/>
        <v>31.994999999999997</v>
      </c>
      <c r="U1594" s="8" t="str">
        <f t="shared" si="147"/>
        <v>Thu</v>
      </c>
      <c r="V1594" s="8" t="str">
        <f t="shared" si="148"/>
        <v>Wed</v>
      </c>
    </row>
    <row r="1595" spans="1:22" hidden="1" x14ac:dyDescent="0.25">
      <c r="A1595" t="s">
        <v>137</v>
      </c>
      <c r="B1595" t="s">
        <v>39</v>
      </c>
      <c r="C1595" t="s">
        <v>6</v>
      </c>
      <c r="D1595" t="s">
        <v>13</v>
      </c>
      <c r="F1595" s="5">
        <v>44112</v>
      </c>
      <c r="G1595" s="5">
        <v>44165</v>
      </c>
      <c r="H1595" s="2">
        <v>1</v>
      </c>
      <c r="I1595" s="6"/>
      <c r="J1595" s="6"/>
      <c r="K1595" s="7">
        <v>0.5</v>
      </c>
      <c r="L1595" s="7">
        <v>74.785899999999998</v>
      </c>
      <c r="M1595" t="s">
        <v>17</v>
      </c>
      <c r="N1595" s="16">
        <f>POWER(SQRT(WorkOrders279[[#This Row],[WorkDate]]-WorkOrders279[[#This Row],[ReqDate]]),2)</f>
        <v>53</v>
      </c>
      <c r="O1595" s="8">
        <f t="array" ref="O1595">INDEX(TechRate,MATCH(H1595,TechNum,0))</f>
        <v>80</v>
      </c>
      <c r="P1595" s="10">
        <f>WorkOrders279[[#This Row],[Techs]]*(WorkOrders279[[#This Row],[PartsCost]]*WorkOrders279[[#This Row],[LbrHrs]])</f>
        <v>37.392949999999999</v>
      </c>
      <c r="Q1595" s="10">
        <f t="shared" si="143"/>
        <v>37.392949999999999</v>
      </c>
      <c r="R1595" s="10">
        <f t="shared" si="144"/>
        <v>74.785899999999998</v>
      </c>
      <c r="S1595" s="10">
        <f t="shared" si="145"/>
        <v>112.17885</v>
      </c>
      <c r="T1595" s="10">
        <f t="shared" si="146"/>
        <v>112.17885</v>
      </c>
      <c r="U1595" s="8" t="str">
        <f t="shared" si="147"/>
        <v>Thu</v>
      </c>
      <c r="V1595" s="8" t="str">
        <f t="shared" si="148"/>
        <v>Mon</v>
      </c>
    </row>
    <row r="1596" spans="1:22" hidden="1" x14ac:dyDescent="0.25">
      <c r="A1596" t="s">
        <v>138</v>
      </c>
      <c r="B1596" t="s">
        <v>41</v>
      </c>
      <c r="C1596" t="s">
        <v>6</v>
      </c>
      <c r="D1596" t="s">
        <v>2</v>
      </c>
      <c r="F1596" s="5">
        <v>44112</v>
      </c>
      <c r="G1596" s="5">
        <v>44166</v>
      </c>
      <c r="H1596" s="2">
        <v>2</v>
      </c>
      <c r="I1596" s="6"/>
      <c r="J1596" s="6"/>
      <c r="K1596" s="7">
        <v>4.75</v>
      </c>
      <c r="L1596" s="7">
        <v>1123.9716000000001</v>
      </c>
      <c r="M1596" t="s">
        <v>18</v>
      </c>
      <c r="N1596" s="16">
        <f>POWER(SQRT(WorkOrders279[[#This Row],[WorkDate]]-WorkOrders279[[#This Row],[ReqDate]]),2)</f>
        <v>54</v>
      </c>
      <c r="O1596" s="8">
        <f t="array" ref="O1596">INDEX(TechRate,MATCH(H1596,TechNum,0))</f>
        <v>140</v>
      </c>
      <c r="P1596" s="10">
        <f>WorkOrders279[[#This Row],[Techs]]*(WorkOrders279[[#This Row],[PartsCost]]*WorkOrders279[[#This Row],[LbrHrs]])</f>
        <v>10677.7302</v>
      </c>
      <c r="Q1596" s="10">
        <f t="shared" si="143"/>
        <v>10677.7302</v>
      </c>
      <c r="R1596" s="10">
        <f t="shared" si="144"/>
        <v>1123.9716000000001</v>
      </c>
      <c r="S1596" s="10">
        <f t="shared" si="145"/>
        <v>11801.701800000001</v>
      </c>
      <c r="T1596" s="10">
        <f t="shared" si="146"/>
        <v>11801.701800000001</v>
      </c>
      <c r="U1596" s="8" t="str">
        <f t="shared" si="147"/>
        <v>Thu</v>
      </c>
      <c r="V1596" s="8" t="str">
        <f t="shared" si="148"/>
        <v>Tue</v>
      </c>
    </row>
    <row r="1597" spans="1:22" hidden="1" x14ac:dyDescent="0.25">
      <c r="A1597" t="s">
        <v>139</v>
      </c>
      <c r="B1597" t="s">
        <v>34</v>
      </c>
      <c r="C1597" t="s">
        <v>9</v>
      </c>
      <c r="D1597" t="s">
        <v>12</v>
      </c>
      <c r="F1597" s="5">
        <v>44116</v>
      </c>
      <c r="G1597" s="5">
        <v>44130</v>
      </c>
      <c r="H1597" s="2">
        <v>2</v>
      </c>
      <c r="I1597" s="6"/>
      <c r="J1597" s="6"/>
      <c r="K1597" s="7">
        <v>1</v>
      </c>
      <c r="L1597" s="7">
        <v>128.9796</v>
      </c>
      <c r="M1597" t="s">
        <v>17</v>
      </c>
      <c r="N1597" s="16">
        <f>POWER(SQRT(WorkOrders279[[#This Row],[WorkDate]]-WorkOrders279[[#This Row],[ReqDate]]),2)</f>
        <v>14</v>
      </c>
      <c r="O1597" s="8">
        <f t="array" ref="O1597">INDEX(TechRate,MATCH(H1597,TechNum,0))</f>
        <v>140</v>
      </c>
      <c r="P1597" s="10">
        <f>WorkOrders279[[#This Row],[Techs]]*(WorkOrders279[[#This Row],[PartsCost]]*WorkOrders279[[#This Row],[LbrHrs]])</f>
        <v>257.95920000000001</v>
      </c>
      <c r="Q1597" s="10">
        <f t="shared" si="143"/>
        <v>257.95920000000001</v>
      </c>
      <c r="R1597" s="10">
        <f t="shared" si="144"/>
        <v>128.9796</v>
      </c>
      <c r="S1597" s="10">
        <f t="shared" si="145"/>
        <v>386.93880000000001</v>
      </c>
      <c r="T1597" s="10">
        <f t="shared" si="146"/>
        <v>386.93880000000001</v>
      </c>
      <c r="U1597" s="8" t="str">
        <f t="shared" si="147"/>
        <v>Mon</v>
      </c>
      <c r="V1597" s="8" t="str">
        <f t="shared" si="148"/>
        <v>Mon</v>
      </c>
    </row>
    <row r="1598" spans="1:22" hidden="1" x14ac:dyDescent="0.25">
      <c r="A1598" t="s">
        <v>140</v>
      </c>
      <c r="B1598" t="s">
        <v>38</v>
      </c>
      <c r="C1598" t="s">
        <v>8</v>
      </c>
      <c r="D1598" t="s">
        <v>13</v>
      </c>
      <c r="F1598" s="5">
        <v>44116</v>
      </c>
      <c r="G1598" s="5">
        <v>44139</v>
      </c>
      <c r="H1598" s="2">
        <v>1</v>
      </c>
      <c r="I1598" s="6"/>
      <c r="J1598" s="6"/>
      <c r="K1598" s="7">
        <v>0.5</v>
      </c>
      <c r="L1598" s="7">
        <v>144</v>
      </c>
      <c r="M1598" t="s">
        <v>19</v>
      </c>
      <c r="N1598" s="16">
        <f>POWER(SQRT(WorkOrders279[[#This Row],[WorkDate]]-WorkOrders279[[#This Row],[ReqDate]]),2)</f>
        <v>22.999999999999996</v>
      </c>
      <c r="O1598" s="8">
        <f t="array" ref="O1598">INDEX(TechRate,MATCH(H1598,TechNum,0))</f>
        <v>80</v>
      </c>
      <c r="P1598" s="10">
        <f>WorkOrders279[[#This Row],[Techs]]*(WorkOrders279[[#This Row],[PartsCost]]*WorkOrders279[[#This Row],[LbrHrs]])</f>
        <v>72</v>
      </c>
      <c r="Q1598" s="10">
        <f t="shared" si="143"/>
        <v>72</v>
      </c>
      <c r="R1598" s="10">
        <f t="shared" si="144"/>
        <v>144</v>
      </c>
      <c r="S1598" s="10">
        <f t="shared" si="145"/>
        <v>216</v>
      </c>
      <c r="T1598" s="10">
        <f t="shared" si="146"/>
        <v>216</v>
      </c>
      <c r="U1598" s="8" t="str">
        <f t="shared" si="147"/>
        <v>Mon</v>
      </c>
      <c r="V1598" s="8" t="str">
        <f t="shared" si="148"/>
        <v>Wed</v>
      </c>
    </row>
    <row r="1599" spans="1:22" hidden="1" x14ac:dyDescent="0.25">
      <c r="A1599" t="s">
        <v>141</v>
      </c>
      <c r="B1599" t="s">
        <v>34</v>
      </c>
      <c r="C1599" t="s">
        <v>6</v>
      </c>
      <c r="D1599" t="s">
        <v>12</v>
      </c>
      <c r="F1599" s="5">
        <v>44116</v>
      </c>
      <c r="G1599" s="5">
        <v>44140</v>
      </c>
      <c r="H1599" s="2">
        <v>2</v>
      </c>
      <c r="I1599" s="6"/>
      <c r="J1599" s="6"/>
      <c r="K1599" s="7">
        <v>1</v>
      </c>
      <c r="L1599" s="7">
        <v>1211.8269</v>
      </c>
      <c r="M1599" t="s">
        <v>17</v>
      </c>
      <c r="N1599" s="16">
        <f>POWER(SQRT(WorkOrders279[[#This Row],[WorkDate]]-WorkOrders279[[#This Row],[ReqDate]]),2)</f>
        <v>23.999999999999996</v>
      </c>
      <c r="O1599" s="8">
        <f t="array" ref="O1599">INDEX(TechRate,MATCH(H1599,TechNum,0))</f>
        <v>140</v>
      </c>
      <c r="P1599" s="10">
        <f>WorkOrders279[[#This Row],[Techs]]*(WorkOrders279[[#This Row],[PartsCost]]*WorkOrders279[[#This Row],[LbrHrs]])</f>
        <v>2423.6538</v>
      </c>
      <c r="Q1599" s="10">
        <f t="shared" si="143"/>
        <v>2423.6538</v>
      </c>
      <c r="R1599" s="10">
        <f t="shared" si="144"/>
        <v>1211.8269</v>
      </c>
      <c r="S1599" s="10">
        <f t="shared" si="145"/>
        <v>3635.4807000000001</v>
      </c>
      <c r="T1599" s="10">
        <f t="shared" si="146"/>
        <v>3635.4807000000001</v>
      </c>
      <c r="U1599" s="8" t="str">
        <f t="shared" si="147"/>
        <v>Mon</v>
      </c>
      <c r="V1599" s="8" t="str">
        <f t="shared" si="148"/>
        <v>Thu</v>
      </c>
    </row>
    <row r="1600" spans="1:22" hidden="1" x14ac:dyDescent="0.25">
      <c r="A1600" t="s">
        <v>142</v>
      </c>
      <c r="B1600" t="s">
        <v>37</v>
      </c>
      <c r="C1600" t="s">
        <v>6</v>
      </c>
      <c r="D1600" t="s">
        <v>13</v>
      </c>
      <c r="F1600" s="5">
        <v>44116</v>
      </c>
      <c r="G1600" s="5">
        <v>44153</v>
      </c>
      <c r="H1600" s="2">
        <v>1</v>
      </c>
      <c r="I1600" s="6"/>
      <c r="J1600" s="6"/>
      <c r="K1600" s="7">
        <v>0.5</v>
      </c>
      <c r="L1600" s="7">
        <v>54.124600000000001</v>
      </c>
      <c r="M1600" t="s">
        <v>17</v>
      </c>
      <c r="N1600" s="16">
        <f>POWER(SQRT(WorkOrders279[[#This Row],[WorkDate]]-WorkOrders279[[#This Row],[ReqDate]]),2)</f>
        <v>36.999999999999993</v>
      </c>
      <c r="O1600" s="8">
        <f t="array" ref="O1600">INDEX(TechRate,MATCH(H1600,TechNum,0))</f>
        <v>80</v>
      </c>
      <c r="P1600" s="10">
        <f>WorkOrders279[[#This Row],[Techs]]*(WorkOrders279[[#This Row],[PartsCost]]*WorkOrders279[[#This Row],[LbrHrs]])</f>
        <v>27.0623</v>
      </c>
      <c r="Q1600" s="10">
        <f t="shared" si="143"/>
        <v>27.0623</v>
      </c>
      <c r="R1600" s="10">
        <f t="shared" si="144"/>
        <v>54.124600000000001</v>
      </c>
      <c r="S1600" s="10">
        <f t="shared" si="145"/>
        <v>81.186900000000009</v>
      </c>
      <c r="T1600" s="10">
        <f t="shared" si="146"/>
        <v>81.186900000000009</v>
      </c>
      <c r="U1600" s="8" t="str">
        <f t="shared" si="147"/>
        <v>Mon</v>
      </c>
      <c r="V1600" s="8" t="str">
        <f t="shared" si="148"/>
        <v>Wed</v>
      </c>
    </row>
    <row r="1601" spans="1:22" hidden="1" x14ac:dyDescent="0.25">
      <c r="A1601" t="s">
        <v>143</v>
      </c>
      <c r="B1601" t="s">
        <v>35</v>
      </c>
      <c r="C1601" t="s">
        <v>6</v>
      </c>
      <c r="D1601" t="s">
        <v>12</v>
      </c>
      <c r="E1601" t="s">
        <v>3</v>
      </c>
      <c r="F1601" s="5">
        <v>44116</v>
      </c>
      <c r="G1601" s="5">
        <v>44154</v>
      </c>
      <c r="H1601" s="2">
        <v>1</v>
      </c>
      <c r="I1601" s="6"/>
      <c r="J1601" s="6"/>
      <c r="K1601" s="7">
        <v>0.5</v>
      </c>
      <c r="L1601" s="7">
        <v>55.935699999999997</v>
      </c>
      <c r="M1601" t="s">
        <v>18</v>
      </c>
      <c r="N1601" s="16">
        <f>POWER(SQRT(WorkOrders279[[#This Row],[WorkDate]]-WorkOrders279[[#This Row],[ReqDate]]),2)</f>
        <v>37.999999999999993</v>
      </c>
      <c r="O1601" s="8">
        <f t="array" ref="O1601">INDEX(TechRate,MATCH(H1601,TechNum,0))</f>
        <v>80</v>
      </c>
      <c r="P1601" s="10">
        <f>WorkOrders279[[#This Row],[Techs]]*(WorkOrders279[[#This Row],[PartsCost]]*WorkOrders279[[#This Row],[LbrHrs]])</f>
        <v>27.967849999999999</v>
      </c>
      <c r="Q1601" s="10">
        <f t="shared" si="143"/>
        <v>27.967849999999999</v>
      </c>
      <c r="R1601" s="10">
        <f t="shared" si="144"/>
        <v>55.935699999999997</v>
      </c>
      <c r="S1601" s="10">
        <f t="shared" si="145"/>
        <v>83.903549999999996</v>
      </c>
      <c r="T1601" s="10">
        <f t="shared" si="146"/>
        <v>83.903549999999996</v>
      </c>
      <c r="U1601" s="8" t="str">
        <f t="shared" si="147"/>
        <v>Mon</v>
      </c>
      <c r="V1601" s="8" t="str">
        <f t="shared" si="148"/>
        <v>Thu</v>
      </c>
    </row>
    <row r="1602" spans="1:22" hidden="1" x14ac:dyDescent="0.25">
      <c r="A1602" t="s">
        <v>144</v>
      </c>
      <c r="B1602" t="s">
        <v>39</v>
      </c>
      <c r="C1602" t="s">
        <v>6</v>
      </c>
      <c r="D1602" t="s">
        <v>12</v>
      </c>
      <c r="E1602" t="s">
        <v>3</v>
      </c>
      <c r="F1602" s="5">
        <v>44117</v>
      </c>
      <c r="G1602" s="5">
        <v>44131</v>
      </c>
      <c r="H1602" s="2">
        <v>1</v>
      </c>
      <c r="I1602" s="6"/>
      <c r="J1602" s="6"/>
      <c r="K1602" s="7">
        <v>0.5</v>
      </c>
      <c r="L1602" s="7">
        <v>11.06</v>
      </c>
      <c r="M1602" t="s">
        <v>19</v>
      </c>
      <c r="N1602" s="16">
        <f>POWER(SQRT(WorkOrders279[[#This Row],[WorkDate]]-WorkOrders279[[#This Row],[ReqDate]]),2)</f>
        <v>14</v>
      </c>
      <c r="O1602" s="8">
        <f t="array" ref="O1602">INDEX(TechRate,MATCH(H1602,TechNum,0))</f>
        <v>80</v>
      </c>
      <c r="P1602" s="10">
        <f>WorkOrders279[[#This Row],[Techs]]*(WorkOrders279[[#This Row],[PartsCost]]*WorkOrders279[[#This Row],[LbrHrs]])</f>
        <v>5.53</v>
      </c>
      <c r="Q1602" s="10">
        <f t="shared" si="143"/>
        <v>5.53</v>
      </c>
      <c r="R1602" s="10">
        <f t="shared" si="144"/>
        <v>11.06</v>
      </c>
      <c r="S1602" s="10">
        <f t="shared" si="145"/>
        <v>16.59</v>
      </c>
      <c r="T1602" s="10">
        <f t="shared" si="146"/>
        <v>16.59</v>
      </c>
      <c r="U1602" s="8" t="str">
        <f t="shared" si="147"/>
        <v>Tue</v>
      </c>
      <c r="V1602" s="8" t="str">
        <f t="shared" si="148"/>
        <v>Tue</v>
      </c>
    </row>
    <row r="1603" spans="1:22" hidden="1" x14ac:dyDescent="0.25">
      <c r="A1603" t="s">
        <v>145</v>
      </c>
      <c r="B1603" t="s">
        <v>38</v>
      </c>
      <c r="C1603" t="s">
        <v>8</v>
      </c>
      <c r="D1603" t="s">
        <v>2</v>
      </c>
      <c r="F1603" s="5">
        <v>44117</v>
      </c>
      <c r="G1603" s="5">
        <v>44131</v>
      </c>
      <c r="H1603" s="2">
        <v>1</v>
      </c>
      <c r="I1603" s="6"/>
      <c r="J1603" s="6"/>
      <c r="K1603" s="7">
        <v>2</v>
      </c>
      <c r="L1603" s="7">
        <v>77.165099999999995</v>
      </c>
      <c r="M1603" t="s">
        <v>17</v>
      </c>
      <c r="N1603" s="16">
        <f>POWER(SQRT(WorkOrders279[[#This Row],[WorkDate]]-WorkOrders279[[#This Row],[ReqDate]]),2)</f>
        <v>14</v>
      </c>
      <c r="O1603" s="8">
        <f t="array" ref="O1603">INDEX(TechRate,MATCH(H1603,TechNum,0))</f>
        <v>80</v>
      </c>
      <c r="P1603" s="10">
        <f>WorkOrders279[[#This Row],[Techs]]*(WorkOrders279[[#This Row],[PartsCost]]*WorkOrders279[[#This Row],[LbrHrs]])</f>
        <v>154.33019999999999</v>
      </c>
      <c r="Q1603" s="10">
        <f t="shared" si="143"/>
        <v>154.33019999999999</v>
      </c>
      <c r="R1603" s="10">
        <f t="shared" si="144"/>
        <v>77.165099999999995</v>
      </c>
      <c r="S1603" s="10">
        <f t="shared" si="145"/>
        <v>231.49529999999999</v>
      </c>
      <c r="T1603" s="10">
        <f t="shared" si="146"/>
        <v>231.49529999999999</v>
      </c>
      <c r="U1603" s="8" t="str">
        <f t="shared" si="147"/>
        <v>Tue</v>
      </c>
      <c r="V1603" s="8" t="str">
        <f t="shared" si="148"/>
        <v>Tue</v>
      </c>
    </row>
    <row r="1604" spans="1:22" hidden="1" x14ac:dyDescent="0.25">
      <c r="A1604" t="s">
        <v>146</v>
      </c>
      <c r="B1604" t="s">
        <v>35</v>
      </c>
      <c r="C1604" t="s">
        <v>8</v>
      </c>
      <c r="D1604" t="s">
        <v>12</v>
      </c>
      <c r="F1604" s="5">
        <v>44118</v>
      </c>
      <c r="G1604" s="5">
        <v>44123</v>
      </c>
      <c r="H1604" s="2">
        <v>2</v>
      </c>
      <c r="I1604" s="6"/>
      <c r="J1604" s="6"/>
      <c r="K1604" s="7">
        <v>0.5</v>
      </c>
      <c r="L1604" s="7">
        <v>66.158000000000001</v>
      </c>
      <c r="M1604" t="s">
        <v>17</v>
      </c>
      <c r="N1604" s="16">
        <f>POWER(SQRT(WorkOrders279[[#This Row],[WorkDate]]-WorkOrders279[[#This Row],[ReqDate]]),2)</f>
        <v>5.0000000000000009</v>
      </c>
      <c r="O1604" s="8">
        <f t="array" ref="O1604">INDEX(TechRate,MATCH(H1604,TechNum,0))</f>
        <v>140</v>
      </c>
      <c r="P1604" s="10">
        <f>WorkOrders279[[#This Row],[Techs]]*(WorkOrders279[[#This Row],[PartsCost]]*WorkOrders279[[#This Row],[LbrHrs]])</f>
        <v>66.158000000000001</v>
      </c>
      <c r="Q1604" s="10">
        <f t="shared" si="143"/>
        <v>66.158000000000001</v>
      </c>
      <c r="R1604" s="10">
        <f t="shared" si="144"/>
        <v>66.158000000000001</v>
      </c>
      <c r="S1604" s="10">
        <f t="shared" si="145"/>
        <v>132.316</v>
      </c>
      <c r="T1604" s="10">
        <f t="shared" si="146"/>
        <v>132.316</v>
      </c>
      <c r="U1604" s="8" t="str">
        <f t="shared" si="147"/>
        <v>Wed</v>
      </c>
      <c r="V1604" s="8" t="str">
        <f t="shared" si="148"/>
        <v>Mon</v>
      </c>
    </row>
    <row r="1605" spans="1:22" hidden="1" x14ac:dyDescent="0.25">
      <c r="A1605" t="s">
        <v>147</v>
      </c>
      <c r="B1605" t="s">
        <v>42</v>
      </c>
      <c r="C1605" t="s">
        <v>6</v>
      </c>
      <c r="D1605" t="s">
        <v>11</v>
      </c>
      <c r="F1605" s="5">
        <v>44118</v>
      </c>
      <c r="G1605" s="5">
        <v>44131</v>
      </c>
      <c r="H1605" s="2">
        <v>1</v>
      </c>
      <c r="I1605" s="6"/>
      <c r="J1605" s="6"/>
      <c r="K1605" s="7">
        <v>0.25</v>
      </c>
      <c r="L1605" s="7">
        <v>27.953900000000001</v>
      </c>
      <c r="M1605" t="s">
        <v>17</v>
      </c>
      <c r="N1605" s="16">
        <f>POWER(SQRT(WorkOrders279[[#This Row],[WorkDate]]-WorkOrders279[[#This Row],[ReqDate]]),2)</f>
        <v>12.999999999999998</v>
      </c>
      <c r="O1605" s="8">
        <f t="array" ref="O1605">INDEX(TechRate,MATCH(H1605,TechNum,0))</f>
        <v>80</v>
      </c>
      <c r="P1605" s="10">
        <f>WorkOrders279[[#This Row],[Techs]]*(WorkOrders279[[#This Row],[PartsCost]]*WorkOrders279[[#This Row],[LbrHrs]])</f>
        <v>6.9884750000000002</v>
      </c>
      <c r="Q1605" s="10">
        <f t="shared" si="143"/>
        <v>6.9884750000000002</v>
      </c>
      <c r="R1605" s="10">
        <f t="shared" si="144"/>
        <v>27.953900000000001</v>
      </c>
      <c r="S1605" s="10">
        <f t="shared" si="145"/>
        <v>34.942374999999998</v>
      </c>
      <c r="T1605" s="10">
        <f t="shared" si="146"/>
        <v>34.942374999999998</v>
      </c>
      <c r="U1605" s="8" t="str">
        <f t="shared" si="147"/>
        <v>Wed</v>
      </c>
      <c r="V1605" s="8" t="str">
        <f t="shared" si="148"/>
        <v>Tue</v>
      </c>
    </row>
    <row r="1606" spans="1:22" hidden="1" x14ac:dyDescent="0.25">
      <c r="A1606" t="s">
        <v>148</v>
      </c>
      <c r="B1606" t="s">
        <v>38</v>
      </c>
      <c r="C1606" t="s">
        <v>8</v>
      </c>
      <c r="D1606" t="s">
        <v>12</v>
      </c>
      <c r="F1606" s="5">
        <v>44118</v>
      </c>
      <c r="G1606" s="5">
        <v>44131</v>
      </c>
      <c r="H1606" s="2">
        <v>1</v>
      </c>
      <c r="I1606" s="6"/>
      <c r="J1606" s="6"/>
      <c r="K1606" s="7">
        <v>1</v>
      </c>
      <c r="L1606" s="7">
        <v>216.3125</v>
      </c>
      <c r="M1606" t="s">
        <v>18</v>
      </c>
      <c r="N1606" s="16">
        <f>POWER(SQRT(WorkOrders279[[#This Row],[WorkDate]]-WorkOrders279[[#This Row],[ReqDate]]),2)</f>
        <v>12.999999999999998</v>
      </c>
      <c r="O1606" s="8">
        <f t="array" ref="O1606">INDEX(TechRate,MATCH(H1606,TechNum,0))</f>
        <v>80</v>
      </c>
      <c r="P1606" s="10">
        <f>WorkOrders279[[#This Row],[Techs]]*(WorkOrders279[[#This Row],[PartsCost]]*WorkOrders279[[#This Row],[LbrHrs]])</f>
        <v>216.3125</v>
      </c>
      <c r="Q1606" s="10">
        <f t="shared" si="143"/>
        <v>216.3125</v>
      </c>
      <c r="R1606" s="10">
        <f t="shared" si="144"/>
        <v>216.3125</v>
      </c>
      <c r="S1606" s="10">
        <f t="shared" si="145"/>
        <v>432.625</v>
      </c>
      <c r="T1606" s="10">
        <f t="shared" si="146"/>
        <v>432.625</v>
      </c>
      <c r="U1606" s="8" t="str">
        <f t="shared" si="147"/>
        <v>Wed</v>
      </c>
      <c r="V1606" s="8" t="str">
        <f t="shared" si="148"/>
        <v>Tue</v>
      </c>
    </row>
    <row r="1607" spans="1:22" hidden="1" x14ac:dyDescent="0.25">
      <c r="A1607" t="s">
        <v>149</v>
      </c>
      <c r="B1607" t="s">
        <v>34</v>
      </c>
      <c r="C1607" t="s">
        <v>9</v>
      </c>
      <c r="D1607" t="s">
        <v>2</v>
      </c>
      <c r="F1607" s="5">
        <v>44118</v>
      </c>
      <c r="G1607" s="5">
        <v>44138</v>
      </c>
      <c r="H1607" s="2">
        <v>2</v>
      </c>
      <c r="I1607" s="6"/>
      <c r="J1607" s="6"/>
      <c r="K1607" s="7">
        <v>2</v>
      </c>
      <c r="L1607" s="7">
        <v>619.51329999999996</v>
      </c>
      <c r="M1607" t="s">
        <v>19</v>
      </c>
      <c r="N1607" s="16">
        <f>POWER(SQRT(WorkOrders279[[#This Row],[WorkDate]]-WorkOrders279[[#This Row],[ReqDate]]),2)</f>
        <v>20.000000000000004</v>
      </c>
      <c r="O1607" s="8">
        <f t="array" ref="O1607">INDEX(TechRate,MATCH(H1607,TechNum,0))</f>
        <v>140</v>
      </c>
      <c r="P1607" s="10">
        <f>WorkOrders279[[#This Row],[Techs]]*(WorkOrders279[[#This Row],[PartsCost]]*WorkOrders279[[#This Row],[LbrHrs]])</f>
        <v>2478.0531999999998</v>
      </c>
      <c r="Q1607" s="10">
        <f t="shared" si="143"/>
        <v>2478.0531999999998</v>
      </c>
      <c r="R1607" s="10">
        <f t="shared" si="144"/>
        <v>619.51329999999996</v>
      </c>
      <c r="S1607" s="10">
        <f t="shared" si="145"/>
        <v>3097.5664999999999</v>
      </c>
      <c r="T1607" s="10">
        <f t="shared" si="146"/>
        <v>3097.5664999999999</v>
      </c>
      <c r="U1607" s="8" t="str">
        <f t="shared" si="147"/>
        <v>Wed</v>
      </c>
      <c r="V1607" s="8" t="str">
        <f t="shared" si="148"/>
        <v>Tue</v>
      </c>
    </row>
    <row r="1608" spans="1:22" hidden="1" x14ac:dyDescent="0.25">
      <c r="A1608" t="s">
        <v>150</v>
      </c>
      <c r="B1608" t="s">
        <v>38</v>
      </c>
      <c r="C1608" t="s">
        <v>6</v>
      </c>
      <c r="D1608" t="s">
        <v>13</v>
      </c>
      <c r="F1608" s="5">
        <v>44118</v>
      </c>
      <c r="G1608" s="5">
        <v>44145</v>
      </c>
      <c r="H1608" s="2">
        <v>1</v>
      </c>
      <c r="I1608" s="6"/>
      <c r="J1608" s="6"/>
      <c r="K1608" s="7">
        <v>0.5</v>
      </c>
      <c r="L1608" s="7">
        <v>3.12</v>
      </c>
      <c r="M1608" t="s">
        <v>18</v>
      </c>
      <c r="N1608" s="16">
        <f>POWER(SQRT(WorkOrders279[[#This Row],[WorkDate]]-WorkOrders279[[#This Row],[ReqDate]]),2)</f>
        <v>27</v>
      </c>
      <c r="O1608" s="8">
        <f t="array" ref="O1608">INDEX(TechRate,MATCH(H1608,TechNum,0))</f>
        <v>80</v>
      </c>
      <c r="P1608" s="10">
        <f>WorkOrders279[[#This Row],[Techs]]*(WorkOrders279[[#This Row],[PartsCost]]*WorkOrders279[[#This Row],[LbrHrs]])</f>
        <v>1.56</v>
      </c>
      <c r="Q1608" s="10">
        <f t="shared" si="143"/>
        <v>1.56</v>
      </c>
      <c r="R1608" s="10">
        <f t="shared" si="144"/>
        <v>3.12</v>
      </c>
      <c r="S1608" s="10">
        <f t="shared" si="145"/>
        <v>4.68</v>
      </c>
      <c r="T1608" s="10">
        <f t="shared" si="146"/>
        <v>4.68</v>
      </c>
      <c r="U1608" s="8" t="str">
        <f t="shared" si="147"/>
        <v>Wed</v>
      </c>
      <c r="V1608" s="8" t="str">
        <f t="shared" si="148"/>
        <v>Tue</v>
      </c>
    </row>
    <row r="1609" spans="1:22" hidden="1" x14ac:dyDescent="0.25">
      <c r="A1609" t="s">
        <v>151</v>
      </c>
      <c r="B1609" t="s">
        <v>34</v>
      </c>
      <c r="C1609" t="s">
        <v>6</v>
      </c>
      <c r="D1609" t="s">
        <v>12</v>
      </c>
      <c r="F1609" s="5">
        <v>44119</v>
      </c>
      <c r="G1609" s="5">
        <v>44126</v>
      </c>
      <c r="H1609" s="2">
        <v>1</v>
      </c>
      <c r="I1609" s="6"/>
      <c r="J1609" s="6"/>
      <c r="K1609" s="7">
        <v>0.75</v>
      </c>
      <c r="L1609" s="7">
        <v>163.26</v>
      </c>
      <c r="M1609" t="s">
        <v>17</v>
      </c>
      <c r="N1609" s="16">
        <f>POWER(SQRT(WorkOrders279[[#This Row],[WorkDate]]-WorkOrders279[[#This Row],[ReqDate]]),2)</f>
        <v>7.0000000000000009</v>
      </c>
      <c r="O1609" s="8">
        <f t="array" ref="O1609">INDEX(TechRate,MATCH(H1609,TechNum,0))</f>
        <v>80</v>
      </c>
      <c r="P1609" s="10">
        <f>WorkOrders279[[#This Row],[Techs]]*(WorkOrders279[[#This Row],[PartsCost]]*WorkOrders279[[#This Row],[LbrHrs]])</f>
        <v>122.44499999999999</v>
      </c>
      <c r="Q1609" s="10">
        <f t="shared" si="143"/>
        <v>122.44499999999999</v>
      </c>
      <c r="R1609" s="10">
        <f t="shared" si="144"/>
        <v>163.26</v>
      </c>
      <c r="S1609" s="10">
        <f t="shared" si="145"/>
        <v>285.70499999999998</v>
      </c>
      <c r="T1609" s="10">
        <f t="shared" si="146"/>
        <v>285.70499999999998</v>
      </c>
      <c r="U1609" s="8" t="str">
        <f t="shared" si="147"/>
        <v>Thu</v>
      </c>
      <c r="V1609" s="8" t="str">
        <f t="shared" si="148"/>
        <v>Thu</v>
      </c>
    </row>
    <row r="1610" spans="1:22" hidden="1" x14ac:dyDescent="0.25">
      <c r="A1610" t="s">
        <v>152</v>
      </c>
      <c r="B1610" t="s">
        <v>37</v>
      </c>
      <c r="C1610" t="s">
        <v>43</v>
      </c>
      <c r="D1610" t="s">
        <v>11</v>
      </c>
      <c r="F1610" s="5">
        <v>44119</v>
      </c>
      <c r="G1610" s="5">
        <v>44132</v>
      </c>
      <c r="H1610" s="2">
        <v>1</v>
      </c>
      <c r="I1610" s="6"/>
      <c r="J1610" s="6"/>
      <c r="K1610" s="7">
        <v>0.25</v>
      </c>
      <c r="L1610" s="7">
        <v>65.251599999999996</v>
      </c>
      <c r="M1610" t="s">
        <v>17</v>
      </c>
      <c r="N1610" s="16">
        <f>POWER(SQRT(WorkOrders279[[#This Row],[WorkDate]]-WorkOrders279[[#This Row],[ReqDate]]),2)</f>
        <v>12.999999999999998</v>
      </c>
      <c r="O1610" s="8">
        <f t="array" ref="O1610">INDEX(TechRate,MATCH(H1610,TechNum,0))</f>
        <v>80</v>
      </c>
      <c r="P1610" s="10">
        <f>WorkOrders279[[#This Row],[Techs]]*(WorkOrders279[[#This Row],[PartsCost]]*WorkOrders279[[#This Row],[LbrHrs]])</f>
        <v>16.312899999999999</v>
      </c>
      <c r="Q1610" s="10">
        <f t="shared" si="143"/>
        <v>16.312899999999999</v>
      </c>
      <c r="R1610" s="10">
        <f t="shared" si="144"/>
        <v>65.251599999999996</v>
      </c>
      <c r="S1610" s="10">
        <f t="shared" si="145"/>
        <v>81.564499999999995</v>
      </c>
      <c r="T1610" s="10">
        <f t="shared" si="146"/>
        <v>81.564499999999995</v>
      </c>
      <c r="U1610" s="8" t="str">
        <f t="shared" si="147"/>
        <v>Thu</v>
      </c>
      <c r="V1610" s="8" t="str">
        <f t="shared" si="148"/>
        <v>Wed</v>
      </c>
    </row>
    <row r="1611" spans="1:22" hidden="1" x14ac:dyDescent="0.25">
      <c r="A1611" t="s">
        <v>153</v>
      </c>
      <c r="B1611" t="s">
        <v>38</v>
      </c>
      <c r="C1611" t="s">
        <v>6</v>
      </c>
      <c r="D1611" t="s">
        <v>11</v>
      </c>
      <c r="F1611" s="5">
        <v>44119</v>
      </c>
      <c r="G1611" s="5">
        <v>44145</v>
      </c>
      <c r="H1611" s="2">
        <v>1</v>
      </c>
      <c r="I1611" s="6"/>
      <c r="J1611" s="6"/>
      <c r="K1611" s="7">
        <v>0.25</v>
      </c>
      <c r="L1611" s="7">
        <v>30</v>
      </c>
      <c r="M1611" t="s">
        <v>19</v>
      </c>
      <c r="N1611" s="16">
        <f>POWER(SQRT(WorkOrders279[[#This Row],[WorkDate]]-WorkOrders279[[#This Row],[ReqDate]]),2)</f>
        <v>25.999999999999996</v>
      </c>
      <c r="O1611" s="8">
        <f t="array" ref="O1611">INDEX(TechRate,MATCH(H1611,TechNum,0))</f>
        <v>80</v>
      </c>
      <c r="P1611" s="10">
        <f>WorkOrders279[[#This Row],[Techs]]*(WorkOrders279[[#This Row],[PartsCost]]*WorkOrders279[[#This Row],[LbrHrs]])</f>
        <v>7.5</v>
      </c>
      <c r="Q1611" s="10">
        <f t="shared" si="143"/>
        <v>7.5</v>
      </c>
      <c r="R1611" s="10">
        <f t="shared" si="144"/>
        <v>30</v>
      </c>
      <c r="S1611" s="10">
        <f t="shared" si="145"/>
        <v>37.5</v>
      </c>
      <c r="T1611" s="10">
        <f t="shared" si="146"/>
        <v>37.5</v>
      </c>
      <c r="U1611" s="8" t="str">
        <f t="shared" si="147"/>
        <v>Thu</v>
      </c>
      <c r="V1611" s="8" t="str">
        <f t="shared" si="148"/>
        <v>Tue</v>
      </c>
    </row>
    <row r="1612" spans="1:22" hidden="1" x14ac:dyDescent="0.25">
      <c r="A1612" t="s">
        <v>154</v>
      </c>
      <c r="B1612" t="s">
        <v>38</v>
      </c>
      <c r="C1612" t="s">
        <v>6</v>
      </c>
      <c r="D1612" t="s">
        <v>13</v>
      </c>
      <c r="F1612" s="5">
        <v>44119</v>
      </c>
      <c r="G1612" s="5">
        <v>44145</v>
      </c>
      <c r="H1612" s="2">
        <v>1</v>
      </c>
      <c r="I1612" s="6"/>
      <c r="J1612" s="6"/>
      <c r="K1612" s="7">
        <v>0.5</v>
      </c>
      <c r="L1612" s="7">
        <v>105.8442</v>
      </c>
      <c r="M1612" t="s">
        <v>17</v>
      </c>
      <c r="N1612" s="16">
        <f>POWER(SQRT(WorkOrders279[[#This Row],[WorkDate]]-WorkOrders279[[#This Row],[ReqDate]]),2)</f>
        <v>25.999999999999996</v>
      </c>
      <c r="O1612" s="8">
        <f t="array" ref="O1612">INDEX(TechRate,MATCH(H1612,TechNum,0))</f>
        <v>80</v>
      </c>
      <c r="P1612" s="10">
        <f>WorkOrders279[[#This Row],[Techs]]*(WorkOrders279[[#This Row],[PartsCost]]*WorkOrders279[[#This Row],[LbrHrs]])</f>
        <v>52.9221</v>
      </c>
      <c r="Q1612" s="10">
        <f t="shared" si="143"/>
        <v>52.9221</v>
      </c>
      <c r="R1612" s="10">
        <f t="shared" si="144"/>
        <v>105.8442</v>
      </c>
      <c r="S1612" s="10">
        <f t="shared" si="145"/>
        <v>158.7663</v>
      </c>
      <c r="T1612" s="10">
        <f t="shared" si="146"/>
        <v>158.7663</v>
      </c>
      <c r="U1612" s="8" t="str">
        <f t="shared" si="147"/>
        <v>Thu</v>
      </c>
      <c r="V1612" s="8" t="str">
        <f t="shared" si="148"/>
        <v>Tue</v>
      </c>
    </row>
    <row r="1613" spans="1:22" hidden="1" x14ac:dyDescent="0.25">
      <c r="A1613" t="s">
        <v>155</v>
      </c>
      <c r="B1613" t="s">
        <v>35</v>
      </c>
      <c r="C1613" t="s">
        <v>9</v>
      </c>
      <c r="D1613" t="s">
        <v>13</v>
      </c>
      <c r="F1613" s="5">
        <v>44123</v>
      </c>
      <c r="G1613" s="5">
        <v>44140</v>
      </c>
      <c r="H1613" s="2">
        <v>2</v>
      </c>
      <c r="I1613" s="6"/>
      <c r="J1613" s="6"/>
      <c r="K1613" s="7">
        <v>1</v>
      </c>
      <c r="L1613" s="7">
        <v>547.08590000000004</v>
      </c>
      <c r="M1613" t="s">
        <v>18</v>
      </c>
      <c r="N1613" s="16">
        <f>POWER(SQRT(WorkOrders279[[#This Row],[WorkDate]]-WorkOrders279[[#This Row],[ReqDate]]),2)</f>
        <v>17</v>
      </c>
      <c r="O1613" s="8">
        <f t="array" ref="O1613">INDEX(TechRate,MATCH(H1613,TechNum,0))</f>
        <v>140</v>
      </c>
      <c r="P1613" s="10">
        <f>WorkOrders279[[#This Row],[Techs]]*(WorkOrders279[[#This Row],[PartsCost]]*WorkOrders279[[#This Row],[LbrHrs]])</f>
        <v>1094.1718000000001</v>
      </c>
      <c r="Q1613" s="10">
        <f t="shared" si="143"/>
        <v>1094.1718000000001</v>
      </c>
      <c r="R1613" s="10">
        <f t="shared" si="144"/>
        <v>547.08590000000004</v>
      </c>
      <c r="S1613" s="10">
        <f t="shared" si="145"/>
        <v>1641.2577000000001</v>
      </c>
      <c r="T1613" s="10">
        <f t="shared" si="146"/>
        <v>1641.2577000000001</v>
      </c>
      <c r="U1613" s="8" t="str">
        <f t="shared" si="147"/>
        <v>Mon</v>
      </c>
      <c r="V1613" s="8" t="str">
        <f t="shared" si="148"/>
        <v>Thu</v>
      </c>
    </row>
    <row r="1614" spans="1:22" hidden="1" x14ac:dyDescent="0.25">
      <c r="A1614" t="s">
        <v>156</v>
      </c>
      <c r="B1614" t="s">
        <v>38</v>
      </c>
      <c r="C1614" t="s">
        <v>6</v>
      </c>
      <c r="D1614" t="s">
        <v>13</v>
      </c>
      <c r="F1614" s="5">
        <v>44123</v>
      </c>
      <c r="G1614" s="5">
        <v>44160</v>
      </c>
      <c r="H1614" s="2">
        <v>1</v>
      </c>
      <c r="I1614" s="6"/>
      <c r="J1614" s="6"/>
      <c r="K1614" s="7">
        <v>1</v>
      </c>
      <c r="L1614" s="7">
        <v>120</v>
      </c>
      <c r="M1614" t="s">
        <v>19</v>
      </c>
      <c r="N1614" s="16">
        <f>POWER(SQRT(WorkOrders279[[#This Row],[WorkDate]]-WorkOrders279[[#This Row],[ReqDate]]),2)</f>
        <v>36.999999999999993</v>
      </c>
      <c r="O1614" s="8">
        <f t="array" ref="O1614">INDEX(TechRate,MATCH(H1614,TechNum,0))</f>
        <v>80</v>
      </c>
      <c r="P1614" s="10">
        <f>WorkOrders279[[#This Row],[Techs]]*(WorkOrders279[[#This Row],[PartsCost]]*WorkOrders279[[#This Row],[LbrHrs]])</f>
        <v>120</v>
      </c>
      <c r="Q1614" s="10">
        <f t="shared" si="143"/>
        <v>120</v>
      </c>
      <c r="R1614" s="10">
        <f t="shared" si="144"/>
        <v>120</v>
      </c>
      <c r="S1614" s="10">
        <f t="shared" si="145"/>
        <v>240</v>
      </c>
      <c r="T1614" s="10">
        <f t="shared" si="146"/>
        <v>240</v>
      </c>
      <c r="U1614" s="8" t="str">
        <f t="shared" si="147"/>
        <v>Mon</v>
      </c>
      <c r="V1614" s="8" t="str">
        <f t="shared" si="148"/>
        <v>Wed</v>
      </c>
    </row>
    <row r="1615" spans="1:22" hidden="1" x14ac:dyDescent="0.25">
      <c r="A1615" t="s">
        <v>157</v>
      </c>
      <c r="B1615" t="s">
        <v>35</v>
      </c>
      <c r="C1615" t="s">
        <v>8</v>
      </c>
      <c r="D1615" t="s">
        <v>12</v>
      </c>
      <c r="F1615" s="5">
        <v>44124</v>
      </c>
      <c r="G1615" s="5">
        <v>44134</v>
      </c>
      <c r="H1615" s="2">
        <v>1</v>
      </c>
      <c r="I1615" s="6"/>
      <c r="J1615" s="6"/>
      <c r="K1615" s="7">
        <v>0.25</v>
      </c>
      <c r="L1615" s="7">
        <v>30</v>
      </c>
      <c r="M1615" t="s">
        <v>17</v>
      </c>
      <c r="N1615" s="16">
        <f>POWER(SQRT(WorkOrders279[[#This Row],[WorkDate]]-WorkOrders279[[#This Row],[ReqDate]]),2)</f>
        <v>10.000000000000002</v>
      </c>
      <c r="O1615" s="8">
        <f t="array" ref="O1615">INDEX(TechRate,MATCH(H1615,TechNum,0))</f>
        <v>80</v>
      </c>
      <c r="P1615" s="10">
        <f>WorkOrders279[[#This Row],[Techs]]*(WorkOrders279[[#This Row],[PartsCost]]*WorkOrders279[[#This Row],[LbrHrs]])</f>
        <v>7.5</v>
      </c>
      <c r="Q1615" s="10">
        <f t="shared" si="143"/>
        <v>7.5</v>
      </c>
      <c r="R1615" s="10">
        <f t="shared" si="144"/>
        <v>30</v>
      </c>
      <c r="S1615" s="10">
        <f t="shared" si="145"/>
        <v>37.5</v>
      </c>
      <c r="T1615" s="10">
        <f t="shared" si="146"/>
        <v>37.5</v>
      </c>
      <c r="U1615" s="8" t="str">
        <f t="shared" si="147"/>
        <v>Tue</v>
      </c>
      <c r="V1615" s="8" t="str">
        <f t="shared" si="148"/>
        <v>Fri</v>
      </c>
    </row>
    <row r="1616" spans="1:22" hidden="1" x14ac:dyDescent="0.25">
      <c r="A1616" t="s">
        <v>158</v>
      </c>
      <c r="B1616" t="s">
        <v>34</v>
      </c>
      <c r="C1616" t="s">
        <v>44</v>
      </c>
      <c r="D1616" t="s">
        <v>11</v>
      </c>
      <c r="F1616" s="5">
        <v>44124</v>
      </c>
      <c r="G1616" s="5">
        <v>44159</v>
      </c>
      <c r="H1616" s="2">
        <v>1</v>
      </c>
      <c r="I1616" s="6"/>
      <c r="J1616" s="6"/>
      <c r="K1616" s="7">
        <v>0.25</v>
      </c>
      <c r="L1616" s="7">
        <v>27.63</v>
      </c>
      <c r="M1616" t="s">
        <v>17</v>
      </c>
      <c r="N1616" s="16">
        <f>POWER(SQRT(WorkOrders279[[#This Row],[WorkDate]]-WorkOrders279[[#This Row],[ReqDate]]),2)</f>
        <v>35</v>
      </c>
      <c r="O1616" s="8">
        <f t="array" ref="O1616">INDEX(TechRate,MATCH(H1616,TechNum,0))</f>
        <v>80</v>
      </c>
      <c r="P1616" s="10">
        <f>WorkOrders279[[#This Row],[Techs]]*(WorkOrders279[[#This Row],[PartsCost]]*WorkOrders279[[#This Row],[LbrHrs]])</f>
        <v>6.9074999999999998</v>
      </c>
      <c r="Q1616" s="10">
        <f t="shared" si="143"/>
        <v>6.9074999999999998</v>
      </c>
      <c r="R1616" s="10">
        <f t="shared" si="144"/>
        <v>27.63</v>
      </c>
      <c r="S1616" s="10">
        <f t="shared" si="145"/>
        <v>34.537500000000001</v>
      </c>
      <c r="T1616" s="10">
        <f t="shared" si="146"/>
        <v>34.537500000000001</v>
      </c>
      <c r="U1616" s="8" t="str">
        <f t="shared" si="147"/>
        <v>Tue</v>
      </c>
      <c r="V1616" s="8" t="str">
        <f t="shared" si="148"/>
        <v>Tue</v>
      </c>
    </row>
    <row r="1617" spans="1:22" hidden="1" x14ac:dyDescent="0.25">
      <c r="A1617" t="s">
        <v>159</v>
      </c>
      <c r="B1617" t="s">
        <v>34</v>
      </c>
      <c r="C1617" t="s">
        <v>9</v>
      </c>
      <c r="D1617" t="s">
        <v>12</v>
      </c>
      <c r="F1617" s="5">
        <v>44125</v>
      </c>
      <c r="G1617" s="5">
        <v>44141</v>
      </c>
      <c r="H1617" s="2">
        <v>1</v>
      </c>
      <c r="I1617" s="6"/>
      <c r="J1617" s="6"/>
      <c r="K1617" s="7">
        <v>0.25</v>
      </c>
      <c r="L1617" s="7">
        <v>250.42240000000001</v>
      </c>
      <c r="M1617" t="s">
        <v>17</v>
      </c>
      <c r="N1617" s="16">
        <f>POWER(SQRT(WorkOrders279[[#This Row],[WorkDate]]-WorkOrders279[[#This Row],[ReqDate]]),2)</f>
        <v>16</v>
      </c>
      <c r="O1617" s="8">
        <f t="array" ref="O1617">INDEX(TechRate,MATCH(H1617,TechNum,0))</f>
        <v>80</v>
      </c>
      <c r="P1617" s="10">
        <f>WorkOrders279[[#This Row],[Techs]]*(WorkOrders279[[#This Row],[PartsCost]]*WorkOrders279[[#This Row],[LbrHrs]])</f>
        <v>62.605600000000003</v>
      </c>
      <c r="Q1617" s="10">
        <f t="shared" si="143"/>
        <v>62.605600000000003</v>
      </c>
      <c r="R1617" s="10">
        <f t="shared" si="144"/>
        <v>250.42240000000001</v>
      </c>
      <c r="S1617" s="10">
        <f t="shared" si="145"/>
        <v>313.02800000000002</v>
      </c>
      <c r="T1617" s="10">
        <f t="shared" si="146"/>
        <v>313.02800000000002</v>
      </c>
      <c r="U1617" s="8" t="str">
        <f t="shared" si="147"/>
        <v>Wed</v>
      </c>
      <c r="V1617" s="8" t="str">
        <f t="shared" si="148"/>
        <v>Fri</v>
      </c>
    </row>
    <row r="1618" spans="1:22" hidden="1" x14ac:dyDescent="0.25">
      <c r="A1618" t="s">
        <v>160</v>
      </c>
      <c r="B1618" t="s">
        <v>35</v>
      </c>
      <c r="C1618" t="s">
        <v>6</v>
      </c>
      <c r="D1618" t="s">
        <v>12</v>
      </c>
      <c r="E1618" t="s">
        <v>3</v>
      </c>
      <c r="F1618" s="5">
        <v>44125</v>
      </c>
      <c r="G1618" s="5">
        <v>44140</v>
      </c>
      <c r="H1618" s="2">
        <v>2</v>
      </c>
      <c r="I1618" s="6"/>
      <c r="J1618" s="6"/>
      <c r="K1618" s="7">
        <v>0.25</v>
      </c>
      <c r="L1618" s="7">
        <v>38.698399999999999</v>
      </c>
      <c r="M1618" t="s">
        <v>18</v>
      </c>
      <c r="N1618" s="16">
        <f>POWER(SQRT(WorkOrders279[[#This Row],[WorkDate]]-WorkOrders279[[#This Row],[ReqDate]]),2)</f>
        <v>15.000000000000002</v>
      </c>
      <c r="O1618" s="8">
        <f t="array" ref="O1618">INDEX(TechRate,MATCH(H1618,TechNum,0))</f>
        <v>140</v>
      </c>
      <c r="P1618" s="10">
        <f>WorkOrders279[[#This Row],[Techs]]*(WorkOrders279[[#This Row],[PartsCost]]*WorkOrders279[[#This Row],[LbrHrs]])</f>
        <v>19.3492</v>
      </c>
      <c r="Q1618" s="10">
        <f t="shared" si="143"/>
        <v>19.3492</v>
      </c>
      <c r="R1618" s="10">
        <f t="shared" si="144"/>
        <v>38.698399999999999</v>
      </c>
      <c r="S1618" s="10">
        <f t="shared" si="145"/>
        <v>58.047600000000003</v>
      </c>
      <c r="T1618" s="10">
        <f t="shared" si="146"/>
        <v>58.047600000000003</v>
      </c>
      <c r="U1618" s="8" t="str">
        <f t="shared" si="147"/>
        <v>Wed</v>
      </c>
      <c r="V1618" s="8" t="str">
        <f t="shared" si="148"/>
        <v>Thu</v>
      </c>
    </row>
    <row r="1619" spans="1:22" hidden="1" x14ac:dyDescent="0.25">
      <c r="A1619" t="s">
        <v>161</v>
      </c>
      <c r="B1619" t="s">
        <v>35</v>
      </c>
      <c r="C1619" t="s">
        <v>44</v>
      </c>
      <c r="D1619" t="s">
        <v>12</v>
      </c>
      <c r="E1619" t="s">
        <v>3</v>
      </c>
      <c r="F1619" s="5">
        <v>44125</v>
      </c>
      <c r="G1619" s="5">
        <v>44145</v>
      </c>
      <c r="H1619" s="2">
        <v>2</v>
      </c>
      <c r="I1619" s="6"/>
      <c r="J1619" s="6"/>
      <c r="K1619" s="7">
        <v>0.25</v>
      </c>
      <c r="L1619" s="7">
        <v>33</v>
      </c>
      <c r="M1619" t="s">
        <v>17</v>
      </c>
      <c r="N1619" s="16">
        <f>POWER(SQRT(WorkOrders279[[#This Row],[WorkDate]]-WorkOrders279[[#This Row],[ReqDate]]),2)</f>
        <v>20.000000000000004</v>
      </c>
      <c r="O1619" s="8">
        <f t="array" ref="O1619">INDEX(TechRate,MATCH(H1619,TechNum,0))</f>
        <v>140</v>
      </c>
      <c r="P1619" s="10">
        <f>WorkOrders279[[#This Row],[Techs]]*(WorkOrders279[[#This Row],[PartsCost]]*WorkOrders279[[#This Row],[LbrHrs]])</f>
        <v>16.5</v>
      </c>
      <c r="Q1619" s="10">
        <f t="shared" si="143"/>
        <v>16.5</v>
      </c>
      <c r="R1619" s="10">
        <f t="shared" si="144"/>
        <v>33</v>
      </c>
      <c r="S1619" s="10">
        <f t="shared" si="145"/>
        <v>49.5</v>
      </c>
      <c r="T1619" s="10">
        <f t="shared" si="146"/>
        <v>49.5</v>
      </c>
      <c r="U1619" s="8" t="str">
        <f t="shared" si="147"/>
        <v>Wed</v>
      </c>
      <c r="V1619" s="8" t="str">
        <f t="shared" si="148"/>
        <v>Tue</v>
      </c>
    </row>
    <row r="1620" spans="1:22" hidden="1" x14ac:dyDescent="0.25">
      <c r="A1620" t="s">
        <v>162</v>
      </c>
      <c r="B1620" t="s">
        <v>38</v>
      </c>
      <c r="C1620" t="s">
        <v>6</v>
      </c>
      <c r="D1620" t="s">
        <v>12</v>
      </c>
      <c r="F1620" s="5">
        <v>44125</v>
      </c>
      <c r="G1620" s="5">
        <v>44145</v>
      </c>
      <c r="H1620" s="2">
        <v>1</v>
      </c>
      <c r="I1620" s="6"/>
      <c r="J1620" s="6"/>
      <c r="K1620" s="7">
        <v>0.75</v>
      </c>
      <c r="L1620" s="7">
        <v>126</v>
      </c>
      <c r="M1620" t="s">
        <v>19</v>
      </c>
      <c r="N1620" s="16">
        <f>POWER(SQRT(WorkOrders279[[#This Row],[WorkDate]]-WorkOrders279[[#This Row],[ReqDate]]),2)</f>
        <v>20.000000000000004</v>
      </c>
      <c r="O1620" s="8">
        <f t="array" ref="O1620">INDEX(TechRate,MATCH(H1620,TechNum,0))</f>
        <v>80</v>
      </c>
      <c r="P1620" s="10">
        <f>WorkOrders279[[#This Row],[Techs]]*(WorkOrders279[[#This Row],[PartsCost]]*WorkOrders279[[#This Row],[LbrHrs]])</f>
        <v>94.5</v>
      </c>
      <c r="Q1620" s="10">
        <f t="shared" si="143"/>
        <v>94.5</v>
      </c>
      <c r="R1620" s="10">
        <f t="shared" si="144"/>
        <v>126</v>
      </c>
      <c r="S1620" s="10">
        <f t="shared" si="145"/>
        <v>220.5</v>
      </c>
      <c r="T1620" s="10">
        <f t="shared" si="146"/>
        <v>220.5</v>
      </c>
      <c r="U1620" s="8" t="str">
        <f t="shared" si="147"/>
        <v>Wed</v>
      </c>
      <c r="V1620" s="8" t="str">
        <f t="shared" si="148"/>
        <v>Tue</v>
      </c>
    </row>
    <row r="1621" spans="1:22" hidden="1" x14ac:dyDescent="0.25">
      <c r="A1621" t="s">
        <v>163</v>
      </c>
      <c r="B1621" t="s">
        <v>34</v>
      </c>
      <c r="C1621" t="s">
        <v>6</v>
      </c>
      <c r="D1621" t="s">
        <v>1</v>
      </c>
      <c r="F1621" s="5">
        <v>44125</v>
      </c>
      <c r="G1621" s="5">
        <v>44221</v>
      </c>
      <c r="H1621" s="2">
        <v>2</v>
      </c>
      <c r="I1621" s="6"/>
      <c r="J1621" s="6"/>
      <c r="K1621" s="7">
        <v>8.25</v>
      </c>
      <c r="L1621" s="7">
        <v>4946</v>
      </c>
      <c r="M1621" t="s">
        <v>17</v>
      </c>
      <c r="N1621" s="16">
        <f>POWER(SQRT(WorkOrders279[[#This Row],[WorkDate]]-WorkOrders279[[#This Row],[ReqDate]]),2)</f>
        <v>95.999999999999986</v>
      </c>
      <c r="O1621" s="8">
        <f t="array" ref="O1621">INDEX(TechRate,MATCH(H1621,TechNum,0))</f>
        <v>140</v>
      </c>
      <c r="P1621" s="10">
        <f>WorkOrders279[[#This Row],[Techs]]*(WorkOrders279[[#This Row],[PartsCost]]*WorkOrders279[[#This Row],[LbrHrs]])</f>
        <v>81609</v>
      </c>
      <c r="Q1621" s="10">
        <f t="shared" si="143"/>
        <v>81609</v>
      </c>
      <c r="R1621" s="10">
        <f t="shared" si="144"/>
        <v>4946</v>
      </c>
      <c r="S1621" s="10">
        <f t="shared" si="145"/>
        <v>86555</v>
      </c>
      <c r="T1621" s="10">
        <f t="shared" si="146"/>
        <v>86555</v>
      </c>
      <c r="U1621" s="8" t="str">
        <f t="shared" si="147"/>
        <v>Wed</v>
      </c>
      <c r="V1621" s="8" t="str">
        <f t="shared" si="148"/>
        <v>Mon</v>
      </c>
    </row>
    <row r="1622" spans="1:22" hidden="1" x14ac:dyDescent="0.25">
      <c r="A1622" t="s">
        <v>164</v>
      </c>
      <c r="B1622" t="s">
        <v>39</v>
      </c>
      <c r="C1622" t="s">
        <v>6</v>
      </c>
      <c r="D1622" t="s">
        <v>13</v>
      </c>
      <c r="E1622" t="s">
        <v>3</v>
      </c>
      <c r="F1622" s="5">
        <v>44126</v>
      </c>
      <c r="G1622" s="5">
        <v>44133</v>
      </c>
      <c r="H1622" s="2">
        <v>1</v>
      </c>
      <c r="I1622" s="6"/>
      <c r="J1622" s="6"/>
      <c r="K1622" s="7">
        <v>0.5</v>
      </c>
      <c r="L1622" s="7">
        <v>33.544699999999999</v>
      </c>
      <c r="M1622" t="s">
        <v>19</v>
      </c>
      <c r="N1622" s="16">
        <f>POWER(SQRT(WorkOrders279[[#This Row],[WorkDate]]-WorkOrders279[[#This Row],[ReqDate]]),2)</f>
        <v>7.0000000000000009</v>
      </c>
      <c r="O1622" s="8">
        <f t="array" ref="O1622">INDEX(TechRate,MATCH(H1622,TechNum,0))</f>
        <v>80</v>
      </c>
      <c r="P1622" s="10">
        <f>WorkOrders279[[#This Row],[Techs]]*(WorkOrders279[[#This Row],[PartsCost]]*WorkOrders279[[#This Row],[LbrHrs]])</f>
        <v>16.772349999999999</v>
      </c>
      <c r="Q1622" s="10">
        <f t="shared" si="143"/>
        <v>16.772349999999999</v>
      </c>
      <c r="R1622" s="10">
        <f t="shared" si="144"/>
        <v>33.544699999999999</v>
      </c>
      <c r="S1622" s="10">
        <f t="shared" si="145"/>
        <v>50.317049999999995</v>
      </c>
      <c r="T1622" s="10">
        <f t="shared" si="146"/>
        <v>50.317049999999995</v>
      </c>
      <c r="U1622" s="8" t="str">
        <f t="shared" si="147"/>
        <v>Thu</v>
      </c>
      <c r="V1622" s="8" t="str">
        <f t="shared" si="148"/>
        <v>Thu</v>
      </c>
    </row>
    <row r="1623" spans="1:22" hidden="1" x14ac:dyDescent="0.25">
      <c r="A1623" t="s">
        <v>165</v>
      </c>
      <c r="B1623" t="s">
        <v>34</v>
      </c>
      <c r="C1623" t="s">
        <v>9</v>
      </c>
      <c r="D1623" t="s">
        <v>12</v>
      </c>
      <c r="F1623" s="5">
        <v>44128</v>
      </c>
      <c r="G1623" s="5">
        <v>44141</v>
      </c>
      <c r="H1623" s="2">
        <v>2</v>
      </c>
      <c r="I1623" s="6"/>
      <c r="J1623" s="6"/>
      <c r="K1623" s="7">
        <v>0.25</v>
      </c>
      <c r="L1623" s="7">
        <v>25</v>
      </c>
      <c r="M1623" t="s">
        <v>17</v>
      </c>
      <c r="N1623" s="16">
        <f>POWER(SQRT(WorkOrders279[[#This Row],[WorkDate]]-WorkOrders279[[#This Row],[ReqDate]]),2)</f>
        <v>12.999999999999998</v>
      </c>
      <c r="O1623" s="8">
        <f t="array" ref="O1623">INDEX(TechRate,MATCH(H1623,TechNum,0))</f>
        <v>140</v>
      </c>
      <c r="P1623" s="10">
        <f>WorkOrders279[[#This Row],[Techs]]*(WorkOrders279[[#This Row],[PartsCost]]*WorkOrders279[[#This Row],[LbrHrs]])</f>
        <v>12.5</v>
      </c>
      <c r="Q1623" s="10">
        <f t="shared" si="143"/>
        <v>12.5</v>
      </c>
      <c r="R1623" s="10">
        <f t="shared" si="144"/>
        <v>25</v>
      </c>
      <c r="S1623" s="10">
        <f t="shared" si="145"/>
        <v>37.5</v>
      </c>
      <c r="T1623" s="10">
        <f t="shared" si="146"/>
        <v>37.5</v>
      </c>
      <c r="U1623" s="8" t="str">
        <f t="shared" si="147"/>
        <v>Sat</v>
      </c>
      <c r="V1623" s="8" t="str">
        <f t="shared" si="148"/>
        <v>Fri</v>
      </c>
    </row>
    <row r="1624" spans="1:22" hidden="1" x14ac:dyDescent="0.25">
      <c r="A1624" t="s">
        <v>166</v>
      </c>
      <c r="B1624" t="s">
        <v>38</v>
      </c>
      <c r="C1624" t="s">
        <v>8</v>
      </c>
      <c r="D1624" t="s">
        <v>12</v>
      </c>
      <c r="F1624" s="5">
        <v>44128</v>
      </c>
      <c r="G1624" s="5">
        <v>44159</v>
      </c>
      <c r="H1624" s="2">
        <v>1</v>
      </c>
      <c r="I1624" s="6"/>
      <c r="J1624" s="6"/>
      <c r="K1624" s="7">
        <v>0.5</v>
      </c>
      <c r="L1624" s="7">
        <v>28.5868</v>
      </c>
      <c r="M1624" t="s">
        <v>17</v>
      </c>
      <c r="N1624" s="16">
        <f>POWER(SQRT(WorkOrders279[[#This Row],[WorkDate]]-WorkOrders279[[#This Row],[ReqDate]]),2)</f>
        <v>30.999999999999996</v>
      </c>
      <c r="O1624" s="8">
        <f t="array" ref="O1624">INDEX(TechRate,MATCH(H1624,TechNum,0))</f>
        <v>80</v>
      </c>
      <c r="P1624" s="10">
        <f>WorkOrders279[[#This Row],[Techs]]*(WorkOrders279[[#This Row],[PartsCost]]*WorkOrders279[[#This Row],[LbrHrs]])</f>
        <v>14.2934</v>
      </c>
      <c r="Q1624" s="10">
        <f t="shared" si="143"/>
        <v>14.2934</v>
      </c>
      <c r="R1624" s="10">
        <f t="shared" si="144"/>
        <v>28.5868</v>
      </c>
      <c r="S1624" s="10">
        <f t="shared" si="145"/>
        <v>42.880200000000002</v>
      </c>
      <c r="T1624" s="10">
        <f t="shared" si="146"/>
        <v>42.880200000000002</v>
      </c>
      <c r="U1624" s="8" t="str">
        <f t="shared" si="147"/>
        <v>Sat</v>
      </c>
      <c r="V1624" s="8" t="str">
        <f t="shared" si="148"/>
        <v>Tue</v>
      </c>
    </row>
    <row r="1625" spans="1:22" hidden="1" x14ac:dyDescent="0.25">
      <c r="A1625" t="s">
        <v>167</v>
      </c>
      <c r="B1625" t="s">
        <v>38</v>
      </c>
      <c r="C1625" t="s">
        <v>9</v>
      </c>
      <c r="D1625" t="s">
        <v>13</v>
      </c>
      <c r="F1625" s="5">
        <v>44128</v>
      </c>
      <c r="G1625" s="5">
        <v>44179</v>
      </c>
      <c r="H1625" s="2">
        <v>2</v>
      </c>
      <c r="I1625" s="6"/>
      <c r="J1625" s="6"/>
      <c r="K1625" s="7">
        <v>2.5</v>
      </c>
      <c r="L1625" s="7">
        <v>213.48050000000001</v>
      </c>
      <c r="M1625" t="s">
        <v>17</v>
      </c>
      <c r="N1625" s="16">
        <f>POWER(SQRT(WorkOrders279[[#This Row],[WorkDate]]-WorkOrders279[[#This Row],[ReqDate]]),2)</f>
        <v>51.000000000000007</v>
      </c>
      <c r="O1625" s="8">
        <f t="array" ref="O1625">INDEX(TechRate,MATCH(H1625,TechNum,0))</f>
        <v>140</v>
      </c>
      <c r="P1625" s="10">
        <f>WorkOrders279[[#This Row],[Techs]]*(WorkOrders279[[#This Row],[PartsCost]]*WorkOrders279[[#This Row],[LbrHrs]])</f>
        <v>1067.4025000000001</v>
      </c>
      <c r="Q1625" s="10">
        <f t="shared" si="143"/>
        <v>1067.4025000000001</v>
      </c>
      <c r="R1625" s="10">
        <f t="shared" si="144"/>
        <v>213.48050000000001</v>
      </c>
      <c r="S1625" s="10">
        <f t="shared" si="145"/>
        <v>1280.8830000000003</v>
      </c>
      <c r="T1625" s="10">
        <f t="shared" si="146"/>
        <v>1280.8830000000003</v>
      </c>
      <c r="U1625" s="8" t="str">
        <f t="shared" si="147"/>
        <v>Sat</v>
      </c>
      <c r="V1625" s="8" t="str">
        <f t="shared" si="148"/>
        <v>Mon</v>
      </c>
    </row>
    <row r="1626" spans="1:22" hidden="1" x14ac:dyDescent="0.25">
      <c r="A1626" t="s">
        <v>168</v>
      </c>
      <c r="B1626" t="s">
        <v>38</v>
      </c>
      <c r="C1626" t="s">
        <v>8</v>
      </c>
      <c r="D1626" t="s">
        <v>12</v>
      </c>
      <c r="F1626" s="5">
        <v>44130</v>
      </c>
      <c r="G1626" s="5">
        <v>44131</v>
      </c>
      <c r="H1626" s="2">
        <v>1</v>
      </c>
      <c r="I1626" s="6"/>
      <c r="J1626" s="6"/>
      <c r="K1626" s="7">
        <v>0.5</v>
      </c>
      <c r="L1626" s="7">
        <v>83.441299999999998</v>
      </c>
      <c r="M1626" t="s">
        <v>17</v>
      </c>
      <c r="N1626" s="16">
        <f>POWER(SQRT(WorkOrders279[[#This Row],[WorkDate]]-WorkOrders279[[#This Row],[ReqDate]]),2)</f>
        <v>1</v>
      </c>
      <c r="O1626" s="8">
        <f t="array" ref="O1626">INDEX(TechRate,MATCH(H1626,TechNum,0))</f>
        <v>80</v>
      </c>
      <c r="P1626" s="10">
        <f>WorkOrders279[[#This Row],[Techs]]*(WorkOrders279[[#This Row],[PartsCost]]*WorkOrders279[[#This Row],[LbrHrs]])</f>
        <v>41.720649999999999</v>
      </c>
      <c r="Q1626" s="10">
        <f t="shared" si="143"/>
        <v>41.720649999999999</v>
      </c>
      <c r="R1626" s="10">
        <f t="shared" si="144"/>
        <v>83.441299999999998</v>
      </c>
      <c r="S1626" s="10">
        <f t="shared" si="145"/>
        <v>125.16194999999999</v>
      </c>
      <c r="T1626" s="10">
        <f t="shared" si="146"/>
        <v>125.16194999999999</v>
      </c>
      <c r="U1626" s="8" t="str">
        <f t="shared" si="147"/>
        <v>Mon</v>
      </c>
      <c r="V1626" s="8" t="str">
        <f t="shared" si="148"/>
        <v>Tue</v>
      </c>
    </row>
    <row r="1627" spans="1:22" hidden="1" x14ac:dyDescent="0.25">
      <c r="A1627" t="s">
        <v>169</v>
      </c>
      <c r="B1627" t="s">
        <v>39</v>
      </c>
      <c r="C1627" t="s">
        <v>8</v>
      </c>
      <c r="D1627" t="s">
        <v>2</v>
      </c>
      <c r="F1627" s="5">
        <v>44130</v>
      </c>
      <c r="G1627" s="5">
        <v>44152</v>
      </c>
      <c r="H1627" s="2">
        <v>2</v>
      </c>
      <c r="I1627" s="6"/>
      <c r="J1627" s="6"/>
      <c r="K1627" s="7">
        <v>1</v>
      </c>
      <c r="L1627" s="7">
        <v>25</v>
      </c>
      <c r="M1627" t="s">
        <v>18</v>
      </c>
      <c r="N1627" s="16">
        <f>POWER(SQRT(WorkOrders279[[#This Row],[WorkDate]]-WorkOrders279[[#This Row],[ReqDate]]),2)</f>
        <v>22</v>
      </c>
      <c r="O1627" s="8">
        <f t="array" ref="O1627">INDEX(TechRate,MATCH(H1627,TechNum,0))</f>
        <v>140</v>
      </c>
      <c r="P1627" s="10">
        <f>WorkOrders279[[#This Row],[Techs]]*(WorkOrders279[[#This Row],[PartsCost]]*WorkOrders279[[#This Row],[LbrHrs]])</f>
        <v>50</v>
      </c>
      <c r="Q1627" s="10">
        <f t="shared" si="143"/>
        <v>50</v>
      </c>
      <c r="R1627" s="10">
        <f t="shared" si="144"/>
        <v>25</v>
      </c>
      <c r="S1627" s="10">
        <f t="shared" si="145"/>
        <v>75</v>
      </c>
      <c r="T1627" s="10">
        <f t="shared" si="146"/>
        <v>75</v>
      </c>
      <c r="U1627" s="8" t="str">
        <f t="shared" si="147"/>
        <v>Mon</v>
      </c>
      <c r="V1627" s="8" t="str">
        <f t="shared" si="148"/>
        <v>Tue</v>
      </c>
    </row>
    <row r="1628" spans="1:22" hidden="1" x14ac:dyDescent="0.25">
      <c r="A1628" t="s">
        <v>170</v>
      </c>
      <c r="B1628" t="s">
        <v>37</v>
      </c>
      <c r="C1628" t="s">
        <v>43</v>
      </c>
      <c r="D1628" t="s">
        <v>12</v>
      </c>
      <c r="F1628" s="5">
        <v>44131</v>
      </c>
      <c r="G1628" s="5">
        <v>44152</v>
      </c>
      <c r="H1628" s="2">
        <v>1</v>
      </c>
      <c r="I1628" s="6"/>
      <c r="J1628" s="6"/>
      <c r="K1628" s="7">
        <v>0.25</v>
      </c>
      <c r="L1628" s="7">
        <v>67.961500000000001</v>
      </c>
      <c r="M1628" t="s">
        <v>17</v>
      </c>
      <c r="N1628" s="16">
        <f>POWER(SQRT(WorkOrders279[[#This Row],[WorkDate]]-WorkOrders279[[#This Row],[ReqDate]]),2)</f>
        <v>21</v>
      </c>
      <c r="O1628" s="8">
        <f t="array" ref="O1628">INDEX(TechRate,MATCH(H1628,TechNum,0))</f>
        <v>80</v>
      </c>
      <c r="P1628" s="10">
        <f>WorkOrders279[[#This Row],[Techs]]*(WorkOrders279[[#This Row],[PartsCost]]*WorkOrders279[[#This Row],[LbrHrs]])</f>
        <v>16.990375</v>
      </c>
      <c r="Q1628" s="10">
        <f t="shared" si="143"/>
        <v>16.990375</v>
      </c>
      <c r="R1628" s="10">
        <f t="shared" si="144"/>
        <v>67.961500000000001</v>
      </c>
      <c r="S1628" s="10">
        <f t="shared" si="145"/>
        <v>84.951875000000001</v>
      </c>
      <c r="T1628" s="10">
        <f t="shared" si="146"/>
        <v>84.951875000000001</v>
      </c>
      <c r="U1628" s="8" t="str">
        <f t="shared" si="147"/>
        <v>Tue</v>
      </c>
      <c r="V1628" s="8" t="str">
        <f t="shared" si="148"/>
        <v>Tue</v>
      </c>
    </row>
    <row r="1629" spans="1:22" hidden="1" x14ac:dyDescent="0.25">
      <c r="A1629" t="s">
        <v>171</v>
      </c>
      <c r="B1629" t="s">
        <v>38</v>
      </c>
      <c r="C1629" t="s">
        <v>8</v>
      </c>
      <c r="D1629" t="s">
        <v>13</v>
      </c>
      <c r="F1629" s="5">
        <v>44131</v>
      </c>
      <c r="G1629" s="5">
        <v>44181</v>
      </c>
      <c r="H1629" s="2">
        <v>1</v>
      </c>
      <c r="I1629" s="6"/>
      <c r="J1629" s="6"/>
      <c r="K1629" s="7">
        <v>0.5</v>
      </c>
      <c r="L1629" s="7">
        <v>172.02</v>
      </c>
      <c r="M1629" t="s">
        <v>19</v>
      </c>
      <c r="N1629" s="16">
        <f>POWER(SQRT(WorkOrders279[[#This Row],[WorkDate]]-WorkOrders279[[#This Row],[ReqDate]]),2)</f>
        <v>50.000000000000007</v>
      </c>
      <c r="O1629" s="8">
        <f t="array" ref="O1629">INDEX(TechRate,MATCH(H1629,TechNum,0))</f>
        <v>80</v>
      </c>
      <c r="P1629" s="10">
        <f>WorkOrders279[[#This Row],[Techs]]*(WorkOrders279[[#This Row],[PartsCost]]*WorkOrders279[[#This Row],[LbrHrs]])</f>
        <v>86.01</v>
      </c>
      <c r="Q1629" s="10">
        <f t="shared" si="143"/>
        <v>86.01</v>
      </c>
      <c r="R1629" s="10">
        <f t="shared" si="144"/>
        <v>172.02</v>
      </c>
      <c r="S1629" s="10">
        <f t="shared" si="145"/>
        <v>258.03000000000003</v>
      </c>
      <c r="T1629" s="10">
        <f t="shared" si="146"/>
        <v>258.03000000000003</v>
      </c>
      <c r="U1629" s="8" t="str">
        <f t="shared" si="147"/>
        <v>Tue</v>
      </c>
      <c r="V1629" s="8" t="str">
        <f t="shared" si="148"/>
        <v>Wed</v>
      </c>
    </row>
    <row r="1630" spans="1:22" hidden="1" x14ac:dyDescent="0.25">
      <c r="A1630" t="s">
        <v>172</v>
      </c>
      <c r="B1630" t="s">
        <v>37</v>
      </c>
      <c r="C1630" t="s">
        <v>43</v>
      </c>
      <c r="D1630" t="s">
        <v>12</v>
      </c>
      <c r="F1630" s="5">
        <v>44131</v>
      </c>
      <c r="G1630" s="5">
        <v>44212</v>
      </c>
      <c r="H1630" s="2">
        <v>1</v>
      </c>
      <c r="I1630" s="6"/>
      <c r="J1630" s="6"/>
      <c r="K1630" s="7">
        <v>0.5</v>
      </c>
      <c r="L1630" s="7">
        <v>102.22320000000001</v>
      </c>
      <c r="M1630" t="s">
        <v>19</v>
      </c>
      <c r="N1630" s="16">
        <f>POWER(SQRT(WorkOrders279[[#This Row],[WorkDate]]-WorkOrders279[[#This Row],[ReqDate]]),2)</f>
        <v>81</v>
      </c>
      <c r="O1630" s="8">
        <f t="array" ref="O1630">INDEX(TechRate,MATCH(H1630,TechNum,0))</f>
        <v>80</v>
      </c>
      <c r="P1630" s="10">
        <f>WorkOrders279[[#This Row],[Techs]]*(WorkOrders279[[#This Row],[PartsCost]]*WorkOrders279[[#This Row],[LbrHrs]])</f>
        <v>51.111600000000003</v>
      </c>
      <c r="Q1630" s="10">
        <f t="shared" si="143"/>
        <v>51.111600000000003</v>
      </c>
      <c r="R1630" s="10">
        <f t="shared" si="144"/>
        <v>102.22320000000001</v>
      </c>
      <c r="S1630" s="10">
        <f t="shared" si="145"/>
        <v>153.3348</v>
      </c>
      <c r="T1630" s="10">
        <f t="shared" si="146"/>
        <v>153.3348</v>
      </c>
      <c r="U1630" s="8" t="str">
        <f t="shared" si="147"/>
        <v>Tue</v>
      </c>
      <c r="V1630" s="8" t="str">
        <f t="shared" si="148"/>
        <v>Sat</v>
      </c>
    </row>
    <row r="1631" spans="1:22" hidden="1" x14ac:dyDescent="0.25">
      <c r="A1631" t="s">
        <v>173</v>
      </c>
      <c r="B1631" t="s">
        <v>37</v>
      </c>
      <c r="C1631" t="s">
        <v>43</v>
      </c>
      <c r="D1631" t="s">
        <v>13</v>
      </c>
      <c r="F1631" s="5">
        <v>44132</v>
      </c>
      <c r="G1631" s="5">
        <v>44165</v>
      </c>
      <c r="H1631" s="2">
        <v>1</v>
      </c>
      <c r="I1631" s="6"/>
      <c r="J1631" s="6"/>
      <c r="K1631" s="7">
        <v>0.5</v>
      </c>
      <c r="L1631" s="7">
        <v>373.55279999999999</v>
      </c>
      <c r="M1631" t="s">
        <v>17</v>
      </c>
      <c r="N1631" s="16">
        <f>POWER(SQRT(WorkOrders279[[#This Row],[WorkDate]]-WorkOrders279[[#This Row],[ReqDate]]),2)</f>
        <v>33</v>
      </c>
      <c r="O1631" s="8">
        <f t="array" ref="O1631">INDEX(TechRate,MATCH(H1631,TechNum,0))</f>
        <v>80</v>
      </c>
      <c r="P1631" s="10">
        <f>WorkOrders279[[#This Row],[Techs]]*(WorkOrders279[[#This Row],[PartsCost]]*WorkOrders279[[#This Row],[LbrHrs]])</f>
        <v>186.7764</v>
      </c>
      <c r="Q1631" s="10">
        <f t="shared" si="143"/>
        <v>186.7764</v>
      </c>
      <c r="R1631" s="10">
        <f t="shared" si="144"/>
        <v>373.55279999999999</v>
      </c>
      <c r="S1631" s="10">
        <f t="shared" si="145"/>
        <v>560.32920000000001</v>
      </c>
      <c r="T1631" s="10">
        <f t="shared" si="146"/>
        <v>560.32920000000001</v>
      </c>
      <c r="U1631" s="8" t="str">
        <f t="shared" si="147"/>
        <v>Wed</v>
      </c>
      <c r="V1631" s="8" t="str">
        <f t="shared" si="148"/>
        <v>Mon</v>
      </c>
    </row>
    <row r="1632" spans="1:22" hidden="1" x14ac:dyDescent="0.25">
      <c r="A1632" t="s">
        <v>174</v>
      </c>
      <c r="B1632" t="s">
        <v>37</v>
      </c>
      <c r="C1632" t="s">
        <v>43</v>
      </c>
      <c r="D1632" t="s">
        <v>1</v>
      </c>
      <c r="F1632" s="5">
        <v>44132</v>
      </c>
      <c r="G1632" s="5">
        <v>44166</v>
      </c>
      <c r="H1632" s="2">
        <v>3</v>
      </c>
      <c r="I1632" s="6"/>
      <c r="J1632" s="6"/>
      <c r="K1632" s="7">
        <v>2.75</v>
      </c>
      <c r="L1632" s="7">
        <v>1249.0878</v>
      </c>
      <c r="M1632" t="s">
        <v>17</v>
      </c>
      <c r="N1632" s="16">
        <f>POWER(SQRT(WorkOrders279[[#This Row],[WorkDate]]-WorkOrders279[[#This Row],[ReqDate]]),2)</f>
        <v>34</v>
      </c>
      <c r="O1632" s="8">
        <f t="array" ref="O1632">INDEX(TechRate,MATCH(H1632,TechNum,0))</f>
        <v>195</v>
      </c>
      <c r="P1632" s="10">
        <f>WorkOrders279[[#This Row],[Techs]]*(WorkOrders279[[#This Row],[PartsCost]]*WorkOrders279[[#This Row],[LbrHrs]])</f>
        <v>10304.97435</v>
      </c>
      <c r="Q1632" s="10">
        <f t="shared" si="143"/>
        <v>10304.97435</v>
      </c>
      <c r="R1632" s="10">
        <f t="shared" si="144"/>
        <v>1249.0878</v>
      </c>
      <c r="S1632" s="10">
        <f t="shared" si="145"/>
        <v>11554.06215</v>
      </c>
      <c r="T1632" s="10">
        <f t="shared" si="146"/>
        <v>11554.06215</v>
      </c>
      <c r="U1632" s="8" t="str">
        <f t="shared" si="147"/>
        <v>Wed</v>
      </c>
      <c r="V1632" s="8" t="str">
        <f t="shared" si="148"/>
        <v>Tue</v>
      </c>
    </row>
    <row r="1633" spans="1:22" hidden="1" x14ac:dyDescent="0.25">
      <c r="A1633" t="s">
        <v>175</v>
      </c>
      <c r="B1633" t="s">
        <v>35</v>
      </c>
      <c r="C1633" t="s">
        <v>8</v>
      </c>
      <c r="D1633" t="s">
        <v>11</v>
      </c>
      <c r="F1633" s="5">
        <v>44133</v>
      </c>
      <c r="G1633" s="5">
        <v>44141</v>
      </c>
      <c r="H1633" s="2">
        <v>1</v>
      </c>
      <c r="I1633" s="6"/>
      <c r="J1633" s="6"/>
      <c r="K1633" s="7">
        <v>0.25</v>
      </c>
      <c r="L1633" s="7">
        <v>240</v>
      </c>
      <c r="M1633" t="s">
        <v>17</v>
      </c>
      <c r="N1633" s="16">
        <f>POWER(SQRT(WorkOrders279[[#This Row],[WorkDate]]-WorkOrders279[[#This Row],[ReqDate]]),2)</f>
        <v>8.0000000000000018</v>
      </c>
      <c r="O1633" s="8">
        <f t="array" ref="O1633">INDEX(TechRate,MATCH(H1633,TechNum,0))</f>
        <v>80</v>
      </c>
      <c r="P1633" s="10">
        <f>WorkOrders279[[#This Row],[Techs]]*(WorkOrders279[[#This Row],[PartsCost]]*WorkOrders279[[#This Row],[LbrHrs]])</f>
        <v>60</v>
      </c>
      <c r="Q1633" s="10">
        <f t="shared" ref="Q1633:Q1696" si="149">IF(I1633="Yes",0,P1633)</f>
        <v>60</v>
      </c>
      <c r="R1633" s="10">
        <f t="shared" ref="R1633:R1696" si="150">IF(J1633="Yes",0,L1633)</f>
        <v>240</v>
      </c>
      <c r="S1633" s="10">
        <f t="shared" ref="S1633:S1696" si="151">SUM(L1633,P1633)</f>
        <v>300</v>
      </c>
      <c r="T1633" s="10">
        <f t="shared" ref="T1633:T1696" si="152">SUM(Q1633,R1633)</f>
        <v>300</v>
      </c>
      <c r="U1633" s="8" t="str">
        <f t="shared" ref="U1633:U1696" si="153">TEXT(F1633,"ddd")</f>
        <v>Thu</v>
      </c>
      <c r="V1633" s="8" t="str">
        <f t="shared" ref="V1633:V1696" si="154">TEXT(G1633,"ddd")</f>
        <v>Fri</v>
      </c>
    </row>
    <row r="1634" spans="1:22" hidden="1" x14ac:dyDescent="0.25">
      <c r="A1634" t="s">
        <v>176</v>
      </c>
      <c r="B1634" t="s">
        <v>35</v>
      </c>
      <c r="C1634" t="s">
        <v>44</v>
      </c>
      <c r="D1634" t="s">
        <v>11</v>
      </c>
      <c r="F1634" s="5">
        <v>44133</v>
      </c>
      <c r="G1634" s="5">
        <v>44153</v>
      </c>
      <c r="H1634" s="2">
        <v>1</v>
      </c>
      <c r="I1634" s="6"/>
      <c r="J1634" s="6"/>
      <c r="K1634" s="7">
        <v>0.25</v>
      </c>
      <c r="L1634" s="7">
        <v>27</v>
      </c>
      <c r="M1634" t="s">
        <v>18</v>
      </c>
      <c r="N1634" s="16">
        <f>POWER(SQRT(WorkOrders279[[#This Row],[WorkDate]]-WorkOrders279[[#This Row],[ReqDate]]),2)</f>
        <v>20.000000000000004</v>
      </c>
      <c r="O1634" s="8">
        <f t="array" ref="O1634">INDEX(TechRate,MATCH(H1634,TechNum,0))</f>
        <v>80</v>
      </c>
      <c r="P1634" s="10">
        <f>WorkOrders279[[#This Row],[Techs]]*(WorkOrders279[[#This Row],[PartsCost]]*WorkOrders279[[#This Row],[LbrHrs]])</f>
        <v>6.75</v>
      </c>
      <c r="Q1634" s="10">
        <f t="shared" si="149"/>
        <v>6.75</v>
      </c>
      <c r="R1634" s="10">
        <f t="shared" si="150"/>
        <v>27</v>
      </c>
      <c r="S1634" s="10">
        <f t="shared" si="151"/>
        <v>33.75</v>
      </c>
      <c r="T1634" s="10">
        <f t="shared" si="152"/>
        <v>33.75</v>
      </c>
      <c r="U1634" s="8" t="str">
        <f t="shared" si="153"/>
        <v>Thu</v>
      </c>
      <c r="V1634" s="8" t="str">
        <f t="shared" si="154"/>
        <v>Wed</v>
      </c>
    </row>
    <row r="1635" spans="1:22" hidden="1" x14ac:dyDescent="0.25">
      <c r="A1635" t="s">
        <v>177</v>
      </c>
      <c r="B1635" t="s">
        <v>38</v>
      </c>
      <c r="C1635" t="s">
        <v>8</v>
      </c>
      <c r="D1635" t="s">
        <v>13</v>
      </c>
      <c r="F1635" s="5">
        <v>44137</v>
      </c>
      <c r="G1635" s="5">
        <v>44139</v>
      </c>
      <c r="H1635" s="2">
        <v>2</v>
      </c>
      <c r="I1635" s="6"/>
      <c r="J1635" s="6"/>
      <c r="K1635" s="7">
        <v>1</v>
      </c>
      <c r="L1635" s="7">
        <v>228.6335</v>
      </c>
      <c r="M1635" t="s">
        <v>18</v>
      </c>
      <c r="N1635" s="16">
        <f>POWER(SQRT(WorkOrders279[[#This Row],[WorkDate]]-WorkOrders279[[#This Row],[ReqDate]]),2)</f>
        <v>2.0000000000000004</v>
      </c>
      <c r="O1635" s="8">
        <f t="array" ref="O1635">INDEX(TechRate,MATCH(H1635,TechNum,0))</f>
        <v>140</v>
      </c>
      <c r="P1635" s="10">
        <f>WorkOrders279[[#This Row],[Techs]]*(WorkOrders279[[#This Row],[PartsCost]]*WorkOrders279[[#This Row],[LbrHrs]])</f>
        <v>457.267</v>
      </c>
      <c r="Q1635" s="10">
        <f t="shared" si="149"/>
        <v>457.267</v>
      </c>
      <c r="R1635" s="10">
        <f t="shared" si="150"/>
        <v>228.6335</v>
      </c>
      <c r="S1635" s="10">
        <f t="shared" si="151"/>
        <v>685.90049999999997</v>
      </c>
      <c r="T1635" s="10">
        <f t="shared" si="152"/>
        <v>685.90049999999997</v>
      </c>
      <c r="U1635" s="8" t="str">
        <f t="shared" si="153"/>
        <v>Mon</v>
      </c>
      <c r="V1635" s="8" t="str">
        <f t="shared" si="154"/>
        <v>Wed</v>
      </c>
    </row>
    <row r="1636" spans="1:22" hidden="1" x14ac:dyDescent="0.25">
      <c r="A1636" t="s">
        <v>178</v>
      </c>
      <c r="B1636" t="s">
        <v>38</v>
      </c>
      <c r="C1636" t="s">
        <v>6</v>
      </c>
      <c r="D1636" t="s">
        <v>12</v>
      </c>
      <c r="F1636" s="5">
        <v>44137</v>
      </c>
      <c r="G1636" s="5">
        <v>44160</v>
      </c>
      <c r="H1636" s="2">
        <v>1</v>
      </c>
      <c r="I1636" s="6"/>
      <c r="J1636" s="6"/>
      <c r="K1636" s="7">
        <v>0.5</v>
      </c>
      <c r="L1636" s="7">
        <v>26.582599999999999</v>
      </c>
      <c r="M1636" t="s">
        <v>17</v>
      </c>
      <c r="N1636" s="16">
        <f>POWER(SQRT(WorkOrders279[[#This Row],[WorkDate]]-WorkOrders279[[#This Row],[ReqDate]]),2)</f>
        <v>22.999999999999996</v>
      </c>
      <c r="O1636" s="8">
        <f t="array" ref="O1636">INDEX(TechRate,MATCH(H1636,TechNum,0))</f>
        <v>80</v>
      </c>
      <c r="P1636" s="10">
        <f>WorkOrders279[[#This Row],[Techs]]*(WorkOrders279[[#This Row],[PartsCost]]*WorkOrders279[[#This Row],[LbrHrs]])</f>
        <v>13.2913</v>
      </c>
      <c r="Q1636" s="10">
        <f t="shared" si="149"/>
        <v>13.2913</v>
      </c>
      <c r="R1636" s="10">
        <f t="shared" si="150"/>
        <v>26.582599999999999</v>
      </c>
      <c r="S1636" s="10">
        <f t="shared" si="151"/>
        <v>39.873899999999999</v>
      </c>
      <c r="T1636" s="10">
        <f t="shared" si="152"/>
        <v>39.873899999999999</v>
      </c>
      <c r="U1636" s="8" t="str">
        <f t="shared" si="153"/>
        <v>Mon</v>
      </c>
      <c r="V1636" s="8" t="str">
        <f t="shared" si="154"/>
        <v>Wed</v>
      </c>
    </row>
    <row r="1637" spans="1:22" hidden="1" x14ac:dyDescent="0.25">
      <c r="A1637" t="s">
        <v>179</v>
      </c>
      <c r="B1637" t="s">
        <v>36</v>
      </c>
      <c r="C1637" t="s">
        <v>6</v>
      </c>
      <c r="D1637" t="s">
        <v>13</v>
      </c>
      <c r="F1637" s="5">
        <v>44137</v>
      </c>
      <c r="G1637" s="5">
        <v>44172</v>
      </c>
      <c r="H1637" s="2">
        <v>2</v>
      </c>
      <c r="I1637" s="6"/>
      <c r="J1637" s="6"/>
      <c r="K1637" s="7">
        <v>0.75</v>
      </c>
      <c r="L1637" s="7">
        <v>5.71</v>
      </c>
      <c r="M1637" t="s">
        <v>17</v>
      </c>
      <c r="N1637" s="16">
        <f>POWER(SQRT(WorkOrders279[[#This Row],[WorkDate]]-WorkOrders279[[#This Row],[ReqDate]]),2)</f>
        <v>35</v>
      </c>
      <c r="O1637" s="8">
        <f t="array" ref="O1637">INDEX(TechRate,MATCH(H1637,TechNum,0))</f>
        <v>140</v>
      </c>
      <c r="P1637" s="10">
        <f>WorkOrders279[[#This Row],[Techs]]*(WorkOrders279[[#This Row],[PartsCost]]*WorkOrders279[[#This Row],[LbrHrs]])</f>
        <v>8.5649999999999995</v>
      </c>
      <c r="Q1637" s="10">
        <f t="shared" si="149"/>
        <v>8.5649999999999995</v>
      </c>
      <c r="R1637" s="10">
        <f t="shared" si="150"/>
        <v>5.71</v>
      </c>
      <c r="S1637" s="10">
        <f t="shared" si="151"/>
        <v>14.274999999999999</v>
      </c>
      <c r="T1637" s="10">
        <f t="shared" si="152"/>
        <v>14.274999999999999</v>
      </c>
      <c r="U1637" s="8" t="str">
        <f t="shared" si="153"/>
        <v>Mon</v>
      </c>
      <c r="V1637" s="8" t="str">
        <f t="shared" si="154"/>
        <v>Mon</v>
      </c>
    </row>
    <row r="1638" spans="1:22" hidden="1" x14ac:dyDescent="0.25">
      <c r="A1638" t="s">
        <v>180</v>
      </c>
      <c r="B1638" t="s">
        <v>34</v>
      </c>
      <c r="C1638" t="s">
        <v>6</v>
      </c>
      <c r="D1638" t="s">
        <v>13</v>
      </c>
      <c r="F1638" s="5">
        <v>44137</v>
      </c>
      <c r="G1638" s="5">
        <v>44207</v>
      </c>
      <c r="H1638" s="2">
        <v>2</v>
      </c>
      <c r="I1638" s="6"/>
      <c r="J1638" s="6"/>
      <c r="K1638" s="7">
        <v>0.5</v>
      </c>
      <c r="L1638" s="7">
        <v>263.0523</v>
      </c>
      <c r="M1638" t="s">
        <v>18</v>
      </c>
      <c r="N1638" s="16">
        <f>POWER(SQRT(WorkOrders279[[#This Row],[WorkDate]]-WorkOrders279[[#This Row],[ReqDate]]),2)</f>
        <v>70</v>
      </c>
      <c r="O1638" s="8">
        <f t="array" ref="O1638">INDEX(TechRate,MATCH(H1638,TechNum,0))</f>
        <v>140</v>
      </c>
      <c r="P1638" s="10">
        <f>WorkOrders279[[#This Row],[Techs]]*(WorkOrders279[[#This Row],[PartsCost]]*WorkOrders279[[#This Row],[LbrHrs]])</f>
        <v>263.0523</v>
      </c>
      <c r="Q1638" s="10">
        <f t="shared" si="149"/>
        <v>263.0523</v>
      </c>
      <c r="R1638" s="10">
        <f t="shared" si="150"/>
        <v>263.0523</v>
      </c>
      <c r="S1638" s="10">
        <f t="shared" si="151"/>
        <v>526.1046</v>
      </c>
      <c r="T1638" s="10">
        <f t="shared" si="152"/>
        <v>526.1046</v>
      </c>
      <c r="U1638" s="8" t="str">
        <f t="shared" si="153"/>
        <v>Mon</v>
      </c>
      <c r="V1638" s="8" t="str">
        <f t="shared" si="154"/>
        <v>Mon</v>
      </c>
    </row>
    <row r="1639" spans="1:22" hidden="1" x14ac:dyDescent="0.25">
      <c r="A1639" t="s">
        <v>181</v>
      </c>
      <c r="B1639" t="s">
        <v>39</v>
      </c>
      <c r="C1639" t="s">
        <v>44</v>
      </c>
      <c r="D1639" t="s">
        <v>13</v>
      </c>
      <c r="F1639" s="5">
        <v>44137</v>
      </c>
      <c r="G1639" s="5">
        <v>44301</v>
      </c>
      <c r="H1639" s="2">
        <v>2</v>
      </c>
      <c r="I1639" s="6"/>
      <c r="J1639" s="6"/>
      <c r="K1639" s="7">
        <v>1.75</v>
      </c>
      <c r="L1639" s="7">
        <v>8.25</v>
      </c>
      <c r="M1639" t="s">
        <v>17</v>
      </c>
      <c r="N1639" s="16">
        <f>POWER(SQRT(WorkOrders279[[#This Row],[WorkDate]]-WorkOrders279[[#This Row],[ReqDate]]),2)</f>
        <v>164</v>
      </c>
      <c r="O1639" s="8">
        <f t="array" ref="O1639">INDEX(TechRate,MATCH(H1639,TechNum,0))</f>
        <v>140</v>
      </c>
      <c r="P1639" s="10">
        <f>WorkOrders279[[#This Row],[Techs]]*(WorkOrders279[[#This Row],[PartsCost]]*WorkOrders279[[#This Row],[LbrHrs]])</f>
        <v>28.875</v>
      </c>
      <c r="Q1639" s="10">
        <f t="shared" si="149"/>
        <v>28.875</v>
      </c>
      <c r="R1639" s="10">
        <f t="shared" si="150"/>
        <v>8.25</v>
      </c>
      <c r="S1639" s="10">
        <f t="shared" si="151"/>
        <v>37.125</v>
      </c>
      <c r="T1639" s="10">
        <f t="shared" si="152"/>
        <v>37.125</v>
      </c>
      <c r="U1639" s="8" t="str">
        <f t="shared" si="153"/>
        <v>Mon</v>
      </c>
      <c r="V1639" s="8" t="str">
        <f t="shared" si="154"/>
        <v>Thu</v>
      </c>
    </row>
    <row r="1640" spans="1:22" hidden="1" x14ac:dyDescent="0.25">
      <c r="A1640" t="s">
        <v>182</v>
      </c>
      <c r="B1640" t="s">
        <v>39</v>
      </c>
      <c r="C1640" t="s">
        <v>8</v>
      </c>
      <c r="D1640" t="s">
        <v>13</v>
      </c>
      <c r="F1640" s="5">
        <v>44138</v>
      </c>
      <c r="G1640" s="5">
        <v>44165</v>
      </c>
      <c r="H1640" s="2">
        <v>1</v>
      </c>
      <c r="I1640" s="6"/>
      <c r="J1640" s="6"/>
      <c r="K1640" s="7">
        <v>0.5</v>
      </c>
      <c r="L1640" s="7">
        <v>15.63</v>
      </c>
      <c r="M1640" t="s">
        <v>17</v>
      </c>
      <c r="N1640" s="16">
        <f>POWER(SQRT(WorkOrders279[[#This Row],[WorkDate]]-WorkOrders279[[#This Row],[ReqDate]]),2)</f>
        <v>27</v>
      </c>
      <c r="O1640" s="8">
        <f t="array" ref="O1640">INDEX(TechRate,MATCH(H1640,TechNum,0))</f>
        <v>80</v>
      </c>
      <c r="P1640" s="10">
        <f>WorkOrders279[[#This Row],[Techs]]*(WorkOrders279[[#This Row],[PartsCost]]*WorkOrders279[[#This Row],[LbrHrs]])</f>
        <v>7.8150000000000004</v>
      </c>
      <c r="Q1640" s="10">
        <f t="shared" si="149"/>
        <v>7.8150000000000004</v>
      </c>
      <c r="R1640" s="10">
        <f t="shared" si="150"/>
        <v>15.63</v>
      </c>
      <c r="S1640" s="10">
        <f t="shared" si="151"/>
        <v>23.445</v>
      </c>
      <c r="T1640" s="10">
        <f t="shared" si="152"/>
        <v>23.445</v>
      </c>
      <c r="U1640" s="8" t="str">
        <f t="shared" si="153"/>
        <v>Tue</v>
      </c>
      <c r="V1640" s="8" t="str">
        <f t="shared" si="154"/>
        <v>Mon</v>
      </c>
    </row>
    <row r="1641" spans="1:22" hidden="1" x14ac:dyDescent="0.25">
      <c r="A1641" t="s">
        <v>183</v>
      </c>
      <c r="B1641" t="s">
        <v>34</v>
      </c>
      <c r="C1641" t="s">
        <v>6</v>
      </c>
      <c r="D1641" t="s">
        <v>13</v>
      </c>
      <c r="F1641" s="5">
        <v>44138</v>
      </c>
      <c r="G1641" s="5">
        <v>44167</v>
      </c>
      <c r="H1641" s="2">
        <v>1</v>
      </c>
      <c r="I1641" s="6"/>
      <c r="J1641" s="6"/>
      <c r="K1641" s="7">
        <v>0.5</v>
      </c>
      <c r="L1641" s="7">
        <v>15.63</v>
      </c>
      <c r="M1641" t="s">
        <v>17</v>
      </c>
      <c r="N1641" s="16">
        <f>POWER(SQRT(WorkOrders279[[#This Row],[WorkDate]]-WorkOrders279[[#This Row],[ReqDate]]),2)</f>
        <v>28.999999999999996</v>
      </c>
      <c r="O1641" s="8">
        <f t="array" ref="O1641">INDEX(TechRate,MATCH(H1641,TechNum,0))</f>
        <v>80</v>
      </c>
      <c r="P1641" s="10">
        <f>WorkOrders279[[#This Row],[Techs]]*(WorkOrders279[[#This Row],[PartsCost]]*WorkOrders279[[#This Row],[LbrHrs]])</f>
        <v>7.8150000000000004</v>
      </c>
      <c r="Q1641" s="10">
        <f t="shared" si="149"/>
        <v>7.8150000000000004</v>
      </c>
      <c r="R1641" s="10">
        <f t="shared" si="150"/>
        <v>15.63</v>
      </c>
      <c r="S1641" s="10">
        <f t="shared" si="151"/>
        <v>23.445</v>
      </c>
      <c r="T1641" s="10">
        <f t="shared" si="152"/>
        <v>23.445</v>
      </c>
      <c r="U1641" s="8" t="str">
        <f t="shared" si="153"/>
        <v>Tue</v>
      </c>
      <c r="V1641" s="8" t="str">
        <f t="shared" si="154"/>
        <v>Wed</v>
      </c>
    </row>
    <row r="1642" spans="1:22" hidden="1" x14ac:dyDescent="0.25">
      <c r="A1642" t="s">
        <v>184</v>
      </c>
      <c r="B1642" t="s">
        <v>39</v>
      </c>
      <c r="C1642" t="s">
        <v>9</v>
      </c>
      <c r="D1642" t="s">
        <v>12</v>
      </c>
      <c r="F1642" s="5">
        <v>44138</v>
      </c>
      <c r="G1642" s="5">
        <v>44173</v>
      </c>
      <c r="H1642" s="2">
        <v>1</v>
      </c>
      <c r="I1642" s="6"/>
      <c r="J1642" s="6"/>
      <c r="K1642" s="7">
        <v>0.75</v>
      </c>
      <c r="L1642" s="7">
        <v>28.5</v>
      </c>
      <c r="M1642" t="s">
        <v>18</v>
      </c>
      <c r="N1642" s="16">
        <f>POWER(SQRT(WorkOrders279[[#This Row],[WorkDate]]-WorkOrders279[[#This Row],[ReqDate]]),2)</f>
        <v>35</v>
      </c>
      <c r="O1642" s="8">
        <f t="array" ref="O1642">INDEX(TechRate,MATCH(H1642,TechNum,0))</f>
        <v>80</v>
      </c>
      <c r="P1642" s="10">
        <f>WorkOrders279[[#This Row],[Techs]]*(WorkOrders279[[#This Row],[PartsCost]]*WorkOrders279[[#This Row],[LbrHrs]])</f>
        <v>21.375</v>
      </c>
      <c r="Q1642" s="10">
        <f t="shared" si="149"/>
        <v>21.375</v>
      </c>
      <c r="R1642" s="10">
        <f t="shared" si="150"/>
        <v>28.5</v>
      </c>
      <c r="S1642" s="10">
        <f t="shared" si="151"/>
        <v>49.875</v>
      </c>
      <c r="T1642" s="10">
        <f t="shared" si="152"/>
        <v>49.875</v>
      </c>
      <c r="U1642" s="8" t="str">
        <f t="shared" si="153"/>
        <v>Tue</v>
      </c>
      <c r="V1642" s="8" t="str">
        <f t="shared" si="154"/>
        <v>Tue</v>
      </c>
    </row>
    <row r="1643" spans="1:22" hidden="1" x14ac:dyDescent="0.25">
      <c r="A1643" t="s">
        <v>185</v>
      </c>
      <c r="B1643" t="s">
        <v>38</v>
      </c>
      <c r="C1643" t="s">
        <v>8</v>
      </c>
      <c r="D1643" t="s">
        <v>13</v>
      </c>
      <c r="F1643" s="5">
        <v>44139</v>
      </c>
      <c r="G1643" s="5">
        <v>44144</v>
      </c>
      <c r="H1643" s="2">
        <v>1</v>
      </c>
      <c r="I1643" s="6"/>
      <c r="J1643" s="6"/>
      <c r="K1643" s="7">
        <v>0.5</v>
      </c>
      <c r="L1643" s="7">
        <v>748.44</v>
      </c>
      <c r="M1643" t="s">
        <v>17</v>
      </c>
      <c r="N1643" s="16">
        <f>POWER(SQRT(WorkOrders279[[#This Row],[WorkDate]]-WorkOrders279[[#This Row],[ReqDate]]),2)</f>
        <v>5.0000000000000009</v>
      </c>
      <c r="O1643" s="8">
        <f t="array" ref="O1643">INDEX(TechRate,MATCH(H1643,TechNum,0))</f>
        <v>80</v>
      </c>
      <c r="P1643" s="10">
        <f>WorkOrders279[[#This Row],[Techs]]*(WorkOrders279[[#This Row],[PartsCost]]*WorkOrders279[[#This Row],[LbrHrs]])</f>
        <v>374.22</v>
      </c>
      <c r="Q1643" s="10">
        <f t="shared" si="149"/>
        <v>374.22</v>
      </c>
      <c r="R1643" s="10">
        <f t="shared" si="150"/>
        <v>748.44</v>
      </c>
      <c r="S1643" s="10">
        <f t="shared" si="151"/>
        <v>1122.6600000000001</v>
      </c>
      <c r="T1643" s="10">
        <f t="shared" si="152"/>
        <v>1122.6600000000001</v>
      </c>
      <c r="U1643" s="8" t="str">
        <f t="shared" si="153"/>
        <v>Wed</v>
      </c>
      <c r="V1643" s="8" t="str">
        <f t="shared" si="154"/>
        <v>Mon</v>
      </c>
    </row>
    <row r="1644" spans="1:22" hidden="1" x14ac:dyDescent="0.25">
      <c r="A1644" t="s">
        <v>186</v>
      </c>
      <c r="B1644" t="s">
        <v>38</v>
      </c>
      <c r="C1644" t="s">
        <v>6</v>
      </c>
      <c r="D1644" t="s">
        <v>1</v>
      </c>
      <c r="F1644" s="5">
        <v>44139</v>
      </c>
      <c r="G1644" s="5">
        <v>44152</v>
      </c>
      <c r="H1644" s="2">
        <v>1</v>
      </c>
      <c r="I1644" s="6"/>
      <c r="J1644" s="6"/>
      <c r="K1644" s="7">
        <v>1</v>
      </c>
      <c r="L1644" s="7">
        <v>86.356300000000005</v>
      </c>
      <c r="M1644" t="s">
        <v>19</v>
      </c>
      <c r="N1644" s="16">
        <f>POWER(SQRT(WorkOrders279[[#This Row],[WorkDate]]-WorkOrders279[[#This Row],[ReqDate]]),2)</f>
        <v>12.999999999999998</v>
      </c>
      <c r="O1644" s="8">
        <f t="array" ref="O1644">INDEX(TechRate,MATCH(H1644,TechNum,0))</f>
        <v>80</v>
      </c>
      <c r="P1644" s="10">
        <f>WorkOrders279[[#This Row],[Techs]]*(WorkOrders279[[#This Row],[PartsCost]]*WorkOrders279[[#This Row],[LbrHrs]])</f>
        <v>86.356300000000005</v>
      </c>
      <c r="Q1644" s="10">
        <f t="shared" si="149"/>
        <v>86.356300000000005</v>
      </c>
      <c r="R1644" s="10">
        <f t="shared" si="150"/>
        <v>86.356300000000005</v>
      </c>
      <c r="S1644" s="10">
        <f t="shared" si="151"/>
        <v>172.71260000000001</v>
      </c>
      <c r="T1644" s="10">
        <f t="shared" si="152"/>
        <v>172.71260000000001</v>
      </c>
      <c r="U1644" s="8" t="str">
        <f t="shared" si="153"/>
        <v>Wed</v>
      </c>
      <c r="V1644" s="8" t="str">
        <f t="shared" si="154"/>
        <v>Tue</v>
      </c>
    </row>
    <row r="1645" spans="1:22" hidden="1" x14ac:dyDescent="0.25">
      <c r="A1645" t="s">
        <v>187</v>
      </c>
      <c r="B1645" t="s">
        <v>36</v>
      </c>
      <c r="C1645" t="s">
        <v>44</v>
      </c>
      <c r="D1645" t="s">
        <v>11</v>
      </c>
      <c r="F1645" s="5">
        <v>44139</v>
      </c>
      <c r="G1645" s="5">
        <v>44152</v>
      </c>
      <c r="H1645" s="2">
        <v>1</v>
      </c>
      <c r="I1645" s="6"/>
      <c r="J1645" s="6"/>
      <c r="K1645" s="7">
        <v>0.25</v>
      </c>
      <c r="L1645" s="7">
        <v>107.99550000000001</v>
      </c>
      <c r="M1645" t="s">
        <v>19</v>
      </c>
      <c r="N1645" s="16">
        <f>POWER(SQRT(WorkOrders279[[#This Row],[WorkDate]]-WorkOrders279[[#This Row],[ReqDate]]),2)</f>
        <v>12.999999999999998</v>
      </c>
      <c r="O1645" s="8">
        <f t="array" ref="O1645">INDEX(TechRate,MATCH(H1645,TechNum,0))</f>
        <v>80</v>
      </c>
      <c r="P1645" s="10">
        <f>WorkOrders279[[#This Row],[Techs]]*(WorkOrders279[[#This Row],[PartsCost]]*WorkOrders279[[#This Row],[LbrHrs]])</f>
        <v>26.998875000000002</v>
      </c>
      <c r="Q1645" s="10">
        <f t="shared" si="149"/>
        <v>26.998875000000002</v>
      </c>
      <c r="R1645" s="10">
        <f t="shared" si="150"/>
        <v>107.99550000000001</v>
      </c>
      <c r="S1645" s="10">
        <f t="shared" si="151"/>
        <v>134.99437500000002</v>
      </c>
      <c r="T1645" s="10">
        <f t="shared" si="152"/>
        <v>134.99437500000002</v>
      </c>
      <c r="U1645" s="8" t="str">
        <f t="shared" si="153"/>
        <v>Wed</v>
      </c>
      <c r="V1645" s="8" t="str">
        <f t="shared" si="154"/>
        <v>Tue</v>
      </c>
    </row>
    <row r="1646" spans="1:22" hidden="1" x14ac:dyDescent="0.25">
      <c r="A1646" t="s">
        <v>188</v>
      </c>
      <c r="B1646" t="s">
        <v>34</v>
      </c>
      <c r="C1646" t="s">
        <v>44</v>
      </c>
      <c r="D1646" t="s">
        <v>13</v>
      </c>
      <c r="F1646" s="5">
        <v>44139</v>
      </c>
      <c r="G1646" s="5">
        <v>44159</v>
      </c>
      <c r="H1646" s="2">
        <v>2</v>
      </c>
      <c r="I1646" s="6"/>
      <c r="J1646" s="6"/>
      <c r="K1646" s="7">
        <v>0.5</v>
      </c>
      <c r="L1646" s="7">
        <v>279.31</v>
      </c>
      <c r="M1646" t="s">
        <v>17</v>
      </c>
      <c r="N1646" s="16">
        <f>POWER(SQRT(WorkOrders279[[#This Row],[WorkDate]]-WorkOrders279[[#This Row],[ReqDate]]),2)</f>
        <v>20.000000000000004</v>
      </c>
      <c r="O1646" s="8">
        <f t="array" ref="O1646">INDEX(TechRate,MATCH(H1646,TechNum,0))</f>
        <v>140</v>
      </c>
      <c r="P1646" s="10">
        <f>WorkOrders279[[#This Row],[Techs]]*(WorkOrders279[[#This Row],[PartsCost]]*WorkOrders279[[#This Row],[LbrHrs]])</f>
        <v>279.31</v>
      </c>
      <c r="Q1646" s="10">
        <f t="shared" si="149"/>
        <v>279.31</v>
      </c>
      <c r="R1646" s="10">
        <f t="shared" si="150"/>
        <v>279.31</v>
      </c>
      <c r="S1646" s="10">
        <f t="shared" si="151"/>
        <v>558.62</v>
      </c>
      <c r="T1646" s="10">
        <f t="shared" si="152"/>
        <v>558.62</v>
      </c>
      <c r="U1646" s="8" t="str">
        <f t="shared" si="153"/>
        <v>Wed</v>
      </c>
      <c r="V1646" s="8" t="str">
        <f t="shared" si="154"/>
        <v>Tue</v>
      </c>
    </row>
    <row r="1647" spans="1:22" hidden="1" x14ac:dyDescent="0.25">
      <c r="A1647" t="s">
        <v>189</v>
      </c>
      <c r="B1647" t="s">
        <v>38</v>
      </c>
      <c r="C1647" t="s">
        <v>8</v>
      </c>
      <c r="D1647" t="s">
        <v>12</v>
      </c>
      <c r="F1647" s="5">
        <v>44139</v>
      </c>
      <c r="G1647" s="5">
        <v>44167</v>
      </c>
      <c r="H1647" s="2">
        <v>1</v>
      </c>
      <c r="I1647" s="6"/>
      <c r="J1647" s="6"/>
      <c r="K1647" s="7">
        <v>0.5</v>
      </c>
      <c r="L1647" s="7">
        <v>25.26</v>
      </c>
      <c r="M1647" t="s">
        <v>17</v>
      </c>
      <c r="N1647" s="16">
        <f>POWER(SQRT(WorkOrders279[[#This Row],[WorkDate]]-WorkOrders279[[#This Row],[ReqDate]]),2)</f>
        <v>28.000000000000004</v>
      </c>
      <c r="O1647" s="8">
        <f t="array" ref="O1647">INDEX(TechRate,MATCH(H1647,TechNum,0))</f>
        <v>80</v>
      </c>
      <c r="P1647" s="10">
        <f>WorkOrders279[[#This Row],[Techs]]*(WorkOrders279[[#This Row],[PartsCost]]*WorkOrders279[[#This Row],[LbrHrs]])</f>
        <v>12.63</v>
      </c>
      <c r="Q1647" s="10">
        <f t="shared" si="149"/>
        <v>12.63</v>
      </c>
      <c r="R1647" s="10">
        <f t="shared" si="150"/>
        <v>25.26</v>
      </c>
      <c r="S1647" s="10">
        <f t="shared" si="151"/>
        <v>37.89</v>
      </c>
      <c r="T1647" s="10">
        <f t="shared" si="152"/>
        <v>37.89</v>
      </c>
      <c r="U1647" s="8" t="str">
        <f t="shared" si="153"/>
        <v>Wed</v>
      </c>
      <c r="V1647" s="8" t="str">
        <f t="shared" si="154"/>
        <v>Wed</v>
      </c>
    </row>
    <row r="1648" spans="1:22" hidden="1" x14ac:dyDescent="0.25">
      <c r="A1648" t="s">
        <v>190</v>
      </c>
      <c r="B1648" t="s">
        <v>34</v>
      </c>
      <c r="C1648" t="s">
        <v>44</v>
      </c>
      <c r="D1648" t="s">
        <v>13</v>
      </c>
      <c r="F1648" s="5">
        <v>44140</v>
      </c>
      <c r="G1648" s="5">
        <v>44153</v>
      </c>
      <c r="H1648" s="2">
        <v>1</v>
      </c>
      <c r="I1648" s="6"/>
      <c r="J1648" s="6"/>
      <c r="K1648" s="7">
        <v>1</v>
      </c>
      <c r="L1648" s="7">
        <v>351.02069999999998</v>
      </c>
      <c r="M1648" t="s">
        <v>18</v>
      </c>
      <c r="N1648" s="16">
        <f>POWER(SQRT(WorkOrders279[[#This Row],[WorkDate]]-WorkOrders279[[#This Row],[ReqDate]]),2)</f>
        <v>12.999999999999998</v>
      </c>
      <c r="O1648" s="8">
        <f t="array" ref="O1648">INDEX(TechRate,MATCH(H1648,TechNum,0))</f>
        <v>80</v>
      </c>
      <c r="P1648" s="10">
        <f>WorkOrders279[[#This Row],[Techs]]*(WorkOrders279[[#This Row],[PartsCost]]*WorkOrders279[[#This Row],[LbrHrs]])</f>
        <v>351.02069999999998</v>
      </c>
      <c r="Q1648" s="10">
        <f t="shared" si="149"/>
        <v>351.02069999999998</v>
      </c>
      <c r="R1648" s="10">
        <f t="shared" si="150"/>
        <v>351.02069999999998</v>
      </c>
      <c r="S1648" s="10">
        <f t="shared" si="151"/>
        <v>702.04139999999995</v>
      </c>
      <c r="T1648" s="10">
        <f t="shared" si="152"/>
        <v>702.04139999999995</v>
      </c>
      <c r="U1648" s="8" t="str">
        <f t="shared" si="153"/>
        <v>Thu</v>
      </c>
      <c r="V1648" s="8" t="str">
        <f t="shared" si="154"/>
        <v>Wed</v>
      </c>
    </row>
    <row r="1649" spans="1:22" hidden="1" x14ac:dyDescent="0.25">
      <c r="A1649" t="s">
        <v>191</v>
      </c>
      <c r="B1649" t="s">
        <v>38</v>
      </c>
      <c r="C1649" t="s">
        <v>6</v>
      </c>
      <c r="D1649" t="s">
        <v>13</v>
      </c>
      <c r="F1649" s="5">
        <v>44140</v>
      </c>
      <c r="G1649" s="5">
        <v>44160</v>
      </c>
      <c r="H1649" s="2">
        <v>1</v>
      </c>
      <c r="I1649" s="6"/>
      <c r="J1649" s="6"/>
      <c r="K1649" s="7">
        <v>0.5</v>
      </c>
      <c r="L1649" s="7">
        <v>27.953900000000001</v>
      </c>
      <c r="M1649" t="s">
        <v>17</v>
      </c>
      <c r="N1649" s="16">
        <f>POWER(SQRT(WorkOrders279[[#This Row],[WorkDate]]-WorkOrders279[[#This Row],[ReqDate]]),2)</f>
        <v>20.000000000000004</v>
      </c>
      <c r="O1649" s="8">
        <f t="array" ref="O1649">INDEX(TechRate,MATCH(H1649,TechNum,0))</f>
        <v>80</v>
      </c>
      <c r="P1649" s="10">
        <f>WorkOrders279[[#This Row],[Techs]]*(WorkOrders279[[#This Row],[PartsCost]]*WorkOrders279[[#This Row],[LbrHrs]])</f>
        <v>13.97695</v>
      </c>
      <c r="Q1649" s="10">
        <f t="shared" si="149"/>
        <v>13.97695</v>
      </c>
      <c r="R1649" s="10">
        <f t="shared" si="150"/>
        <v>27.953900000000001</v>
      </c>
      <c r="S1649" s="10">
        <f t="shared" si="151"/>
        <v>41.93085</v>
      </c>
      <c r="T1649" s="10">
        <f t="shared" si="152"/>
        <v>41.93085</v>
      </c>
      <c r="U1649" s="8" t="str">
        <f t="shared" si="153"/>
        <v>Thu</v>
      </c>
      <c r="V1649" s="8" t="str">
        <f t="shared" si="154"/>
        <v>Wed</v>
      </c>
    </row>
    <row r="1650" spans="1:22" hidden="1" x14ac:dyDescent="0.25">
      <c r="A1650" t="s">
        <v>192</v>
      </c>
      <c r="B1650" t="s">
        <v>35</v>
      </c>
      <c r="C1650" t="s">
        <v>9</v>
      </c>
      <c r="D1650" t="s">
        <v>12</v>
      </c>
      <c r="F1650" s="5">
        <v>44142</v>
      </c>
      <c r="G1650" s="5">
        <v>44174</v>
      </c>
      <c r="H1650" s="2">
        <v>2</v>
      </c>
      <c r="I1650" s="6"/>
      <c r="J1650" s="6"/>
      <c r="K1650" s="7">
        <v>0.75</v>
      </c>
      <c r="L1650" s="7">
        <v>62.13</v>
      </c>
      <c r="M1650" t="s">
        <v>17</v>
      </c>
      <c r="N1650" s="16">
        <f>POWER(SQRT(WorkOrders279[[#This Row],[WorkDate]]-WorkOrders279[[#This Row],[ReqDate]]),2)</f>
        <v>32.000000000000007</v>
      </c>
      <c r="O1650" s="8">
        <f t="array" ref="O1650">INDEX(TechRate,MATCH(H1650,TechNum,0))</f>
        <v>140</v>
      </c>
      <c r="P1650" s="10">
        <f>WorkOrders279[[#This Row],[Techs]]*(WorkOrders279[[#This Row],[PartsCost]]*WorkOrders279[[#This Row],[LbrHrs]])</f>
        <v>93.195000000000007</v>
      </c>
      <c r="Q1650" s="10">
        <f t="shared" si="149"/>
        <v>93.195000000000007</v>
      </c>
      <c r="R1650" s="10">
        <f t="shared" si="150"/>
        <v>62.13</v>
      </c>
      <c r="S1650" s="10">
        <f t="shared" si="151"/>
        <v>155.32500000000002</v>
      </c>
      <c r="T1650" s="10">
        <f t="shared" si="152"/>
        <v>155.32500000000002</v>
      </c>
      <c r="U1650" s="8" t="str">
        <f t="shared" si="153"/>
        <v>Sat</v>
      </c>
      <c r="V1650" s="8" t="str">
        <f t="shared" si="154"/>
        <v>Wed</v>
      </c>
    </row>
    <row r="1651" spans="1:22" hidden="1" x14ac:dyDescent="0.25">
      <c r="A1651" t="s">
        <v>193</v>
      </c>
      <c r="B1651" t="s">
        <v>37</v>
      </c>
      <c r="C1651" t="s">
        <v>43</v>
      </c>
      <c r="D1651" t="s">
        <v>1</v>
      </c>
      <c r="F1651" s="5">
        <v>44144</v>
      </c>
      <c r="G1651" s="5">
        <v>44161</v>
      </c>
      <c r="H1651" s="2">
        <v>1</v>
      </c>
      <c r="I1651" s="6"/>
      <c r="J1651" s="6"/>
      <c r="K1651" s="7">
        <v>7</v>
      </c>
      <c r="L1651" s="7">
        <v>3396.25</v>
      </c>
      <c r="M1651" t="s">
        <v>19</v>
      </c>
      <c r="N1651" s="16">
        <f>POWER(SQRT(WorkOrders279[[#This Row],[WorkDate]]-WorkOrders279[[#This Row],[ReqDate]]),2)</f>
        <v>17</v>
      </c>
      <c r="O1651" s="8">
        <f t="array" ref="O1651">INDEX(TechRate,MATCH(H1651,TechNum,0))</f>
        <v>80</v>
      </c>
      <c r="P1651" s="10">
        <f>WorkOrders279[[#This Row],[Techs]]*(WorkOrders279[[#This Row],[PartsCost]]*WorkOrders279[[#This Row],[LbrHrs]])</f>
        <v>23773.75</v>
      </c>
      <c r="Q1651" s="10">
        <f t="shared" si="149"/>
        <v>23773.75</v>
      </c>
      <c r="R1651" s="10">
        <f t="shared" si="150"/>
        <v>3396.25</v>
      </c>
      <c r="S1651" s="10">
        <f t="shared" si="151"/>
        <v>27170</v>
      </c>
      <c r="T1651" s="10">
        <f t="shared" si="152"/>
        <v>27170</v>
      </c>
      <c r="U1651" s="8" t="str">
        <f t="shared" si="153"/>
        <v>Mon</v>
      </c>
      <c r="V1651" s="8" t="str">
        <f t="shared" si="154"/>
        <v>Thu</v>
      </c>
    </row>
    <row r="1652" spans="1:22" hidden="1" x14ac:dyDescent="0.25">
      <c r="A1652" t="s">
        <v>194</v>
      </c>
      <c r="B1652" t="s">
        <v>40</v>
      </c>
      <c r="C1652" t="s">
        <v>7</v>
      </c>
      <c r="D1652" t="s">
        <v>13</v>
      </c>
      <c r="F1652" s="5">
        <v>44144</v>
      </c>
      <c r="G1652" s="5">
        <v>44258</v>
      </c>
      <c r="H1652" s="2">
        <v>2</v>
      </c>
      <c r="I1652" s="6"/>
      <c r="J1652" s="6"/>
      <c r="K1652" s="7">
        <v>0.5</v>
      </c>
      <c r="L1652" s="7">
        <v>22</v>
      </c>
      <c r="M1652" t="s">
        <v>17</v>
      </c>
      <c r="N1652" s="16">
        <f>POWER(SQRT(WorkOrders279[[#This Row],[WorkDate]]-WorkOrders279[[#This Row],[ReqDate]]),2)</f>
        <v>114</v>
      </c>
      <c r="O1652" s="8">
        <f t="array" ref="O1652">INDEX(TechRate,MATCH(H1652,TechNum,0))</f>
        <v>140</v>
      </c>
      <c r="P1652" s="10">
        <f>WorkOrders279[[#This Row],[Techs]]*(WorkOrders279[[#This Row],[PartsCost]]*WorkOrders279[[#This Row],[LbrHrs]])</f>
        <v>22</v>
      </c>
      <c r="Q1652" s="10">
        <f t="shared" si="149"/>
        <v>22</v>
      </c>
      <c r="R1652" s="10">
        <f t="shared" si="150"/>
        <v>22</v>
      </c>
      <c r="S1652" s="10">
        <f t="shared" si="151"/>
        <v>44</v>
      </c>
      <c r="T1652" s="10">
        <f t="shared" si="152"/>
        <v>44</v>
      </c>
      <c r="U1652" s="8" t="str">
        <f t="shared" si="153"/>
        <v>Mon</v>
      </c>
      <c r="V1652" s="8" t="str">
        <f t="shared" si="154"/>
        <v>Wed</v>
      </c>
    </row>
    <row r="1653" spans="1:22" hidden="1" x14ac:dyDescent="0.25">
      <c r="A1653" t="s">
        <v>195</v>
      </c>
      <c r="B1653" t="s">
        <v>38</v>
      </c>
      <c r="C1653" t="s">
        <v>8</v>
      </c>
      <c r="D1653" t="s">
        <v>13</v>
      </c>
      <c r="F1653" s="5">
        <v>44145</v>
      </c>
      <c r="G1653" s="5">
        <v>44174</v>
      </c>
      <c r="H1653" s="2">
        <v>1</v>
      </c>
      <c r="I1653" s="6"/>
      <c r="J1653" s="6"/>
      <c r="K1653" s="7">
        <v>0.5</v>
      </c>
      <c r="L1653" s="7">
        <v>163.36609999999999</v>
      </c>
      <c r="M1653" t="s">
        <v>19</v>
      </c>
      <c r="N1653" s="16">
        <f>POWER(SQRT(WorkOrders279[[#This Row],[WorkDate]]-WorkOrders279[[#This Row],[ReqDate]]),2)</f>
        <v>28.999999999999996</v>
      </c>
      <c r="O1653" s="8">
        <f t="array" ref="O1653">INDEX(TechRate,MATCH(H1653,TechNum,0))</f>
        <v>80</v>
      </c>
      <c r="P1653" s="10">
        <f>WorkOrders279[[#This Row],[Techs]]*(WorkOrders279[[#This Row],[PartsCost]]*WorkOrders279[[#This Row],[LbrHrs]])</f>
        <v>81.683049999999994</v>
      </c>
      <c r="Q1653" s="10">
        <f t="shared" si="149"/>
        <v>81.683049999999994</v>
      </c>
      <c r="R1653" s="10">
        <f t="shared" si="150"/>
        <v>163.36609999999999</v>
      </c>
      <c r="S1653" s="10">
        <f t="shared" si="151"/>
        <v>245.04915</v>
      </c>
      <c r="T1653" s="10">
        <f t="shared" si="152"/>
        <v>245.04915</v>
      </c>
      <c r="U1653" s="8" t="str">
        <f t="shared" si="153"/>
        <v>Tue</v>
      </c>
      <c r="V1653" s="8" t="str">
        <f t="shared" si="154"/>
        <v>Wed</v>
      </c>
    </row>
    <row r="1654" spans="1:22" hidden="1" x14ac:dyDescent="0.25">
      <c r="A1654" t="s">
        <v>196</v>
      </c>
      <c r="B1654" t="s">
        <v>37</v>
      </c>
      <c r="C1654" t="s">
        <v>43</v>
      </c>
      <c r="D1654" t="s">
        <v>12</v>
      </c>
      <c r="F1654" s="5">
        <v>44146</v>
      </c>
      <c r="G1654" s="5">
        <v>44160</v>
      </c>
      <c r="H1654" s="2">
        <v>1</v>
      </c>
      <c r="I1654" s="6"/>
      <c r="J1654" s="6"/>
      <c r="K1654" s="7">
        <v>0.25</v>
      </c>
      <c r="L1654" s="7">
        <v>25.407900000000001</v>
      </c>
      <c r="M1654" t="s">
        <v>17</v>
      </c>
      <c r="N1654" s="16">
        <f>POWER(SQRT(WorkOrders279[[#This Row],[WorkDate]]-WorkOrders279[[#This Row],[ReqDate]]),2)</f>
        <v>14</v>
      </c>
      <c r="O1654" s="8">
        <f t="array" ref="O1654">INDEX(TechRate,MATCH(H1654,TechNum,0))</f>
        <v>80</v>
      </c>
      <c r="P1654" s="10">
        <f>WorkOrders279[[#This Row],[Techs]]*(WorkOrders279[[#This Row],[PartsCost]]*WorkOrders279[[#This Row],[LbrHrs]])</f>
        <v>6.3519750000000004</v>
      </c>
      <c r="Q1654" s="10">
        <f t="shared" si="149"/>
        <v>6.3519750000000004</v>
      </c>
      <c r="R1654" s="10">
        <f t="shared" si="150"/>
        <v>25.407900000000001</v>
      </c>
      <c r="S1654" s="10">
        <f t="shared" si="151"/>
        <v>31.759875000000001</v>
      </c>
      <c r="T1654" s="10">
        <f t="shared" si="152"/>
        <v>31.759875000000001</v>
      </c>
      <c r="U1654" s="8" t="str">
        <f t="shared" si="153"/>
        <v>Wed</v>
      </c>
      <c r="V1654" s="8" t="str">
        <f t="shared" si="154"/>
        <v>Wed</v>
      </c>
    </row>
    <row r="1655" spans="1:22" hidden="1" x14ac:dyDescent="0.25">
      <c r="A1655" t="s">
        <v>197</v>
      </c>
      <c r="B1655" t="s">
        <v>39</v>
      </c>
      <c r="C1655" t="s">
        <v>44</v>
      </c>
      <c r="D1655" t="s">
        <v>13</v>
      </c>
      <c r="F1655" s="5">
        <v>44146</v>
      </c>
      <c r="G1655" s="5">
        <v>44168</v>
      </c>
      <c r="H1655" s="2">
        <v>2</v>
      </c>
      <c r="I1655" s="6"/>
      <c r="J1655" s="6"/>
      <c r="K1655" s="7">
        <v>0.75</v>
      </c>
      <c r="L1655" s="7">
        <v>182.7</v>
      </c>
      <c r="M1655" t="s">
        <v>18</v>
      </c>
      <c r="N1655" s="16">
        <f>POWER(SQRT(WorkOrders279[[#This Row],[WorkDate]]-WorkOrders279[[#This Row],[ReqDate]]),2)</f>
        <v>22</v>
      </c>
      <c r="O1655" s="8">
        <f t="array" ref="O1655">INDEX(TechRate,MATCH(H1655,TechNum,0))</f>
        <v>140</v>
      </c>
      <c r="P1655" s="10">
        <f>WorkOrders279[[#This Row],[Techs]]*(WorkOrders279[[#This Row],[PartsCost]]*WorkOrders279[[#This Row],[LbrHrs]])</f>
        <v>274.04999999999995</v>
      </c>
      <c r="Q1655" s="10">
        <f t="shared" si="149"/>
        <v>274.04999999999995</v>
      </c>
      <c r="R1655" s="10">
        <f t="shared" si="150"/>
        <v>182.7</v>
      </c>
      <c r="S1655" s="10">
        <f t="shared" si="151"/>
        <v>456.74999999999994</v>
      </c>
      <c r="T1655" s="10">
        <f t="shared" si="152"/>
        <v>456.74999999999994</v>
      </c>
      <c r="U1655" s="8" t="str">
        <f t="shared" si="153"/>
        <v>Wed</v>
      </c>
      <c r="V1655" s="8" t="str">
        <f t="shared" si="154"/>
        <v>Thu</v>
      </c>
    </row>
    <row r="1656" spans="1:22" hidden="1" x14ac:dyDescent="0.25">
      <c r="A1656" t="s">
        <v>198</v>
      </c>
      <c r="B1656" t="s">
        <v>39</v>
      </c>
      <c r="C1656" t="s">
        <v>8</v>
      </c>
      <c r="D1656" t="s">
        <v>13</v>
      </c>
      <c r="F1656" s="5">
        <v>44146</v>
      </c>
      <c r="G1656" s="5">
        <v>44165</v>
      </c>
      <c r="H1656" s="2">
        <v>1</v>
      </c>
      <c r="I1656" s="6"/>
      <c r="J1656" s="6"/>
      <c r="K1656" s="7">
        <v>0.5</v>
      </c>
      <c r="L1656" s="7">
        <v>73.508899999999997</v>
      </c>
      <c r="M1656" t="s">
        <v>18</v>
      </c>
      <c r="N1656" s="16">
        <f>POWER(SQRT(WorkOrders279[[#This Row],[WorkDate]]-WorkOrders279[[#This Row],[ReqDate]]),2)</f>
        <v>19.000000000000004</v>
      </c>
      <c r="O1656" s="8">
        <f t="array" ref="O1656">INDEX(TechRate,MATCH(H1656,TechNum,0))</f>
        <v>80</v>
      </c>
      <c r="P1656" s="10">
        <f>WorkOrders279[[#This Row],[Techs]]*(WorkOrders279[[#This Row],[PartsCost]]*WorkOrders279[[#This Row],[LbrHrs]])</f>
        <v>36.754449999999999</v>
      </c>
      <c r="Q1656" s="10">
        <f t="shared" si="149"/>
        <v>36.754449999999999</v>
      </c>
      <c r="R1656" s="10">
        <f t="shared" si="150"/>
        <v>73.508899999999997</v>
      </c>
      <c r="S1656" s="10">
        <f t="shared" si="151"/>
        <v>110.26335</v>
      </c>
      <c r="T1656" s="10">
        <f t="shared" si="152"/>
        <v>110.26335</v>
      </c>
      <c r="U1656" s="8" t="str">
        <f t="shared" si="153"/>
        <v>Wed</v>
      </c>
      <c r="V1656" s="8" t="str">
        <f t="shared" si="154"/>
        <v>Mon</v>
      </c>
    </row>
    <row r="1657" spans="1:22" hidden="1" x14ac:dyDescent="0.25">
      <c r="A1657" t="s">
        <v>199</v>
      </c>
      <c r="B1657" t="s">
        <v>34</v>
      </c>
      <c r="C1657" t="s">
        <v>44</v>
      </c>
      <c r="D1657" t="s">
        <v>13</v>
      </c>
      <c r="E1657" t="s">
        <v>3</v>
      </c>
      <c r="F1657" s="5">
        <v>44146</v>
      </c>
      <c r="G1657" s="5">
        <v>44166</v>
      </c>
      <c r="H1657" s="2">
        <v>2</v>
      </c>
      <c r="I1657" s="6"/>
      <c r="J1657" s="6"/>
      <c r="K1657" s="7">
        <v>0.5</v>
      </c>
      <c r="L1657" s="7">
        <v>115.22490000000001</v>
      </c>
      <c r="M1657" t="s">
        <v>17</v>
      </c>
      <c r="N1657" s="16">
        <f>POWER(SQRT(WorkOrders279[[#This Row],[WorkDate]]-WorkOrders279[[#This Row],[ReqDate]]),2)</f>
        <v>20.000000000000004</v>
      </c>
      <c r="O1657" s="8">
        <f t="array" ref="O1657">INDEX(TechRate,MATCH(H1657,TechNum,0))</f>
        <v>140</v>
      </c>
      <c r="P1657" s="10">
        <f>WorkOrders279[[#This Row],[Techs]]*(WorkOrders279[[#This Row],[PartsCost]]*WorkOrders279[[#This Row],[LbrHrs]])</f>
        <v>115.22490000000001</v>
      </c>
      <c r="Q1657" s="10">
        <f t="shared" si="149"/>
        <v>115.22490000000001</v>
      </c>
      <c r="R1657" s="10">
        <f t="shared" si="150"/>
        <v>115.22490000000001</v>
      </c>
      <c r="S1657" s="10">
        <f t="shared" si="151"/>
        <v>230.44980000000001</v>
      </c>
      <c r="T1657" s="10">
        <f t="shared" si="152"/>
        <v>230.44980000000001</v>
      </c>
      <c r="U1657" s="8" t="str">
        <f t="shared" si="153"/>
        <v>Wed</v>
      </c>
      <c r="V1657" s="8" t="str">
        <f t="shared" si="154"/>
        <v>Tue</v>
      </c>
    </row>
    <row r="1658" spans="1:22" hidden="1" x14ac:dyDescent="0.25">
      <c r="A1658" t="s">
        <v>200</v>
      </c>
      <c r="B1658" t="s">
        <v>35</v>
      </c>
      <c r="C1658" t="s">
        <v>44</v>
      </c>
      <c r="D1658" t="s">
        <v>13</v>
      </c>
      <c r="F1658" s="5">
        <v>44147</v>
      </c>
      <c r="G1658" s="5">
        <v>44154</v>
      </c>
      <c r="H1658" s="2">
        <v>2</v>
      </c>
      <c r="I1658" s="6"/>
      <c r="J1658" s="6"/>
      <c r="K1658" s="7">
        <v>0.75</v>
      </c>
      <c r="L1658" s="7">
        <v>340.45229999999998</v>
      </c>
      <c r="M1658" t="s">
        <v>18</v>
      </c>
      <c r="N1658" s="16">
        <f>POWER(SQRT(WorkOrders279[[#This Row],[WorkDate]]-WorkOrders279[[#This Row],[ReqDate]]),2)</f>
        <v>7.0000000000000009</v>
      </c>
      <c r="O1658" s="8">
        <f t="array" ref="O1658">INDEX(TechRate,MATCH(H1658,TechNum,0))</f>
        <v>140</v>
      </c>
      <c r="P1658" s="10">
        <f>WorkOrders279[[#This Row],[Techs]]*(WorkOrders279[[#This Row],[PartsCost]]*WorkOrders279[[#This Row],[LbrHrs]])</f>
        <v>510.67845</v>
      </c>
      <c r="Q1658" s="10">
        <f t="shared" si="149"/>
        <v>510.67845</v>
      </c>
      <c r="R1658" s="10">
        <f t="shared" si="150"/>
        <v>340.45229999999998</v>
      </c>
      <c r="S1658" s="10">
        <f t="shared" si="151"/>
        <v>851.13075000000003</v>
      </c>
      <c r="T1658" s="10">
        <f t="shared" si="152"/>
        <v>851.13075000000003</v>
      </c>
      <c r="U1658" s="8" t="str">
        <f t="shared" si="153"/>
        <v>Thu</v>
      </c>
      <c r="V1658" s="8" t="str">
        <f t="shared" si="154"/>
        <v>Thu</v>
      </c>
    </row>
    <row r="1659" spans="1:22" hidden="1" x14ac:dyDescent="0.25">
      <c r="A1659" t="s">
        <v>201</v>
      </c>
      <c r="B1659" t="s">
        <v>38</v>
      </c>
      <c r="C1659" t="s">
        <v>8</v>
      </c>
      <c r="D1659" t="s">
        <v>12</v>
      </c>
      <c r="F1659" s="5">
        <v>44147</v>
      </c>
      <c r="G1659" s="5">
        <v>44161</v>
      </c>
      <c r="H1659" s="2">
        <v>1</v>
      </c>
      <c r="I1659" s="6"/>
      <c r="J1659" s="6"/>
      <c r="K1659" s="7">
        <v>0.5</v>
      </c>
      <c r="L1659" s="7">
        <v>12</v>
      </c>
      <c r="M1659" t="s">
        <v>17</v>
      </c>
      <c r="N1659" s="16">
        <f>POWER(SQRT(WorkOrders279[[#This Row],[WorkDate]]-WorkOrders279[[#This Row],[ReqDate]]),2)</f>
        <v>14</v>
      </c>
      <c r="O1659" s="8">
        <f t="array" ref="O1659">INDEX(TechRate,MATCH(H1659,TechNum,0))</f>
        <v>80</v>
      </c>
      <c r="P1659" s="10">
        <f>WorkOrders279[[#This Row],[Techs]]*(WorkOrders279[[#This Row],[PartsCost]]*WorkOrders279[[#This Row],[LbrHrs]])</f>
        <v>6</v>
      </c>
      <c r="Q1659" s="10">
        <f t="shared" si="149"/>
        <v>6</v>
      </c>
      <c r="R1659" s="10">
        <f t="shared" si="150"/>
        <v>12</v>
      </c>
      <c r="S1659" s="10">
        <f t="shared" si="151"/>
        <v>18</v>
      </c>
      <c r="T1659" s="10">
        <f t="shared" si="152"/>
        <v>18</v>
      </c>
      <c r="U1659" s="8" t="str">
        <f t="shared" si="153"/>
        <v>Thu</v>
      </c>
      <c r="V1659" s="8" t="str">
        <f t="shared" si="154"/>
        <v>Thu</v>
      </c>
    </row>
    <row r="1660" spans="1:22" hidden="1" x14ac:dyDescent="0.25">
      <c r="A1660" t="s">
        <v>202</v>
      </c>
      <c r="B1660" t="s">
        <v>39</v>
      </c>
      <c r="C1660" t="s">
        <v>8</v>
      </c>
      <c r="D1660" t="s">
        <v>13</v>
      </c>
      <c r="F1660" s="5">
        <v>44148</v>
      </c>
      <c r="G1660" s="5">
        <v>44159</v>
      </c>
      <c r="H1660" s="2">
        <v>1</v>
      </c>
      <c r="I1660" s="6"/>
      <c r="J1660" s="6"/>
      <c r="K1660" s="7">
        <v>0.5</v>
      </c>
      <c r="L1660" s="7">
        <v>36.754399999999997</v>
      </c>
      <c r="M1660" t="s">
        <v>17</v>
      </c>
      <c r="N1660" s="16">
        <f>POWER(SQRT(WorkOrders279[[#This Row],[WorkDate]]-WorkOrders279[[#This Row],[ReqDate]]),2)</f>
        <v>11</v>
      </c>
      <c r="O1660" s="8">
        <f t="array" ref="O1660">INDEX(TechRate,MATCH(H1660,TechNum,0))</f>
        <v>80</v>
      </c>
      <c r="P1660" s="10">
        <f>WorkOrders279[[#This Row],[Techs]]*(WorkOrders279[[#This Row],[PartsCost]]*WorkOrders279[[#This Row],[LbrHrs]])</f>
        <v>18.377199999999998</v>
      </c>
      <c r="Q1660" s="10">
        <f t="shared" si="149"/>
        <v>18.377199999999998</v>
      </c>
      <c r="R1660" s="10">
        <f t="shared" si="150"/>
        <v>36.754399999999997</v>
      </c>
      <c r="S1660" s="10">
        <f t="shared" si="151"/>
        <v>55.131599999999992</v>
      </c>
      <c r="T1660" s="10">
        <f t="shared" si="152"/>
        <v>55.131599999999992</v>
      </c>
      <c r="U1660" s="8" t="str">
        <f t="shared" si="153"/>
        <v>Fri</v>
      </c>
      <c r="V1660" s="8" t="str">
        <f t="shared" si="154"/>
        <v>Tue</v>
      </c>
    </row>
    <row r="1661" spans="1:22" hidden="1" x14ac:dyDescent="0.25">
      <c r="A1661" t="s">
        <v>203</v>
      </c>
      <c r="B1661" t="s">
        <v>37</v>
      </c>
      <c r="C1661" t="s">
        <v>43</v>
      </c>
      <c r="D1661" t="s">
        <v>1</v>
      </c>
      <c r="F1661" s="5">
        <v>44149</v>
      </c>
      <c r="G1661" s="5">
        <v>44170</v>
      </c>
      <c r="H1661" s="2">
        <v>1</v>
      </c>
      <c r="I1661" s="6"/>
      <c r="J1661" s="6"/>
      <c r="K1661" s="7">
        <v>1.75</v>
      </c>
      <c r="L1661" s="7">
        <v>183.95</v>
      </c>
      <c r="M1661" t="s">
        <v>19</v>
      </c>
      <c r="N1661" s="16">
        <f>POWER(SQRT(WorkOrders279[[#This Row],[WorkDate]]-WorkOrders279[[#This Row],[ReqDate]]),2)</f>
        <v>21</v>
      </c>
      <c r="O1661" s="8">
        <f t="array" ref="O1661">INDEX(TechRate,MATCH(H1661,TechNum,0))</f>
        <v>80</v>
      </c>
      <c r="P1661" s="10">
        <f>WorkOrders279[[#This Row],[Techs]]*(WorkOrders279[[#This Row],[PartsCost]]*WorkOrders279[[#This Row],[LbrHrs]])</f>
        <v>321.91249999999997</v>
      </c>
      <c r="Q1661" s="10">
        <f t="shared" si="149"/>
        <v>321.91249999999997</v>
      </c>
      <c r="R1661" s="10">
        <f t="shared" si="150"/>
        <v>183.95</v>
      </c>
      <c r="S1661" s="10">
        <f t="shared" si="151"/>
        <v>505.86249999999995</v>
      </c>
      <c r="T1661" s="10">
        <f t="shared" si="152"/>
        <v>505.86249999999995</v>
      </c>
      <c r="U1661" s="8" t="str">
        <f t="shared" si="153"/>
        <v>Sat</v>
      </c>
      <c r="V1661" s="8" t="str">
        <f t="shared" si="154"/>
        <v>Sat</v>
      </c>
    </row>
    <row r="1662" spans="1:22" hidden="1" x14ac:dyDescent="0.25">
      <c r="A1662" t="s">
        <v>204</v>
      </c>
      <c r="B1662" t="s">
        <v>38</v>
      </c>
      <c r="C1662" t="s">
        <v>8</v>
      </c>
      <c r="D1662" t="s">
        <v>12</v>
      </c>
      <c r="E1662" t="s">
        <v>3</v>
      </c>
      <c r="F1662" s="5">
        <v>44149</v>
      </c>
      <c r="G1662" s="5">
        <v>44167</v>
      </c>
      <c r="H1662" s="2">
        <v>1</v>
      </c>
      <c r="I1662" s="6"/>
      <c r="J1662" s="6"/>
      <c r="K1662" s="7">
        <v>0.25</v>
      </c>
      <c r="L1662" s="7">
        <v>26.582599999999999</v>
      </c>
      <c r="M1662" t="s">
        <v>19</v>
      </c>
      <c r="N1662" s="16">
        <f>POWER(SQRT(WorkOrders279[[#This Row],[WorkDate]]-WorkOrders279[[#This Row],[ReqDate]]),2)</f>
        <v>17.999999999999996</v>
      </c>
      <c r="O1662" s="8">
        <f t="array" ref="O1662">INDEX(TechRate,MATCH(H1662,TechNum,0))</f>
        <v>80</v>
      </c>
      <c r="P1662" s="10">
        <f>WorkOrders279[[#This Row],[Techs]]*(WorkOrders279[[#This Row],[PartsCost]]*WorkOrders279[[#This Row],[LbrHrs]])</f>
        <v>6.6456499999999998</v>
      </c>
      <c r="Q1662" s="10">
        <f t="shared" si="149"/>
        <v>6.6456499999999998</v>
      </c>
      <c r="R1662" s="10">
        <f t="shared" si="150"/>
        <v>26.582599999999999</v>
      </c>
      <c r="S1662" s="10">
        <f t="shared" si="151"/>
        <v>33.228250000000003</v>
      </c>
      <c r="T1662" s="10">
        <f t="shared" si="152"/>
        <v>33.228250000000003</v>
      </c>
      <c r="U1662" s="8" t="str">
        <f t="shared" si="153"/>
        <v>Sat</v>
      </c>
      <c r="V1662" s="8" t="str">
        <f t="shared" si="154"/>
        <v>Wed</v>
      </c>
    </row>
    <row r="1663" spans="1:22" hidden="1" x14ac:dyDescent="0.25">
      <c r="A1663" t="s">
        <v>205</v>
      </c>
      <c r="B1663" t="s">
        <v>38</v>
      </c>
      <c r="C1663" t="s">
        <v>8</v>
      </c>
      <c r="D1663" t="s">
        <v>12</v>
      </c>
      <c r="F1663" s="5">
        <v>44151</v>
      </c>
      <c r="G1663" s="5">
        <v>44167</v>
      </c>
      <c r="H1663" s="2">
        <v>1</v>
      </c>
      <c r="I1663" s="6"/>
      <c r="J1663" s="6"/>
      <c r="K1663" s="7">
        <v>0.5</v>
      </c>
      <c r="L1663" s="7">
        <v>13.42</v>
      </c>
      <c r="M1663" t="s">
        <v>18</v>
      </c>
      <c r="N1663" s="16">
        <f>POWER(SQRT(WorkOrders279[[#This Row],[WorkDate]]-WorkOrders279[[#This Row],[ReqDate]]),2)</f>
        <v>16</v>
      </c>
      <c r="O1663" s="8">
        <f t="array" ref="O1663">INDEX(TechRate,MATCH(H1663,TechNum,0))</f>
        <v>80</v>
      </c>
      <c r="P1663" s="10">
        <f>WorkOrders279[[#This Row],[Techs]]*(WorkOrders279[[#This Row],[PartsCost]]*WorkOrders279[[#This Row],[LbrHrs]])</f>
        <v>6.71</v>
      </c>
      <c r="Q1663" s="10">
        <f t="shared" si="149"/>
        <v>6.71</v>
      </c>
      <c r="R1663" s="10">
        <f t="shared" si="150"/>
        <v>13.42</v>
      </c>
      <c r="S1663" s="10">
        <f t="shared" si="151"/>
        <v>20.13</v>
      </c>
      <c r="T1663" s="10">
        <f t="shared" si="152"/>
        <v>20.13</v>
      </c>
      <c r="U1663" s="8" t="str">
        <f t="shared" si="153"/>
        <v>Mon</v>
      </c>
      <c r="V1663" s="8" t="str">
        <f t="shared" si="154"/>
        <v>Wed</v>
      </c>
    </row>
    <row r="1664" spans="1:22" hidden="1" x14ac:dyDescent="0.25">
      <c r="A1664" t="s">
        <v>206</v>
      </c>
      <c r="B1664" t="s">
        <v>38</v>
      </c>
      <c r="C1664" t="s">
        <v>8</v>
      </c>
      <c r="D1664" t="s">
        <v>1</v>
      </c>
      <c r="F1664" s="5">
        <v>44151</v>
      </c>
      <c r="G1664" s="5">
        <v>44168</v>
      </c>
      <c r="H1664" s="2">
        <v>1</v>
      </c>
      <c r="I1664" s="6"/>
      <c r="J1664" s="6"/>
      <c r="K1664" s="7">
        <v>1</v>
      </c>
      <c r="L1664" s="7">
        <v>324</v>
      </c>
      <c r="M1664" t="s">
        <v>19</v>
      </c>
      <c r="N1664" s="16">
        <f>POWER(SQRT(WorkOrders279[[#This Row],[WorkDate]]-WorkOrders279[[#This Row],[ReqDate]]),2)</f>
        <v>17</v>
      </c>
      <c r="O1664" s="8">
        <f t="array" ref="O1664">INDEX(TechRate,MATCH(H1664,TechNum,0))</f>
        <v>80</v>
      </c>
      <c r="P1664" s="10">
        <f>WorkOrders279[[#This Row],[Techs]]*(WorkOrders279[[#This Row],[PartsCost]]*WorkOrders279[[#This Row],[LbrHrs]])</f>
        <v>324</v>
      </c>
      <c r="Q1664" s="10">
        <f t="shared" si="149"/>
        <v>324</v>
      </c>
      <c r="R1664" s="10">
        <f t="shared" si="150"/>
        <v>324</v>
      </c>
      <c r="S1664" s="10">
        <f t="shared" si="151"/>
        <v>648</v>
      </c>
      <c r="T1664" s="10">
        <f t="shared" si="152"/>
        <v>648</v>
      </c>
      <c r="U1664" s="8" t="str">
        <f t="shared" si="153"/>
        <v>Mon</v>
      </c>
      <c r="V1664" s="8" t="str">
        <f t="shared" si="154"/>
        <v>Thu</v>
      </c>
    </row>
    <row r="1665" spans="1:22" hidden="1" x14ac:dyDescent="0.25">
      <c r="A1665" t="s">
        <v>207</v>
      </c>
      <c r="B1665" t="s">
        <v>39</v>
      </c>
      <c r="C1665" t="s">
        <v>8</v>
      </c>
      <c r="D1665" t="s">
        <v>13</v>
      </c>
      <c r="F1665" s="5">
        <v>44152</v>
      </c>
      <c r="G1665" s="5">
        <v>44174</v>
      </c>
      <c r="H1665" s="2">
        <v>2</v>
      </c>
      <c r="I1665" s="6"/>
      <c r="J1665" s="6"/>
      <c r="K1665" s="7">
        <v>0.5</v>
      </c>
      <c r="L1665" s="7">
        <v>504.21269999999998</v>
      </c>
      <c r="M1665" t="s">
        <v>18</v>
      </c>
      <c r="N1665" s="16">
        <f>POWER(SQRT(WorkOrders279[[#This Row],[WorkDate]]-WorkOrders279[[#This Row],[ReqDate]]),2)</f>
        <v>22</v>
      </c>
      <c r="O1665" s="8">
        <f t="array" ref="O1665">INDEX(TechRate,MATCH(H1665,TechNum,0))</f>
        <v>140</v>
      </c>
      <c r="P1665" s="10">
        <f>WorkOrders279[[#This Row],[Techs]]*(WorkOrders279[[#This Row],[PartsCost]]*WorkOrders279[[#This Row],[LbrHrs]])</f>
        <v>504.21269999999998</v>
      </c>
      <c r="Q1665" s="10">
        <f t="shared" si="149"/>
        <v>504.21269999999998</v>
      </c>
      <c r="R1665" s="10">
        <f t="shared" si="150"/>
        <v>504.21269999999998</v>
      </c>
      <c r="S1665" s="10">
        <f t="shared" si="151"/>
        <v>1008.4254</v>
      </c>
      <c r="T1665" s="10">
        <f t="shared" si="152"/>
        <v>1008.4254</v>
      </c>
      <c r="U1665" s="8" t="str">
        <f t="shared" si="153"/>
        <v>Tue</v>
      </c>
      <c r="V1665" s="8" t="str">
        <f t="shared" si="154"/>
        <v>Wed</v>
      </c>
    </row>
    <row r="1666" spans="1:22" hidden="1" x14ac:dyDescent="0.25">
      <c r="A1666" t="s">
        <v>208</v>
      </c>
      <c r="B1666" t="s">
        <v>34</v>
      </c>
      <c r="C1666" t="s">
        <v>8</v>
      </c>
      <c r="D1666" t="s">
        <v>12</v>
      </c>
      <c r="E1666" t="s">
        <v>3</v>
      </c>
      <c r="F1666" s="5">
        <v>44152</v>
      </c>
      <c r="G1666" s="5">
        <v>44180</v>
      </c>
      <c r="H1666" s="2">
        <v>2</v>
      </c>
      <c r="I1666" s="6"/>
      <c r="J1666" s="6"/>
      <c r="K1666" s="7">
        <v>0.5</v>
      </c>
      <c r="L1666" s="7">
        <v>338.0702</v>
      </c>
      <c r="M1666" t="s">
        <v>17</v>
      </c>
      <c r="N1666" s="16">
        <f>POWER(SQRT(WorkOrders279[[#This Row],[WorkDate]]-WorkOrders279[[#This Row],[ReqDate]]),2)</f>
        <v>28.000000000000004</v>
      </c>
      <c r="O1666" s="8">
        <f t="array" ref="O1666">INDEX(TechRate,MATCH(H1666,TechNum,0))</f>
        <v>140</v>
      </c>
      <c r="P1666" s="10">
        <f>WorkOrders279[[#This Row],[Techs]]*(WorkOrders279[[#This Row],[PartsCost]]*WorkOrders279[[#This Row],[LbrHrs]])</f>
        <v>338.0702</v>
      </c>
      <c r="Q1666" s="10">
        <f t="shared" si="149"/>
        <v>338.0702</v>
      </c>
      <c r="R1666" s="10">
        <f t="shared" si="150"/>
        <v>338.0702</v>
      </c>
      <c r="S1666" s="10">
        <f t="shared" si="151"/>
        <v>676.1404</v>
      </c>
      <c r="T1666" s="10">
        <f t="shared" si="152"/>
        <v>676.1404</v>
      </c>
      <c r="U1666" s="8" t="str">
        <f t="shared" si="153"/>
        <v>Tue</v>
      </c>
      <c r="V1666" s="8" t="str">
        <f t="shared" si="154"/>
        <v>Tue</v>
      </c>
    </row>
    <row r="1667" spans="1:22" hidden="1" x14ac:dyDescent="0.25">
      <c r="A1667" t="s">
        <v>209</v>
      </c>
      <c r="B1667" t="s">
        <v>39</v>
      </c>
      <c r="C1667" t="s">
        <v>9</v>
      </c>
      <c r="D1667" t="s">
        <v>12</v>
      </c>
      <c r="F1667" s="5">
        <v>44153</v>
      </c>
      <c r="G1667" s="5">
        <v>44165</v>
      </c>
      <c r="H1667" s="2">
        <v>2</v>
      </c>
      <c r="I1667" s="6"/>
      <c r="J1667" s="6"/>
      <c r="K1667" s="7">
        <v>1.5</v>
      </c>
      <c r="L1667" s="7">
        <v>0.98399999999999999</v>
      </c>
      <c r="M1667" t="s">
        <v>18</v>
      </c>
      <c r="N1667" s="16">
        <f>POWER(SQRT(WorkOrders279[[#This Row],[WorkDate]]-WorkOrders279[[#This Row],[ReqDate]]),2)</f>
        <v>11.999999999999998</v>
      </c>
      <c r="O1667" s="8">
        <f t="array" ref="O1667">INDEX(TechRate,MATCH(H1667,TechNum,0))</f>
        <v>140</v>
      </c>
      <c r="P1667" s="10">
        <f>WorkOrders279[[#This Row],[Techs]]*(WorkOrders279[[#This Row],[PartsCost]]*WorkOrders279[[#This Row],[LbrHrs]])</f>
        <v>2.952</v>
      </c>
      <c r="Q1667" s="10">
        <f t="shared" si="149"/>
        <v>2.952</v>
      </c>
      <c r="R1667" s="10">
        <f t="shared" si="150"/>
        <v>0.98399999999999999</v>
      </c>
      <c r="S1667" s="10">
        <f t="shared" si="151"/>
        <v>3.9359999999999999</v>
      </c>
      <c r="T1667" s="10">
        <f t="shared" si="152"/>
        <v>3.9359999999999999</v>
      </c>
      <c r="U1667" s="8" t="str">
        <f t="shared" si="153"/>
        <v>Wed</v>
      </c>
      <c r="V1667" s="8" t="str">
        <f t="shared" si="154"/>
        <v>Mon</v>
      </c>
    </row>
    <row r="1668" spans="1:22" hidden="1" x14ac:dyDescent="0.25">
      <c r="A1668" t="s">
        <v>210</v>
      </c>
      <c r="B1668" t="s">
        <v>39</v>
      </c>
      <c r="C1668" t="s">
        <v>8</v>
      </c>
      <c r="D1668" t="s">
        <v>12</v>
      </c>
      <c r="F1668" s="5">
        <v>44153</v>
      </c>
      <c r="G1668" s="5">
        <v>44165</v>
      </c>
      <c r="H1668" s="2">
        <v>1</v>
      </c>
      <c r="I1668" s="6"/>
      <c r="J1668" s="6"/>
      <c r="K1668" s="7">
        <v>0.5</v>
      </c>
      <c r="L1668" s="7">
        <v>14.88</v>
      </c>
      <c r="M1668" t="s">
        <v>17</v>
      </c>
      <c r="N1668" s="16">
        <f>POWER(SQRT(WorkOrders279[[#This Row],[WorkDate]]-WorkOrders279[[#This Row],[ReqDate]]),2)</f>
        <v>11.999999999999998</v>
      </c>
      <c r="O1668" s="8">
        <f t="array" ref="O1668">INDEX(TechRate,MATCH(H1668,TechNum,0))</f>
        <v>80</v>
      </c>
      <c r="P1668" s="10">
        <f>WorkOrders279[[#This Row],[Techs]]*(WorkOrders279[[#This Row],[PartsCost]]*WorkOrders279[[#This Row],[LbrHrs]])</f>
        <v>7.44</v>
      </c>
      <c r="Q1668" s="10">
        <f t="shared" si="149"/>
        <v>7.44</v>
      </c>
      <c r="R1668" s="10">
        <f t="shared" si="150"/>
        <v>14.88</v>
      </c>
      <c r="S1668" s="10">
        <f t="shared" si="151"/>
        <v>22.32</v>
      </c>
      <c r="T1668" s="10">
        <f t="shared" si="152"/>
        <v>22.32</v>
      </c>
      <c r="U1668" s="8" t="str">
        <f t="shared" si="153"/>
        <v>Wed</v>
      </c>
      <c r="V1668" s="8" t="str">
        <f t="shared" si="154"/>
        <v>Mon</v>
      </c>
    </row>
    <row r="1669" spans="1:22" hidden="1" x14ac:dyDescent="0.25">
      <c r="A1669" t="s">
        <v>211</v>
      </c>
      <c r="B1669" t="s">
        <v>37</v>
      </c>
      <c r="C1669" t="s">
        <v>43</v>
      </c>
      <c r="D1669" t="s">
        <v>12</v>
      </c>
      <c r="F1669" s="5">
        <v>44154</v>
      </c>
      <c r="G1669" s="5">
        <v>44165</v>
      </c>
      <c r="H1669" s="2">
        <v>1</v>
      </c>
      <c r="I1669" s="6"/>
      <c r="J1669" s="6"/>
      <c r="K1669" s="7">
        <v>0.5</v>
      </c>
      <c r="L1669" s="7">
        <v>81.900000000000006</v>
      </c>
      <c r="M1669" t="s">
        <v>17</v>
      </c>
      <c r="N1669" s="16">
        <f>POWER(SQRT(WorkOrders279[[#This Row],[WorkDate]]-WorkOrders279[[#This Row],[ReqDate]]),2)</f>
        <v>11</v>
      </c>
      <c r="O1669" s="8">
        <f t="array" ref="O1669">INDEX(TechRate,MATCH(H1669,TechNum,0))</f>
        <v>80</v>
      </c>
      <c r="P1669" s="10">
        <f>WorkOrders279[[#This Row],[Techs]]*(WorkOrders279[[#This Row],[PartsCost]]*WorkOrders279[[#This Row],[LbrHrs]])</f>
        <v>40.950000000000003</v>
      </c>
      <c r="Q1669" s="10">
        <f t="shared" si="149"/>
        <v>40.950000000000003</v>
      </c>
      <c r="R1669" s="10">
        <f t="shared" si="150"/>
        <v>81.900000000000006</v>
      </c>
      <c r="S1669" s="10">
        <f t="shared" si="151"/>
        <v>122.85000000000001</v>
      </c>
      <c r="T1669" s="10">
        <f t="shared" si="152"/>
        <v>122.85000000000001</v>
      </c>
      <c r="U1669" s="8" t="str">
        <f t="shared" si="153"/>
        <v>Thu</v>
      </c>
      <c r="V1669" s="8" t="str">
        <f t="shared" si="154"/>
        <v>Mon</v>
      </c>
    </row>
    <row r="1670" spans="1:22" hidden="1" x14ac:dyDescent="0.25">
      <c r="A1670" t="s">
        <v>212</v>
      </c>
      <c r="B1670" t="s">
        <v>35</v>
      </c>
      <c r="C1670" t="s">
        <v>9</v>
      </c>
      <c r="D1670" t="s">
        <v>12</v>
      </c>
      <c r="F1670" s="5">
        <v>44154</v>
      </c>
      <c r="G1670" s="5">
        <v>44168</v>
      </c>
      <c r="H1670" s="2">
        <v>2</v>
      </c>
      <c r="I1670" s="6"/>
      <c r="J1670" s="6"/>
      <c r="K1670" s="7">
        <v>0.25</v>
      </c>
      <c r="L1670" s="7">
        <v>21.33</v>
      </c>
      <c r="M1670" t="s">
        <v>17</v>
      </c>
      <c r="N1670" s="16">
        <f>POWER(SQRT(WorkOrders279[[#This Row],[WorkDate]]-WorkOrders279[[#This Row],[ReqDate]]),2)</f>
        <v>14</v>
      </c>
      <c r="O1670" s="8">
        <f t="array" ref="O1670">INDEX(TechRate,MATCH(H1670,TechNum,0))</f>
        <v>140</v>
      </c>
      <c r="P1670" s="10">
        <f>WorkOrders279[[#This Row],[Techs]]*(WorkOrders279[[#This Row],[PartsCost]]*WorkOrders279[[#This Row],[LbrHrs]])</f>
        <v>10.664999999999999</v>
      </c>
      <c r="Q1670" s="10">
        <f t="shared" si="149"/>
        <v>10.664999999999999</v>
      </c>
      <c r="R1670" s="10">
        <f t="shared" si="150"/>
        <v>21.33</v>
      </c>
      <c r="S1670" s="10">
        <f t="shared" si="151"/>
        <v>31.994999999999997</v>
      </c>
      <c r="T1670" s="10">
        <f t="shared" si="152"/>
        <v>31.994999999999997</v>
      </c>
      <c r="U1670" s="8" t="str">
        <f t="shared" si="153"/>
        <v>Thu</v>
      </c>
      <c r="V1670" s="8" t="str">
        <f t="shared" si="154"/>
        <v>Thu</v>
      </c>
    </row>
    <row r="1671" spans="1:22" hidden="1" x14ac:dyDescent="0.25">
      <c r="A1671" t="s">
        <v>213</v>
      </c>
      <c r="B1671" t="s">
        <v>34</v>
      </c>
      <c r="C1671" t="s">
        <v>8</v>
      </c>
      <c r="D1671" t="s">
        <v>12</v>
      </c>
      <c r="F1671" s="5">
        <v>44154</v>
      </c>
      <c r="G1671" s="5">
        <v>44168</v>
      </c>
      <c r="H1671" s="2">
        <v>1</v>
      </c>
      <c r="I1671" s="6"/>
      <c r="J1671" s="6"/>
      <c r="K1671" s="7">
        <v>0.25</v>
      </c>
      <c r="L1671" s="7">
        <v>120</v>
      </c>
      <c r="M1671" t="s">
        <v>19</v>
      </c>
      <c r="N1671" s="16">
        <f>POWER(SQRT(WorkOrders279[[#This Row],[WorkDate]]-WorkOrders279[[#This Row],[ReqDate]]),2)</f>
        <v>14</v>
      </c>
      <c r="O1671" s="8">
        <f t="array" ref="O1671">INDEX(TechRate,MATCH(H1671,TechNum,0))</f>
        <v>80</v>
      </c>
      <c r="P1671" s="10">
        <f>WorkOrders279[[#This Row],[Techs]]*(WorkOrders279[[#This Row],[PartsCost]]*WorkOrders279[[#This Row],[LbrHrs]])</f>
        <v>30</v>
      </c>
      <c r="Q1671" s="10">
        <f t="shared" si="149"/>
        <v>30</v>
      </c>
      <c r="R1671" s="10">
        <f t="shared" si="150"/>
        <v>120</v>
      </c>
      <c r="S1671" s="10">
        <f t="shared" si="151"/>
        <v>150</v>
      </c>
      <c r="T1671" s="10">
        <f t="shared" si="152"/>
        <v>150</v>
      </c>
      <c r="U1671" s="8" t="str">
        <f t="shared" si="153"/>
        <v>Thu</v>
      </c>
      <c r="V1671" s="8" t="str">
        <f t="shared" si="154"/>
        <v>Thu</v>
      </c>
    </row>
    <row r="1672" spans="1:22" hidden="1" x14ac:dyDescent="0.25">
      <c r="A1672" t="s">
        <v>214</v>
      </c>
      <c r="B1672" t="s">
        <v>35</v>
      </c>
      <c r="C1672" t="s">
        <v>6</v>
      </c>
      <c r="D1672" t="s">
        <v>13</v>
      </c>
      <c r="F1672" s="5">
        <v>44154</v>
      </c>
      <c r="G1672" s="5">
        <v>44182</v>
      </c>
      <c r="H1672" s="2">
        <v>2</v>
      </c>
      <c r="I1672" s="6"/>
      <c r="J1672" s="6"/>
      <c r="K1672" s="7">
        <v>0.5</v>
      </c>
      <c r="L1672" s="7">
        <v>1579.4</v>
      </c>
      <c r="M1672" t="s">
        <v>17</v>
      </c>
      <c r="N1672" s="16">
        <f>POWER(SQRT(WorkOrders279[[#This Row],[WorkDate]]-WorkOrders279[[#This Row],[ReqDate]]),2)</f>
        <v>28.000000000000004</v>
      </c>
      <c r="O1672" s="8">
        <f t="array" ref="O1672">INDEX(TechRate,MATCH(H1672,TechNum,0))</f>
        <v>140</v>
      </c>
      <c r="P1672" s="10">
        <f>WorkOrders279[[#This Row],[Techs]]*(WorkOrders279[[#This Row],[PartsCost]]*WorkOrders279[[#This Row],[LbrHrs]])</f>
        <v>1579.4</v>
      </c>
      <c r="Q1672" s="10">
        <f t="shared" si="149"/>
        <v>1579.4</v>
      </c>
      <c r="R1672" s="10">
        <f t="shared" si="150"/>
        <v>1579.4</v>
      </c>
      <c r="S1672" s="10">
        <f t="shared" si="151"/>
        <v>3158.8</v>
      </c>
      <c r="T1672" s="10">
        <f t="shared" si="152"/>
        <v>3158.8</v>
      </c>
      <c r="U1672" s="8" t="str">
        <f t="shared" si="153"/>
        <v>Thu</v>
      </c>
      <c r="V1672" s="8" t="str">
        <f t="shared" si="154"/>
        <v>Thu</v>
      </c>
    </row>
    <row r="1673" spans="1:22" hidden="1" x14ac:dyDescent="0.25">
      <c r="A1673" t="s">
        <v>215</v>
      </c>
      <c r="B1673" t="s">
        <v>37</v>
      </c>
      <c r="C1673" t="s">
        <v>8</v>
      </c>
      <c r="D1673" t="s">
        <v>13</v>
      </c>
      <c r="F1673" s="5">
        <v>44156</v>
      </c>
      <c r="G1673" s="5">
        <v>44165</v>
      </c>
      <c r="H1673" s="2">
        <v>2</v>
      </c>
      <c r="I1673" s="6"/>
      <c r="J1673" s="6"/>
      <c r="K1673" s="7">
        <v>0.5</v>
      </c>
      <c r="L1673" s="7">
        <v>174.18029999999999</v>
      </c>
      <c r="M1673" t="s">
        <v>18</v>
      </c>
      <c r="N1673" s="16">
        <f>POWER(SQRT(WorkOrders279[[#This Row],[WorkDate]]-WorkOrders279[[#This Row],[ReqDate]]),2)</f>
        <v>9</v>
      </c>
      <c r="O1673" s="8">
        <f t="array" ref="O1673">INDEX(TechRate,MATCH(H1673,TechNum,0))</f>
        <v>140</v>
      </c>
      <c r="P1673" s="10">
        <f>WorkOrders279[[#This Row],[Techs]]*(WorkOrders279[[#This Row],[PartsCost]]*WorkOrders279[[#This Row],[LbrHrs]])</f>
        <v>174.18029999999999</v>
      </c>
      <c r="Q1673" s="10">
        <f t="shared" si="149"/>
        <v>174.18029999999999</v>
      </c>
      <c r="R1673" s="10">
        <f t="shared" si="150"/>
        <v>174.18029999999999</v>
      </c>
      <c r="S1673" s="10">
        <f t="shared" si="151"/>
        <v>348.36059999999998</v>
      </c>
      <c r="T1673" s="10">
        <f t="shared" si="152"/>
        <v>348.36059999999998</v>
      </c>
      <c r="U1673" s="8" t="str">
        <f t="shared" si="153"/>
        <v>Sat</v>
      </c>
      <c r="V1673" s="8" t="str">
        <f t="shared" si="154"/>
        <v>Mon</v>
      </c>
    </row>
    <row r="1674" spans="1:22" hidden="1" x14ac:dyDescent="0.25">
      <c r="A1674" t="s">
        <v>216</v>
      </c>
      <c r="B1674" t="s">
        <v>34</v>
      </c>
      <c r="C1674" t="s">
        <v>9</v>
      </c>
      <c r="D1674" t="s">
        <v>13</v>
      </c>
      <c r="F1674" s="5">
        <v>44158</v>
      </c>
      <c r="G1674" s="5">
        <v>44172</v>
      </c>
      <c r="H1674" s="2">
        <v>1</v>
      </c>
      <c r="I1674" s="6"/>
      <c r="J1674" s="6"/>
      <c r="K1674" s="7">
        <v>0.75</v>
      </c>
      <c r="L1674" s="7">
        <v>20</v>
      </c>
      <c r="M1674" t="s">
        <v>17</v>
      </c>
      <c r="N1674" s="16">
        <f>POWER(SQRT(WorkOrders279[[#This Row],[WorkDate]]-WorkOrders279[[#This Row],[ReqDate]]),2)</f>
        <v>14</v>
      </c>
      <c r="O1674" s="8">
        <f t="array" ref="O1674">INDEX(TechRate,MATCH(H1674,TechNum,0))</f>
        <v>80</v>
      </c>
      <c r="P1674" s="10">
        <f>WorkOrders279[[#This Row],[Techs]]*(WorkOrders279[[#This Row],[PartsCost]]*WorkOrders279[[#This Row],[LbrHrs]])</f>
        <v>15</v>
      </c>
      <c r="Q1674" s="10">
        <f t="shared" si="149"/>
        <v>15</v>
      </c>
      <c r="R1674" s="10">
        <f t="shared" si="150"/>
        <v>20</v>
      </c>
      <c r="S1674" s="10">
        <f t="shared" si="151"/>
        <v>35</v>
      </c>
      <c r="T1674" s="10">
        <f t="shared" si="152"/>
        <v>35</v>
      </c>
      <c r="U1674" s="8" t="str">
        <f t="shared" si="153"/>
        <v>Mon</v>
      </c>
      <c r="V1674" s="8" t="str">
        <f t="shared" si="154"/>
        <v>Mon</v>
      </c>
    </row>
    <row r="1675" spans="1:22" hidden="1" x14ac:dyDescent="0.25">
      <c r="A1675" t="s">
        <v>217</v>
      </c>
      <c r="B1675" t="s">
        <v>35</v>
      </c>
      <c r="C1675" t="s">
        <v>8</v>
      </c>
      <c r="D1675" t="s">
        <v>1</v>
      </c>
      <c r="F1675" s="5">
        <v>44158</v>
      </c>
      <c r="G1675" s="5">
        <v>44201</v>
      </c>
      <c r="H1675" s="2">
        <v>1</v>
      </c>
      <c r="I1675" s="6"/>
      <c r="J1675" s="6"/>
      <c r="K1675" s="7">
        <v>2.5</v>
      </c>
      <c r="L1675" s="7">
        <v>689.15409999999997</v>
      </c>
      <c r="M1675" t="s">
        <v>19</v>
      </c>
      <c r="N1675" s="16">
        <f>POWER(SQRT(WorkOrders279[[#This Row],[WorkDate]]-WorkOrders279[[#This Row],[ReqDate]]),2)</f>
        <v>42.999999999999993</v>
      </c>
      <c r="O1675" s="8">
        <f t="array" ref="O1675">INDEX(TechRate,MATCH(H1675,TechNum,0))</f>
        <v>80</v>
      </c>
      <c r="P1675" s="10">
        <f>WorkOrders279[[#This Row],[Techs]]*(WorkOrders279[[#This Row],[PartsCost]]*WorkOrders279[[#This Row],[LbrHrs]])</f>
        <v>1722.8852499999998</v>
      </c>
      <c r="Q1675" s="10">
        <f t="shared" si="149"/>
        <v>1722.8852499999998</v>
      </c>
      <c r="R1675" s="10">
        <f t="shared" si="150"/>
        <v>689.15409999999997</v>
      </c>
      <c r="S1675" s="10">
        <f t="shared" si="151"/>
        <v>2412.03935</v>
      </c>
      <c r="T1675" s="10">
        <f t="shared" si="152"/>
        <v>2412.03935</v>
      </c>
      <c r="U1675" s="8" t="str">
        <f t="shared" si="153"/>
        <v>Mon</v>
      </c>
      <c r="V1675" s="8" t="str">
        <f t="shared" si="154"/>
        <v>Tue</v>
      </c>
    </row>
    <row r="1676" spans="1:22" hidden="1" x14ac:dyDescent="0.25">
      <c r="A1676" t="s">
        <v>218</v>
      </c>
      <c r="B1676" t="s">
        <v>39</v>
      </c>
      <c r="C1676" t="s">
        <v>6</v>
      </c>
      <c r="D1676" t="s">
        <v>12</v>
      </c>
      <c r="F1676" s="5">
        <v>44158</v>
      </c>
      <c r="G1676" s="5">
        <v>44203</v>
      </c>
      <c r="H1676" s="2">
        <v>1</v>
      </c>
      <c r="I1676" s="6"/>
      <c r="J1676" s="6"/>
      <c r="K1676" s="7">
        <v>0.25</v>
      </c>
      <c r="L1676" s="7">
        <v>156</v>
      </c>
      <c r="M1676" t="s">
        <v>17</v>
      </c>
      <c r="N1676" s="16">
        <f>POWER(SQRT(WorkOrders279[[#This Row],[WorkDate]]-WorkOrders279[[#This Row],[ReqDate]]),2)</f>
        <v>45.000000000000007</v>
      </c>
      <c r="O1676" s="8">
        <f t="array" ref="O1676">INDEX(TechRate,MATCH(H1676,TechNum,0))</f>
        <v>80</v>
      </c>
      <c r="P1676" s="10">
        <f>WorkOrders279[[#This Row],[Techs]]*(WorkOrders279[[#This Row],[PartsCost]]*WorkOrders279[[#This Row],[LbrHrs]])</f>
        <v>39</v>
      </c>
      <c r="Q1676" s="10">
        <f t="shared" si="149"/>
        <v>39</v>
      </c>
      <c r="R1676" s="10">
        <f t="shared" si="150"/>
        <v>156</v>
      </c>
      <c r="S1676" s="10">
        <f t="shared" si="151"/>
        <v>195</v>
      </c>
      <c r="T1676" s="10">
        <f t="shared" si="152"/>
        <v>195</v>
      </c>
      <c r="U1676" s="8" t="str">
        <f t="shared" si="153"/>
        <v>Mon</v>
      </c>
      <c r="V1676" s="8" t="str">
        <f t="shared" si="154"/>
        <v>Thu</v>
      </c>
    </row>
    <row r="1677" spans="1:22" hidden="1" x14ac:dyDescent="0.25">
      <c r="A1677" t="s">
        <v>219</v>
      </c>
      <c r="B1677" t="s">
        <v>37</v>
      </c>
      <c r="C1677" t="s">
        <v>43</v>
      </c>
      <c r="D1677" t="s">
        <v>12</v>
      </c>
      <c r="F1677" s="5">
        <v>44158</v>
      </c>
      <c r="G1677" s="5">
        <v>44212</v>
      </c>
      <c r="H1677" s="2">
        <v>1</v>
      </c>
      <c r="I1677" s="6"/>
      <c r="J1677" s="6"/>
      <c r="K1677" s="7">
        <v>0.25</v>
      </c>
      <c r="L1677" s="7">
        <v>45.734099999999998</v>
      </c>
      <c r="M1677" t="s">
        <v>17</v>
      </c>
      <c r="N1677" s="16">
        <f>POWER(SQRT(WorkOrders279[[#This Row],[WorkDate]]-WorkOrders279[[#This Row],[ReqDate]]),2)</f>
        <v>54</v>
      </c>
      <c r="O1677" s="8">
        <f t="array" ref="O1677">INDEX(TechRate,MATCH(H1677,TechNum,0))</f>
        <v>80</v>
      </c>
      <c r="P1677" s="10">
        <f>WorkOrders279[[#This Row],[Techs]]*(WorkOrders279[[#This Row],[PartsCost]]*WorkOrders279[[#This Row],[LbrHrs]])</f>
        <v>11.433524999999999</v>
      </c>
      <c r="Q1677" s="10">
        <f t="shared" si="149"/>
        <v>11.433524999999999</v>
      </c>
      <c r="R1677" s="10">
        <f t="shared" si="150"/>
        <v>45.734099999999998</v>
      </c>
      <c r="S1677" s="10">
        <f t="shared" si="151"/>
        <v>57.167625000000001</v>
      </c>
      <c r="T1677" s="10">
        <f t="shared" si="152"/>
        <v>57.167625000000001</v>
      </c>
      <c r="U1677" s="8" t="str">
        <f t="shared" si="153"/>
        <v>Mon</v>
      </c>
      <c r="V1677" s="8" t="str">
        <f t="shared" si="154"/>
        <v>Sat</v>
      </c>
    </row>
    <row r="1678" spans="1:22" hidden="1" x14ac:dyDescent="0.25">
      <c r="A1678" t="s">
        <v>220</v>
      </c>
      <c r="B1678" t="s">
        <v>40</v>
      </c>
      <c r="C1678" t="s">
        <v>7</v>
      </c>
      <c r="D1678" t="s">
        <v>13</v>
      </c>
      <c r="F1678" s="5">
        <v>44158</v>
      </c>
      <c r="G1678" s="5">
        <v>44236</v>
      </c>
      <c r="H1678" s="2">
        <v>2</v>
      </c>
      <c r="I1678" s="6"/>
      <c r="J1678" s="6"/>
      <c r="K1678" s="7">
        <v>0.5</v>
      </c>
      <c r="L1678" s="7">
        <v>204.28399999999999</v>
      </c>
      <c r="M1678" t="s">
        <v>17</v>
      </c>
      <c r="N1678" s="16">
        <f>POWER(SQRT(WorkOrders279[[#This Row],[WorkDate]]-WorkOrders279[[#This Row],[ReqDate]]),2)</f>
        <v>78.000000000000014</v>
      </c>
      <c r="O1678" s="8">
        <f t="array" ref="O1678">INDEX(TechRate,MATCH(H1678,TechNum,0))</f>
        <v>140</v>
      </c>
      <c r="P1678" s="10">
        <f>WorkOrders279[[#This Row],[Techs]]*(WorkOrders279[[#This Row],[PartsCost]]*WorkOrders279[[#This Row],[LbrHrs]])</f>
        <v>204.28399999999999</v>
      </c>
      <c r="Q1678" s="10">
        <f t="shared" si="149"/>
        <v>204.28399999999999</v>
      </c>
      <c r="R1678" s="10">
        <f t="shared" si="150"/>
        <v>204.28399999999999</v>
      </c>
      <c r="S1678" s="10">
        <f t="shared" si="151"/>
        <v>408.56799999999998</v>
      </c>
      <c r="T1678" s="10">
        <f t="shared" si="152"/>
        <v>408.56799999999998</v>
      </c>
      <c r="U1678" s="8" t="str">
        <f t="shared" si="153"/>
        <v>Mon</v>
      </c>
      <c r="V1678" s="8" t="str">
        <f t="shared" si="154"/>
        <v>Tue</v>
      </c>
    </row>
    <row r="1679" spans="1:22" hidden="1" x14ac:dyDescent="0.25">
      <c r="A1679" t="s">
        <v>221</v>
      </c>
      <c r="B1679" t="s">
        <v>35</v>
      </c>
      <c r="C1679" t="s">
        <v>8</v>
      </c>
      <c r="D1679" t="s">
        <v>11</v>
      </c>
      <c r="E1679" t="s">
        <v>3</v>
      </c>
      <c r="F1679" s="5">
        <v>44159</v>
      </c>
      <c r="G1679" s="5">
        <v>44161</v>
      </c>
      <c r="H1679" s="2">
        <v>1</v>
      </c>
      <c r="I1679" s="6"/>
      <c r="J1679" s="6"/>
      <c r="K1679" s="7">
        <v>0.25</v>
      </c>
      <c r="L1679" s="7">
        <v>21.33</v>
      </c>
      <c r="M1679" t="s">
        <v>17</v>
      </c>
      <c r="N1679" s="16">
        <f>POWER(SQRT(WorkOrders279[[#This Row],[WorkDate]]-WorkOrders279[[#This Row],[ReqDate]]),2)</f>
        <v>2.0000000000000004</v>
      </c>
      <c r="O1679" s="8">
        <f t="array" ref="O1679">INDEX(TechRate,MATCH(H1679,TechNum,0))</f>
        <v>80</v>
      </c>
      <c r="P1679" s="10">
        <f>WorkOrders279[[#This Row],[Techs]]*(WorkOrders279[[#This Row],[PartsCost]]*WorkOrders279[[#This Row],[LbrHrs]])</f>
        <v>5.3324999999999996</v>
      </c>
      <c r="Q1679" s="10">
        <f t="shared" si="149"/>
        <v>5.3324999999999996</v>
      </c>
      <c r="R1679" s="10">
        <f t="shared" si="150"/>
        <v>21.33</v>
      </c>
      <c r="S1679" s="10">
        <f t="shared" si="151"/>
        <v>26.662499999999998</v>
      </c>
      <c r="T1679" s="10">
        <f t="shared" si="152"/>
        <v>26.662499999999998</v>
      </c>
      <c r="U1679" s="8" t="str">
        <f t="shared" si="153"/>
        <v>Tue</v>
      </c>
      <c r="V1679" s="8" t="str">
        <f t="shared" si="154"/>
        <v>Thu</v>
      </c>
    </row>
    <row r="1680" spans="1:22" hidden="1" x14ac:dyDescent="0.25">
      <c r="A1680" t="s">
        <v>222</v>
      </c>
      <c r="B1680" t="s">
        <v>39</v>
      </c>
      <c r="C1680" t="s">
        <v>8</v>
      </c>
      <c r="D1680" t="s">
        <v>13</v>
      </c>
      <c r="F1680" s="5">
        <v>44159</v>
      </c>
      <c r="G1680" s="5">
        <v>44168</v>
      </c>
      <c r="H1680" s="2">
        <v>1</v>
      </c>
      <c r="I1680" s="6"/>
      <c r="J1680" s="6"/>
      <c r="K1680" s="7">
        <v>0.5</v>
      </c>
      <c r="L1680" s="7">
        <v>34.08</v>
      </c>
      <c r="M1680" t="s">
        <v>19</v>
      </c>
      <c r="N1680" s="16">
        <f>POWER(SQRT(WorkOrders279[[#This Row],[WorkDate]]-WorkOrders279[[#This Row],[ReqDate]]),2)</f>
        <v>9</v>
      </c>
      <c r="O1680" s="8">
        <f t="array" ref="O1680">INDEX(TechRate,MATCH(H1680,TechNum,0))</f>
        <v>80</v>
      </c>
      <c r="P1680" s="10">
        <f>WorkOrders279[[#This Row],[Techs]]*(WorkOrders279[[#This Row],[PartsCost]]*WorkOrders279[[#This Row],[LbrHrs]])</f>
        <v>17.04</v>
      </c>
      <c r="Q1680" s="10">
        <f t="shared" si="149"/>
        <v>17.04</v>
      </c>
      <c r="R1680" s="10">
        <f t="shared" si="150"/>
        <v>34.08</v>
      </c>
      <c r="S1680" s="10">
        <f t="shared" si="151"/>
        <v>51.12</v>
      </c>
      <c r="T1680" s="10">
        <f t="shared" si="152"/>
        <v>51.12</v>
      </c>
      <c r="U1680" s="8" t="str">
        <f t="shared" si="153"/>
        <v>Tue</v>
      </c>
      <c r="V1680" s="8" t="str">
        <f t="shared" si="154"/>
        <v>Thu</v>
      </c>
    </row>
    <row r="1681" spans="1:22" hidden="1" x14ac:dyDescent="0.25">
      <c r="A1681" t="s">
        <v>223</v>
      </c>
      <c r="B1681" t="s">
        <v>35</v>
      </c>
      <c r="C1681" t="s">
        <v>6</v>
      </c>
      <c r="D1681" t="s">
        <v>13</v>
      </c>
      <c r="F1681" s="5">
        <v>44159</v>
      </c>
      <c r="G1681" s="5">
        <v>44168</v>
      </c>
      <c r="H1681" s="2">
        <v>2</v>
      </c>
      <c r="I1681" s="6"/>
      <c r="J1681" s="6"/>
      <c r="K1681" s="7">
        <v>0.75</v>
      </c>
      <c r="L1681" s="7">
        <v>212.0085</v>
      </c>
      <c r="M1681" t="s">
        <v>17</v>
      </c>
      <c r="N1681" s="16">
        <f>POWER(SQRT(WorkOrders279[[#This Row],[WorkDate]]-WorkOrders279[[#This Row],[ReqDate]]),2)</f>
        <v>9</v>
      </c>
      <c r="O1681" s="8">
        <f t="array" ref="O1681">INDEX(TechRate,MATCH(H1681,TechNum,0))</f>
        <v>140</v>
      </c>
      <c r="P1681" s="10">
        <f>WorkOrders279[[#This Row],[Techs]]*(WorkOrders279[[#This Row],[PartsCost]]*WorkOrders279[[#This Row],[LbrHrs]])</f>
        <v>318.01274999999998</v>
      </c>
      <c r="Q1681" s="10">
        <f t="shared" si="149"/>
        <v>318.01274999999998</v>
      </c>
      <c r="R1681" s="10">
        <f t="shared" si="150"/>
        <v>212.0085</v>
      </c>
      <c r="S1681" s="10">
        <f t="shared" si="151"/>
        <v>530.02125000000001</v>
      </c>
      <c r="T1681" s="10">
        <f t="shared" si="152"/>
        <v>530.02125000000001</v>
      </c>
      <c r="U1681" s="8" t="str">
        <f t="shared" si="153"/>
        <v>Tue</v>
      </c>
      <c r="V1681" s="8" t="str">
        <f t="shared" si="154"/>
        <v>Thu</v>
      </c>
    </row>
    <row r="1682" spans="1:22" hidden="1" x14ac:dyDescent="0.25">
      <c r="A1682" t="s">
        <v>224</v>
      </c>
      <c r="B1682" t="s">
        <v>35</v>
      </c>
      <c r="C1682" t="s">
        <v>8</v>
      </c>
      <c r="D1682" t="s">
        <v>2</v>
      </c>
      <c r="F1682" s="5">
        <v>44159</v>
      </c>
      <c r="G1682" s="5">
        <v>44172</v>
      </c>
      <c r="H1682" s="2">
        <v>1</v>
      </c>
      <c r="I1682" s="6"/>
      <c r="J1682" s="6"/>
      <c r="K1682" s="7">
        <v>1</v>
      </c>
      <c r="L1682" s="7">
        <v>341.2672</v>
      </c>
      <c r="M1682" t="s">
        <v>18</v>
      </c>
      <c r="N1682" s="16">
        <f>POWER(SQRT(WorkOrders279[[#This Row],[WorkDate]]-WorkOrders279[[#This Row],[ReqDate]]),2)</f>
        <v>12.999999999999998</v>
      </c>
      <c r="O1682" s="8">
        <f t="array" ref="O1682">INDEX(TechRate,MATCH(H1682,TechNum,0))</f>
        <v>80</v>
      </c>
      <c r="P1682" s="10">
        <f>WorkOrders279[[#This Row],[Techs]]*(WorkOrders279[[#This Row],[PartsCost]]*WorkOrders279[[#This Row],[LbrHrs]])</f>
        <v>341.2672</v>
      </c>
      <c r="Q1682" s="10">
        <f t="shared" si="149"/>
        <v>341.2672</v>
      </c>
      <c r="R1682" s="10">
        <f t="shared" si="150"/>
        <v>341.2672</v>
      </c>
      <c r="S1682" s="10">
        <f t="shared" si="151"/>
        <v>682.53440000000001</v>
      </c>
      <c r="T1682" s="10">
        <f t="shared" si="152"/>
        <v>682.53440000000001</v>
      </c>
      <c r="U1682" s="8" t="str">
        <f t="shared" si="153"/>
        <v>Tue</v>
      </c>
      <c r="V1682" s="8" t="str">
        <f t="shared" si="154"/>
        <v>Mon</v>
      </c>
    </row>
    <row r="1683" spans="1:22" hidden="1" x14ac:dyDescent="0.25">
      <c r="A1683" t="s">
        <v>225</v>
      </c>
      <c r="B1683" t="s">
        <v>34</v>
      </c>
      <c r="C1683" t="s">
        <v>44</v>
      </c>
      <c r="D1683" t="s">
        <v>13</v>
      </c>
      <c r="F1683" s="5">
        <v>44159</v>
      </c>
      <c r="G1683" s="5">
        <v>44245</v>
      </c>
      <c r="H1683" s="2">
        <v>1</v>
      </c>
      <c r="I1683" s="6"/>
      <c r="J1683" s="6"/>
      <c r="K1683" s="7">
        <v>0.5</v>
      </c>
      <c r="L1683" s="7">
        <v>25.773599999999998</v>
      </c>
      <c r="M1683" t="s">
        <v>17</v>
      </c>
      <c r="N1683" s="16">
        <f>POWER(SQRT(WorkOrders279[[#This Row],[WorkDate]]-WorkOrders279[[#This Row],[ReqDate]]),2)</f>
        <v>86</v>
      </c>
      <c r="O1683" s="8">
        <f t="array" ref="O1683">INDEX(TechRate,MATCH(H1683,TechNum,0))</f>
        <v>80</v>
      </c>
      <c r="P1683" s="10">
        <f>WorkOrders279[[#This Row],[Techs]]*(WorkOrders279[[#This Row],[PartsCost]]*WorkOrders279[[#This Row],[LbrHrs]])</f>
        <v>12.886799999999999</v>
      </c>
      <c r="Q1683" s="10">
        <f t="shared" si="149"/>
        <v>12.886799999999999</v>
      </c>
      <c r="R1683" s="10">
        <f t="shared" si="150"/>
        <v>25.773599999999998</v>
      </c>
      <c r="S1683" s="10">
        <f t="shared" si="151"/>
        <v>38.660399999999996</v>
      </c>
      <c r="T1683" s="10">
        <f t="shared" si="152"/>
        <v>38.660399999999996</v>
      </c>
      <c r="U1683" s="8" t="str">
        <f t="shared" si="153"/>
        <v>Tue</v>
      </c>
      <c r="V1683" s="8" t="str">
        <f t="shared" si="154"/>
        <v>Thu</v>
      </c>
    </row>
    <row r="1684" spans="1:22" hidden="1" x14ac:dyDescent="0.25">
      <c r="A1684" t="s">
        <v>226</v>
      </c>
      <c r="B1684" t="s">
        <v>39</v>
      </c>
      <c r="C1684" t="s">
        <v>8</v>
      </c>
      <c r="D1684" t="s">
        <v>12</v>
      </c>
      <c r="E1684" t="s">
        <v>3</v>
      </c>
      <c r="F1684" s="5">
        <v>44160</v>
      </c>
      <c r="G1684" s="5">
        <v>44172</v>
      </c>
      <c r="H1684" s="2">
        <v>1</v>
      </c>
      <c r="I1684" s="6"/>
      <c r="J1684" s="6"/>
      <c r="K1684" s="7">
        <v>0.5</v>
      </c>
      <c r="L1684" s="7">
        <v>133.36609999999999</v>
      </c>
      <c r="M1684" t="s">
        <v>17</v>
      </c>
      <c r="N1684" s="16">
        <f>POWER(SQRT(WorkOrders279[[#This Row],[WorkDate]]-WorkOrders279[[#This Row],[ReqDate]]),2)</f>
        <v>11.999999999999998</v>
      </c>
      <c r="O1684" s="8">
        <f t="array" ref="O1684">INDEX(TechRate,MATCH(H1684,TechNum,0))</f>
        <v>80</v>
      </c>
      <c r="P1684" s="10">
        <f>WorkOrders279[[#This Row],[Techs]]*(WorkOrders279[[#This Row],[PartsCost]]*WorkOrders279[[#This Row],[LbrHrs]])</f>
        <v>66.683049999999994</v>
      </c>
      <c r="Q1684" s="10">
        <f t="shared" si="149"/>
        <v>66.683049999999994</v>
      </c>
      <c r="R1684" s="10">
        <f t="shared" si="150"/>
        <v>133.36609999999999</v>
      </c>
      <c r="S1684" s="10">
        <f t="shared" si="151"/>
        <v>200.04915</v>
      </c>
      <c r="T1684" s="10">
        <f t="shared" si="152"/>
        <v>200.04915</v>
      </c>
      <c r="U1684" s="8" t="str">
        <f t="shared" si="153"/>
        <v>Wed</v>
      </c>
      <c r="V1684" s="8" t="str">
        <f t="shared" si="154"/>
        <v>Mon</v>
      </c>
    </row>
    <row r="1685" spans="1:22" hidden="1" x14ac:dyDescent="0.25">
      <c r="A1685" t="s">
        <v>227</v>
      </c>
      <c r="B1685" t="s">
        <v>38</v>
      </c>
      <c r="C1685" t="s">
        <v>8</v>
      </c>
      <c r="D1685" t="s">
        <v>12</v>
      </c>
      <c r="F1685" s="5">
        <v>44160</v>
      </c>
      <c r="G1685" s="5">
        <v>44200</v>
      </c>
      <c r="H1685" s="2">
        <v>1</v>
      </c>
      <c r="I1685" s="6"/>
      <c r="J1685" s="6"/>
      <c r="K1685" s="7">
        <v>0.5</v>
      </c>
      <c r="L1685" s="7">
        <v>66.864900000000006</v>
      </c>
      <c r="M1685" t="s">
        <v>17</v>
      </c>
      <c r="N1685" s="16">
        <f>POWER(SQRT(WorkOrders279[[#This Row],[WorkDate]]-WorkOrders279[[#This Row],[ReqDate]]),2)</f>
        <v>40.000000000000007</v>
      </c>
      <c r="O1685" s="8">
        <f t="array" ref="O1685">INDEX(TechRate,MATCH(H1685,TechNum,0))</f>
        <v>80</v>
      </c>
      <c r="P1685" s="10">
        <f>WorkOrders279[[#This Row],[Techs]]*(WorkOrders279[[#This Row],[PartsCost]]*WorkOrders279[[#This Row],[LbrHrs]])</f>
        <v>33.432450000000003</v>
      </c>
      <c r="Q1685" s="10">
        <f t="shared" si="149"/>
        <v>33.432450000000003</v>
      </c>
      <c r="R1685" s="10">
        <f t="shared" si="150"/>
        <v>66.864900000000006</v>
      </c>
      <c r="S1685" s="10">
        <f t="shared" si="151"/>
        <v>100.29735000000001</v>
      </c>
      <c r="T1685" s="10">
        <f t="shared" si="152"/>
        <v>100.29735000000001</v>
      </c>
      <c r="U1685" s="8" t="str">
        <f t="shared" si="153"/>
        <v>Wed</v>
      </c>
      <c r="V1685" s="8" t="str">
        <f t="shared" si="154"/>
        <v>Mon</v>
      </c>
    </row>
    <row r="1686" spans="1:22" hidden="1" x14ac:dyDescent="0.25">
      <c r="A1686" t="s">
        <v>228</v>
      </c>
      <c r="B1686" t="s">
        <v>38</v>
      </c>
      <c r="C1686" t="s">
        <v>8</v>
      </c>
      <c r="D1686" t="s">
        <v>12</v>
      </c>
      <c r="F1686" s="5">
        <v>44160</v>
      </c>
      <c r="G1686" s="5">
        <v>44200</v>
      </c>
      <c r="H1686" s="2">
        <v>1</v>
      </c>
      <c r="I1686" s="6"/>
      <c r="J1686" s="6"/>
      <c r="K1686" s="7">
        <v>0.75</v>
      </c>
      <c r="L1686" s="7">
        <v>94.26</v>
      </c>
      <c r="M1686" t="s">
        <v>19</v>
      </c>
      <c r="N1686" s="16">
        <f>POWER(SQRT(WorkOrders279[[#This Row],[WorkDate]]-WorkOrders279[[#This Row],[ReqDate]]),2)</f>
        <v>40.000000000000007</v>
      </c>
      <c r="O1686" s="8">
        <f t="array" ref="O1686">INDEX(TechRate,MATCH(H1686,TechNum,0))</f>
        <v>80</v>
      </c>
      <c r="P1686" s="10">
        <f>WorkOrders279[[#This Row],[Techs]]*(WorkOrders279[[#This Row],[PartsCost]]*WorkOrders279[[#This Row],[LbrHrs]])</f>
        <v>70.695000000000007</v>
      </c>
      <c r="Q1686" s="10">
        <f t="shared" si="149"/>
        <v>70.695000000000007</v>
      </c>
      <c r="R1686" s="10">
        <f t="shared" si="150"/>
        <v>94.26</v>
      </c>
      <c r="S1686" s="10">
        <f t="shared" si="151"/>
        <v>164.95500000000001</v>
      </c>
      <c r="T1686" s="10">
        <f t="shared" si="152"/>
        <v>164.95500000000001</v>
      </c>
      <c r="U1686" s="8" t="str">
        <f t="shared" si="153"/>
        <v>Wed</v>
      </c>
      <c r="V1686" s="8" t="str">
        <f t="shared" si="154"/>
        <v>Mon</v>
      </c>
    </row>
    <row r="1687" spans="1:22" hidden="1" x14ac:dyDescent="0.25">
      <c r="A1687" t="s">
        <v>229</v>
      </c>
      <c r="B1687" t="s">
        <v>38</v>
      </c>
      <c r="C1687" t="s">
        <v>8</v>
      </c>
      <c r="D1687" t="s">
        <v>12</v>
      </c>
      <c r="F1687" s="5">
        <v>44160</v>
      </c>
      <c r="G1687" s="5">
        <v>44200</v>
      </c>
      <c r="H1687" s="2">
        <v>1</v>
      </c>
      <c r="I1687" s="6"/>
      <c r="J1687" s="6"/>
      <c r="K1687" s="7">
        <v>0.25</v>
      </c>
      <c r="L1687" s="7">
        <v>120</v>
      </c>
      <c r="M1687" t="s">
        <v>18</v>
      </c>
      <c r="N1687" s="16">
        <f>POWER(SQRT(WorkOrders279[[#This Row],[WorkDate]]-WorkOrders279[[#This Row],[ReqDate]]),2)</f>
        <v>40.000000000000007</v>
      </c>
      <c r="O1687" s="8">
        <f t="array" ref="O1687">INDEX(TechRate,MATCH(H1687,TechNum,0))</f>
        <v>80</v>
      </c>
      <c r="P1687" s="10">
        <f>WorkOrders279[[#This Row],[Techs]]*(WorkOrders279[[#This Row],[PartsCost]]*WorkOrders279[[#This Row],[LbrHrs]])</f>
        <v>30</v>
      </c>
      <c r="Q1687" s="10">
        <f t="shared" si="149"/>
        <v>30</v>
      </c>
      <c r="R1687" s="10">
        <f t="shared" si="150"/>
        <v>120</v>
      </c>
      <c r="S1687" s="10">
        <f t="shared" si="151"/>
        <v>150</v>
      </c>
      <c r="T1687" s="10">
        <f t="shared" si="152"/>
        <v>150</v>
      </c>
      <c r="U1687" s="8" t="str">
        <f t="shared" si="153"/>
        <v>Wed</v>
      </c>
      <c r="V1687" s="8" t="str">
        <f t="shared" si="154"/>
        <v>Mon</v>
      </c>
    </row>
    <row r="1688" spans="1:22" hidden="1" x14ac:dyDescent="0.25">
      <c r="A1688" t="s">
        <v>230</v>
      </c>
      <c r="B1688" t="s">
        <v>38</v>
      </c>
      <c r="C1688" t="s">
        <v>8</v>
      </c>
      <c r="D1688" t="s">
        <v>11</v>
      </c>
      <c r="F1688" s="5">
        <v>44161</v>
      </c>
      <c r="G1688" s="5">
        <v>44167</v>
      </c>
      <c r="H1688" s="2">
        <v>1</v>
      </c>
      <c r="I1688" s="6"/>
      <c r="J1688" s="6"/>
      <c r="K1688" s="7">
        <v>0.25</v>
      </c>
      <c r="L1688" s="7">
        <v>120</v>
      </c>
      <c r="M1688" t="s">
        <v>17</v>
      </c>
      <c r="N1688" s="16">
        <f>POWER(SQRT(WorkOrders279[[#This Row],[WorkDate]]-WorkOrders279[[#This Row],[ReqDate]]),2)</f>
        <v>5.9999999999999991</v>
      </c>
      <c r="O1688" s="8">
        <f t="array" ref="O1688">INDEX(TechRate,MATCH(H1688,TechNum,0))</f>
        <v>80</v>
      </c>
      <c r="P1688" s="10">
        <f>WorkOrders279[[#This Row],[Techs]]*(WorkOrders279[[#This Row],[PartsCost]]*WorkOrders279[[#This Row],[LbrHrs]])</f>
        <v>30</v>
      </c>
      <c r="Q1688" s="10">
        <f t="shared" si="149"/>
        <v>30</v>
      </c>
      <c r="R1688" s="10">
        <f t="shared" si="150"/>
        <v>120</v>
      </c>
      <c r="S1688" s="10">
        <f t="shared" si="151"/>
        <v>150</v>
      </c>
      <c r="T1688" s="10">
        <f t="shared" si="152"/>
        <v>150</v>
      </c>
      <c r="U1688" s="8" t="str">
        <f t="shared" si="153"/>
        <v>Thu</v>
      </c>
      <c r="V1688" s="8" t="str">
        <f t="shared" si="154"/>
        <v>Wed</v>
      </c>
    </row>
    <row r="1689" spans="1:22" hidden="1" x14ac:dyDescent="0.25">
      <c r="A1689" t="s">
        <v>231</v>
      </c>
      <c r="B1689" t="s">
        <v>35</v>
      </c>
      <c r="C1689" t="s">
        <v>9</v>
      </c>
      <c r="D1689" t="s">
        <v>11</v>
      </c>
      <c r="E1689" t="s">
        <v>3</v>
      </c>
      <c r="F1689" s="5">
        <v>44161</v>
      </c>
      <c r="G1689" s="5">
        <v>44168</v>
      </c>
      <c r="H1689" s="2">
        <v>1</v>
      </c>
      <c r="I1689" s="6"/>
      <c r="J1689" s="6"/>
      <c r="K1689" s="7">
        <v>0.25</v>
      </c>
      <c r="L1689" s="7">
        <v>45.99</v>
      </c>
      <c r="M1689" t="s">
        <v>19</v>
      </c>
      <c r="N1689" s="16">
        <f>POWER(SQRT(WorkOrders279[[#This Row],[WorkDate]]-WorkOrders279[[#This Row],[ReqDate]]),2)</f>
        <v>7.0000000000000009</v>
      </c>
      <c r="O1689" s="8">
        <f t="array" ref="O1689">INDEX(TechRate,MATCH(H1689,TechNum,0))</f>
        <v>80</v>
      </c>
      <c r="P1689" s="10">
        <f>WorkOrders279[[#This Row],[Techs]]*(WorkOrders279[[#This Row],[PartsCost]]*WorkOrders279[[#This Row],[LbrHrs]])</f>
        <v>11.4975</v>
      </c>
      <c r="Q1689" s="10">
        <f t="shared" si="149"/>
        <v>11.4975</v>
      </c>
      <c r="R1689" s="10">
        <f t="shared" si="150"/>
        <v>45.99</v>
      </c>
      <c r="S1689" s="10">
        <f t="shared" si="151"/>
        <v>57.487500000000004</v>
      </c>
      <c r="T1689" s="10">
        <f t="shared" si="152"/>
        <v>57.487500000000004</v>
      </c>
      <c r="U1689" s="8" t="str">
        <f t="shared" si="153"/>
        <v>Thu</v>
      </c>
      <c r="V1689" s="8" t="str">
        <f t="shared" si="154"/>
        <v>Thu</v>
      </c>
    </row>
    <row r="1690" spans="1:22" hidden="1" x14ac:dyDescent="0.25">
      <c r="A1690" t="s">
        <v>232</v>
      </c>
      <c r="B1690" t="s">
        <v>39</v>
      </c>
      <c r="C1690" t="s">
        <v>9</v>
      </c>
      <c r="D1690" t="s">
        <v>12</v>
      </c>
      <c r="F1690" s="5">
        <v>44161</v>
      </c>
      <c r="G1690" s="5">
        <v>44175</v>
      </c>
      <c r="H1690" s="2">
        <v>1</v>
      </c>
      <c r="I1690" s="6"/>
      <c r="J1690" s="6"/>
      <c r="K1690" s="7">
        <v>0.5</v>
      </c>
      <c r="L1690" s="7">
        <v>33</v>
      </c>
      <c r="M1690" t="s">
        <v>18</v>
      </c>
      <c r="N1690" s="16">
        <f>POWER(SQRT(WorkOrders279[[#This Row],[WorkDate]]-WorkOrders279[[#This Row],[ReqDate]]),2)</f>
        <v>14</v>
      </c>
      <c r="O1690" s="8">
        <f t="array" ref="O1690">INDEX(TechRate,MATCH(H1690,TechNum,0))</f>
        <v>80</v>
      </c>
      <c r="P1690" s="10">
        <f>WorkOrders279[[#This Row],[Techs]]*(WorkOrders279[[#This Row],[PartsCost]]*WorkOrders279[[#This Row],[LbrHrs]])</f>
        <v>16.5</v>
      </c>
      <c r="Q1690" s="10">
        <f t="shared" si="149"/>
        <v>16.5</v>
      </c>
      <c r="R1690" s="10">
        <f t="shared" si="150"/>
        <v>33</v>
      </c>
      <c r="S1690" s="10">
        <f t="shared" si="151"/>
        <v>49.5</v>
      </c>
      <c r="T1690" s="10">
        <f t="shared" si="152"/>
        <v>49.5</v>
      </c>
      <c r="U1690" s="8" t="str">
        <f t="shared" si="153"/>
        <v>Thu</v>
      </c>
      <c r="V1690" s="8" t="str">
        <f t="shared" si="154"/>
        <v>Thu</v>
      </c>
    </row>
    <row r="1691" spans="1:22" hidden="1" x14ac:dyDescent="0.25">
      <c r="A1691" t="s">
        <v>233</v>
      </c>
      <c r="B1691" t="s">
        <v>35</v>
      </c>
      <c r="C1691" t="s">
        <v>6</v>
      </c>
      <c r="D1691" t="s">
        <v>12</v>
      </c>
      <c r="F1691" s="5">
        <v>44161</v>
      </c>
      <c r="G1691" s="5">
        <v>44207</v>
      </c>
      <c r="H1691" s="2">
        <v>1</v>
      </c>
      <c r="I1691" s="6"/>
      <c r="J1691" s="6"/>
      <c r="K1691" s="7">
        <v>0.25</v>
      </c>
      <c r="L1691" s="7">
        <v>21.33</v>
      </c>
      <c r="M1691" t="s">
        <v>18</v>
      </c>
      <c r="N1691" s="16">
        <f>POWER(SQRT(WorkOrders279[[#This Row],[WorkDate]]-WorkOrders279[[#This Row],[ReqDate]]),2)</f>
        <v>46</v>
      </c>
      <c r="O1691" s="8">
        <f t="array" ref="O1691">INDEX(TechRate,MATCH(H1691,TechNum,0))</f>
        <v>80</v>
      </c>
      <c r="P1691" s="10">
        <f>WorkOrders279[[#This Row],[Techs]]*(WorkOrders279[[#This Row],[PartsCost]]*WorkOrders279[[#This Row],[LbrHrs]])</f>
        <v>5.3324999999999996</v>
      </c>
      <c r="Q1691" s="10">
        <f t="shared" si="149"/>
        <v>5.3324999999999996</v>
      </c>
      <c r="R1691" s="10">
        <f t="shared" si="150"/>
        <v>21.33</v>
      </c>
      <c r="S1691" s="10">
        <f t="shared" si="151"/>
        <v>26.662499999999998</v>
      </c>
      <c r="T1691" s="10">
        <f t="shared" si="152"/>
        <v>26.662499999999998</v>
      </c>
      <c r="U1691" s="8" t="str">
        <f t="shared" si="153"/>
        <v>Thu</v>
      </c>
      <c r="V1691" s="8" t="str">
        <f t="shared" si="154"/>
        <v>Mon</v>
      </c>
    </row>
    <row r="1692" spans="1:22" hidden="1" x14ac:dyDescent="0.25">
      <c r="A1692" t="s">
        <v>234</v>
      </c>
      <c r="B1692" t="s">
        <v>35</v>
      </c>
      <c r="C1692" t="s">
        <v>44</v>
      </c>
      <c r="D1692" t="s">
        <v>11</v>
      </c>
      <c r="E1692" t="s">
        <v>3</v>
      </c>
      <c r="F1692" s="5">
        <v>44161</v>
      </c>
      <c r="G1692" s="5">
        <v>44244</v>
      </c>
      <c r="H1692" s="2">
        <v>1</v>
      </c>
      <c r="I1692" s="6"/>
      <c r="J1692" s="6"/>
      <c r="K1692" s="7">
        <v>0.25</v>
      </c>
      <c r="L1692" s="7">
        <v>37.26</v>
      </c>
      <c r="M1692" t="s">
        <v>17</v>
      </c>
      <c r="N1692" s="16">
        <f>POWER(SQRT(WorkOrders279[[#This Row],[WorkDate]]-WorkOrders279[[#This Row],[ReqDate]]),2)</f>
        <v>83</v>
      </c>
      <c r="O1692" s="8">
        <f t="array" ref="O1692">INDEX(TechRate,MATCH(H1692,TechNum,0))</f>
        <v>80</v>
      </c>
      <c r="P1692" s="10">
        <f>WorkOrders279[[#This Row],[Techs]]*(WorkOrders279[[#This Row],[PartsCost]]*WorkOrders279[[#This Row],[LbrHrs]])</f>
        <v>9.3149999999999995</v>
      </c>
      <c r="Q1692" s="10">
        <f t="shared" si="149"/>
        <v>9.3149999999999995</v>
      </c>
      <c r="R1692" s="10">
        <f t="shared" si="150"/>
        <v>37.26</v>
      </c>
      <c r="S1692" s="10">
        <f t="shared" si="151"/>
        <v>46.574999999999996</v>
      </c>
      <c r="T1692" s="10">
        <f t="shared" si="152"/>
        <v>46.574999999999996</v>
      </c>
      <c r="U1692" s="8" t="str">
        <f t="shared" si="153"/>
        <v>Thu</v>
      </c>
      <c r="V1692" s="8" t="str">
        <f t="shared" si="154"/>
        <v>Wed</v>
      </c>
    </row>
    <row r="1693" spans="1:22" hidden="1" x14ac:dyDescent="0.25">
      <c r="A1693" t="s">
        <v>235</v>
      </c>
      <c r="B1693" t="s">
        <v>39</v>
      </c>
      <c r="C1693" t="s">
        <v>8</v>
      </c>
      <c r="D1693" t="s">
        <v>13</v>
      </c>
      <c r="F1693" s="5">
        <v>44162</v>
      </c>
      <c r="G1693" s="5">
        <v>44187</v>
      </c>
      <c r="H1693" s="2">
        <v>1</v>
      </c>
      <c r="I1693" s="6"/>
      <c r="J1693" s="6"/>
      <c r="K1693" s="7">
        <v>1</v>
      </c>
      <c r="L1693" s="7">
        <v>81.885000000000005</v>
      </c>
      <c r="M1693" t="s">
        <v>18</v>
      </c>
      <c r="N1693" s="16">
        <f>POWER(SQRT(WorkOrders279[[#This Row],[WorkDate]]-WorkOrders279[[#This Row],[ReqDate]]),2)</f>
        <v>25</v>
      </c>
      <c r="O1693" s="8">
        <f t="array" ref="O1693">INDEX(TechRate,MATCH(H1693,TechNum,0))</f>
        <v>80</v>
      </c>
      <c r="P1693" s="10">
        <f>WorkOrders279[[#This Row],[Techs]]*(WorkOrders279[[#This Row],[PartsCost]]*WorkOrders279[[#This Row],[LbrHrs]])</f>
        <v>81.885000000000005</v>
      </c>
      <c r="Q1693" s="10">
        <f t="shared" si="149"/>
        <v>81.885000000000005</v>
      </c>
      <c r="R1693" s="10">
        <f t="shared" si="150"/>
        <v>81.885000000000005</v>
      </c>
      <c r="S1693" s="10">
        <f t="shared" si="151"/>
        <v>163.77000000000001</v>
      </c>
      <c r="T1693" s="10">
        <f t="shared" si="152"/>
        <v>163.77000000000001</v>
      </c>
      <c r="U1693" s="8" t="str">
        <f t="shared" si="153"/>
        <v>Fri</v>
      </c>
      <c r="V1693" s="8" t="str">
        <f t="shared" si="154"/>
        <v>Tue</v>
      </c>
    </row>
    <row r="1694" spans="1:22" hidden="1" x14ac:dyDescent="0.25">
      <c r="A1694" t="s">
        <v>236</v>
      </c>
      <c r="B1694" t="s">
        <v>34</v>
      </c>
      <c r="C1694" t="s">
        <v>8</v>
      </c>
      <c r="D1694" t="s">
        <v>11</v>
      </c>
      <c r="E1694" t="s">
        <v>3</v>
      </c>
      <c r="F1694" s="5">
        <v>44165</v>
      </c>
      <c r="G1694" s="5">
        <v>44173</v>
      </c>
      <c r="H1694" s="2">
        <v>1</v>
      </c>
      <c r="I1694" s="6"/>
      <c r="J1694" s="6"/>
      <c r="K1694" s="7">
        <v>0.25</v>
      </c>
      <c r="L1694" s="7">
        <v>10.103199999999999</v>
      </c>
      <c r="M1694" t="s">
        <v>18</v>
      </c>
      <c r="N1694" s="16">
        <f>POWER(SQRT(WorkOrders279[[#This Row],[WorkDate]]-WorkOrders279[[#This Row],[ReqDate]]),2)</f>
        <v>8.0000000000000018</v>
      </c>
      <c r="O1694" s="8">
        <f t="array" ref="O1694">INDEX(TechRate,MATCH(H1694,TechNum,0))</f>
        <v>80</v>
      </c>
      <c r="P1694" s="10">
        <f>WorkOrders279[[#This Row],[Techs]]*(WorkOrders279[[#This Row],[PartsCost]]*WorkOrders279[[#This Row],[LbrHrs]])</f>
        <v>2.5257999999999998</v>
      </c>
      <c r="Q1694" s="10">
        <f t="shared" si="149"/>
        <v>2.5257999999999998</v>
      </c>
      <c r="R1694" s="10">
        <f t="shared" si="150"/>
        <v>10.103199999999999</v>
      </c>
      <c r="S1694" s="10">
        <f t="shared" si="151"/>
        <v>12.629</v>
      </c>
      <c r="T1694" s="10">
        <f t="shared" si="152"/>
        <v>12.629</v>
      </c>
      <c r="U1694" s="8" t="str">
        <f t="shared" si="153"/>
        <v>Mon</v>
      </c>
      <c r="V1694" s="8" t="str">
        <f t="shared" si="154"/>
        <v>Tue</v>
      </c>
    </row>
    <row r="1695" spans="1:22" hidden="1" x14ac:dyDescent="0.25">
      <c r="A1695" t="s">
        <v>237</v>
      </c>
      <c r="B1695" t="s">
        <v>39</v>
      </c>
      <c r="C1695" t="s">
        <v>8</v>
      </c>
      <c r="D1695" t="s">
        <v>11</v>
      </c>
      <c r="F1695" s="5">
        <v>44165</v>
      </c>
      <c r="G1695" s="5">
        <v>44173</v>
      </c>
      <c r="H1695" s="2">
        <v>1</v>
      </c>
      <c r="I1695" s="6"/>
      <c r="J1695" s="6"/>
      <c r="K1695" s="7">
        <v>0.25</v>
      </c>
      <c r="L1695" s="7">
        <v>17.88</v>
      </c>
      <c r="M1695" t="s">
        <v>17</v>
      </c>
      <c r="N1695" s="16">
        <f>POWER(SQRT(WorkOrders279[[#This Row],[WorkDate]]-WorkOrders279[[#This Row],[ReqDate]]),2)</f>
        <v>8.0000000000000018</v>
      </c>
      <c r="O1695" s="8">
        <f t="array" ref="O1695">INDEX(TechRate,MATCH(H1695,TechNum,0))</f>
        <v>80</v>
      </c>
      <c r="P1695" s="10">
        <f>WorkOrders279[[#This Row],[Techs]]*(WorkOrders279[[#This Row],[PartsCost]]*WorkOrders279[[#This Row],[LbrHrs]])</f>
        <v>4.47</v>
      </c>
      <c r="Q1695" s="10">
        <f t="shared" si="149"/>
        <v>4.47</v>
      </c>
      <c r="R1695" s="10">
        <f t="shared" si="150"/>
        <v>17.88</v>
      </c>
      <c r="S1695" s="10">
        <f t="shared" si="151"/>
        <v>22.349999999999998</v>
      </c>
      <c r="T1695" s="10">
        <f t="shared" si="152"/>
        <v>22.349999999999998</v>
      </c>
      <c r="U1695" s="8" t="str">
        <f t="shared" si="153"/>
        <v>Mon</v>
      </c>
      <c r="V1695" s="8" t="str">
        <f t="shared" si="154"/>
        <v>Tue</v>
      </c>
    </row>
    <row r="1696" spans="1:22" hidden="1" x14ac:dyDescent="0.25">
      <c r="A1696" t="s">
        <v>238</v>
      </c>
      <c r="B1696" t="s">
        <v>41</v>
      </c>
      <c r="C1696" t="s">
        <v>6</v>
      </c>
      <c r="D1696" t="s">
        <v>2</v>
      </c>
      <c r="F1696" s="5">
        <v>44165</v>
      </c>
      <c r="G1696" s="5">
        <v>44173</v>
      </c>
      <c r="H1696" s="2">
        <v>2</v>
      </c>
      <c r="I1696" s="6"/>
      <c r="J1696" s="6"/>
      <c r="K1696" s="7">
        <v>2.75</v>
      </c>
      <c r="L1696" s="7">
        <v>1204.6415</v>
      </c>
      <c r="M1696" t="s">
        <v>18</v>
      </c>
      <c r="N1696" s="16">
        <f>POWER(SQRT(WorkOrders279[[#This Row],[WorkDate]]-WorkOrders279[[#This Row],[ReqDate]]),2)</f>
        <v>8.0000000000000018</v>
      </c>
      <c r="O1696" s="8">
        <f t="array" ref="O1696">INDEX(TechRate,MATCH(H1696,TechNum,0))</f>
        <v>140</v>
      </c>
      <c r="P1696" s="10">
        <f>WorkOrders279[[#This Row],[Techs]]*(WorkOrders279[[#This Row],[PartsCost]]*WorkOrders279[[#This Row],[LbrHrs]])</f>
        <v>6625.5282499999994</v>
      </c>
      <c r="Q1696" s="10">
        <f t="shared" si="149"/>
        <v>6625.5282499999994</v>
      </c>
      <c r="R1696" s="10">
        <f t="shared" si="150"/>
        <v>1204.6415</v>
      </c>
      <c r="S1696" s="10">
        <f t="shared" si="151"/>
        <v>7830.1697499999991</v>
      </c>
      <c r="T1696" s="10">
        <f t="shared" si="152"/>
        <v>7830.1697499999991</v>
      </c>
      <c r="U1696" s="8" t="str">
        <f t="shared" si="153"/>
        <v>Mon</v>
      </c>
      <c r="V1696" s="8" t="str">
        <f t="shared" si="154"/>
        <v>Tue</v>
      </c>
    </row>
    <row r="1697" spans="1:22" hidden="1" x14ac:dyDescent="0.25">
      <c r="A1697" t="s">
        <v>239</v>
      </c>
      <c r="B1697" t="s">
        <v>41</v>
      </c>
      <c r="C1697" t="s">
        <v>9</v>
      </c>
      <c r="D1697" t="s">
        <v>2</v>
      </c>
      <c r="F1697" s="5">
        <v>44165</v>
      </c>
      <c r="G1697" s="5">
        <v>44182</v>
      </c>
      <c r="H1697" s="2">
        <v>2</v>
      </c>
      <c r="I1697" s="6"/>
      <c r="J1697" s="6"/>
      <c r="K1697" s="7">
        <v>3</v>
      </c>
      <c r="L1697" s="7">
        <v>111</v>
      </c>
      <c r="M1697" t="s">
        <v>18</v>
      </c>
      <c r="N1697" s="16">
        <f>POWER(SQRT(WorkOrders279[[#This Row],[WorkDate]]-WorkOrders279[[#This Row],[ReqDate]]),2)</f>
        <v>17</v>
      </c>
      <c r="O1697" s="8">
        <f t="array" ref="O1697">INDEX(TechRate,MATCH(H1697,TechNum,0))</f>
        <v>140</v>
      </c>
      <c r="P1697" s="10">
        <f>WorkOrders279[[#This Row],[Techs]]*(WorkOrders279[[#This Row],[PartsCost]]*WorkOrders279[[#This Row],[LbrHrs]])</f>
        <v>666</v>
      </c>
      <c r="Q1697" s="10">
        <f t="shared" ref="Q1697:Q1760" si="155">IF(I1697="Yes",0,P1697)</f>
        <v>666</v>
      </c>
      <c r="R1697" s="10">
        <f t="shared" ref="R1697:R1760" si="156">IF(J1697="Yes",0,L1697)</f>
        <v>111</v>
      </c>
      <c r="S1697" s="10">
        <f t="shared" ref="S1697:S1760" si="157">SUM(L1697,P1697)</f>
        <v>777</v>
      </c>
      <c r="T1697" s="10">
        <f t="shared" ref="T1697:T1760" si="158">SUM(Q1697,R1697)</f>
        <v>777</v>
      </c>
      <c r="U1697" s="8" t="str">
        <f t="shared" ref="U1697:U1760" si="159">TEXT(F1697,"ddd")</f>
        <v>Mon</v>
      </c>
      <c r="V1697" s="8" t="str">
        <f t="shared" ref="V1697:V1760" si="160">TEXT(G1697,"ddd")</f>
        <v>Thu</v>
      </c>
    </row>
    <row r="1698" spans="1:22" hidden="1" x14ac:dyDescent="0.25">
      <c r="A1698" t="s">
        <v>240</v>
      </c>
      <c r="B1698" t="s">
        <v>38</v>
      </c>
      <c r="C1698" t="s">
        <v>8</v>
      </c>
      <c r="D1698" t="s">
        <v>12</v>
      </c>
      <c r="F1698" s="5">
        <v>44165</v>
      </c>
      <c r="G1698" s="5">
        <v>44200</v>
      </c>
      <c r="H1698" s="2">
        <v>1</v>
      </c>
      <c r="I1698" s="6"/>
      <c r="J1698" s="6"/>
      <c r="K1698" s="7">
        <v>0.25</v>
      </c>
      <c r="L1698" s="7">
        <v>21.21</v>
      </c>
      <c r="M1698" t="s">
        <v>19</v>
      </c>
      <c r="N1698" s="16">
        <f>POWER(SQRT(WorkOrders279[[#This Row],[WorkDate]]-WorkOrders279[[#This Row],[ReqDate]]),2)</f>
        <v>35</v>
      </c>
      <c r="O1698" s="8">
        <f t="array" ref="O1698">INDEX(TechRate,MATCH(H1698,TechNum,0))</f>
        <v>80</v>
      </c>
      <c r="P1698" s="10">
        <f>WorkOrders279[[#This Row],[Techs]]*(WorkOrders279[[#This Row],[PartsCost]]*WorkOrders279[[#This Row],[LbrHrs]])</f>
        <v>5.3025000000000002</v>
      </c>
      <c r="Q1698" s="10">
        <f t="shared" si="155"/>
        <v>5.3025000000000002</v>
      </c>
      <c r="R1698" s="10">
        <f t="shared" si="156"/>
        <v>21.21</v>
      </c>
      <c r="S1698" s="10">
        <f t="shared" si="157"/>
        <v>26.512500000000003</v>
      </c>
      <c r="T1698" s="10">
        <f t="shared" si="158"/>
        <v>26.512500000000003</v>
      </c>
      <c r="U1698" s="8" t="str">
        <f t="shared" si="159"/>
        <v>Mon</v>
      </c>
      <c r="V1698" s="8" t="str">
        <f t="shared" si="160"/>
        <v>Mon</v>
      </c>
    </row>
    <row r="1699" spans="1:22" hidden="1" x14ac:dyDescent="0.25">
      <c r="A1699" t="s">
        <v>241</v>
      </c>
      <c r="B1699" t="s">
        <v>41</v>
      </c>
      <c r="C1699" t="s">
        <v>7</v>
      </c>
      <c r="D1699" t="s">
        <v>12</v>
      </c>
      <c r="F1699" s="5">
        <v>44165</v>
      </c>
      <c r="G1699" s="5">
        <v>44252</v>
      </c>
      <c r="H1699" s="2">
        <v>2</v>
      </c>
      <c r="I1699" s="6"/>
      <c r="J1699" s="6"/>
      <c r="K1699" s="7">
        <v>0.5</v>
      </c>
      <c r="L1699" s="7">
        <v>158.31389999999999</v>
      </c>
      <c r="M1699" t="s">
        <v>18</v>
      </c>
      <c r="N1699" s="16">
        <f>POWER(SQRT(WorkOrders279[[#This Row],[WorkDate]]-WorkOrders279[[#This Row],[ReqDate]]),2)</f>
        <v>87.000000000000014</v>
      </c>
      <c r="O1699" s="8">
        <f t="array" ref="O1699">INDEX(TechRate,MATCH(H1699,TechNum,0))</f>
        <v>140</v>
      </c>
      <c r="P1699" s="10">
        <f>WorkOrders279[[#This Row],[Techs]]*(WorkOrders279[[#This Row],[PartsCost]]*WorkOrders279[[#This Row],[LbrHrs]])</f>
        <v>158.31389999999999</v>
      </c>
      <c r="Q1699" s="10">
        <f t="shared" si="155"/>
        <v>158.31389999999999</v>
      </c>
      <c r="R1699" s="10">
        <f t="shared" si="156"/>
        <v>158.31389999999999</v>
      </c>
      <c r="S1699" s="10">
        <f t="shared" si="157"/>
        <v>316.62779999999998</v>
      </c>
      <c r="T1699" s="10">
        <f t="shared" si="158"/>
        <v>316.62779999999998</v>
      </c>
      <c r="U1699" s="8" t="str">
        <f t="shared" si="159"/>
        <v>Mon</v>
      </c>
      <c r="V1699" s="8" t="str">
        <f t="shared" si="160"/>
        <v>Thu</v>
      </c>
    </row>
    <row r="1700" spans="1:22" hidden="1" x14ac:dyDescent="0.25">
      <c r="A1700" t="s">
        <v>242</v>
      </c>
      <c r="B1700" t="s">
        <v>39</v>
      </c>
      <c r="C1700" t="s">
        <v>9</v>
      </c>
      <c r="D1700" t="s">
        <v>12</v>
      </c>
      <c r="F1700" s="5">
        <v>44166</v>
      </c>
      <c r="G1700" s="5">
        <v>44207</v>
      </c>
      <c r="H1700" s="2">
        <v>1</v>
      </c>
      <c r="I1700" s="6"/>
      <c r="J1700" s="6"/>
      <c r="K1700" s="7">
        <v>0.5</v>
      </c>
      <c r="L1700" s="7">
        <v>36.754399999999997</v>
      </c>
      <c r="M1700" t="s">
        <v>18</v>
      </c>
      <c r="N1700" s="16">
        <f>POWER(SQRT(WorkOrders279[[#This Row],[WorkDate]]-WorkOrders279[[#This Row],[ReqDate]]),2)</f>
        <v>41</v>
      </c>
      <c r="O1700" s="8">
        <f t="array" ref="O1700">INDEX(TechRate,MATCH(H1700,TechNum,0))</f>
        <v>80</v>
      </c>
      <c r="P1700" s="10">
        <f>WorkOrders279[[#This Row],[Techs]]*(WorkOrders279[[#This Row],[PartsCost]]*WorkOrders279[[#This Row],[LbrHrs]])</f>
        <v>18.377199999999998</v>
      </c>
      <c r="Q1700" s="10">
        <f t="shared" si="155"/>
        <v>18.377199999999998</v>
      </c>
      <c r="R1700" s="10">
        <f t="shared" si="156"/>
        <v>36.754399999999997</v>
      </c>
      <c r="S1700" s="10">
        <f t="shared" si="157"/>
        <v>55.131599999999992</v>
      </c>
      <c r="T1700" s="10">
        <f t="shared" si="158"/>
        <v>55.131599999999992</v>
      </c>
      <c r="U1700" s="8" t="str">
        <f t="shared" si="159"/>
        <v>Tue</v>
      </c>
      <c r="V1700" s="8" t="str">
        <f t="shared" si="160"/>
        <v>Mon</v>
      </c>
    </row>
    <row r="1701" spans="1:22" hidden="1" x14ac:dyDescent="0.25">
      <c r="A1701" t="s">
        <v>243</v>
      </c>
      <c r="B1701" t="s">
        <v>36</v>
      </c>
      <c r="C1701" t="s">
        <v>7</v>
      </c>
      <c r="D1701" t="s">
        <v>13</v>
      </c>
      <c r="F1701" s="5">
        <v>44166</v>
      </c>
      <c r="G1701" s="5">
        <v>44320</v>
      </c>
      <c r="H1701" s="2">
        <v>2</v>
      </c>
      <c r="I1701" s="6"/>
      <c r="J1701" s="6"/>
      <c r="K1701" s="7">
        <v>0.5</v>
      </c>
      <c r="L1701" s="7">
        <v>242.07</v>
      </c>
      <c r="M1701" t="s">
        <v>18</v>
      </c>
      <c r="N1701" s="16">
        <f>POWER(SQRT(WorkOrders279[[#This Row],[WorkDate]]-WorkOrders279[[#This Row],[ReqDate]]),2)</f>
        <v>154</v>
      </c>
      <c r="O1701" s="8">
        <f t="array" ref="O1701">INDEX(TechRate,MATCH(H1701,TechNum,0))</f>
        <v>140</v>
      </c>
      <c r="P1701" s="10">
        <f>WorkOrders279[[#This Row],[Techs]]*(WorkOrders279[[#This Row],[PartsCost]]*WorkOrders279[[#This Row],[LbrHrs]])</f>
        <v>242.07</v>
      </c>
      <c r="Q1701" s="10">
        <f t="shared" si="155"/>
        <v>242.07</v>
      </c>
      <c r="R1701" s="10">
        <f t="shared" si="156"/>
        <v>242.07</v>
      </c>
      <c r="S1701" s="10">
        <f t="shared" si="157"/>
        <v>484.14</v>
      </c>
      <c r="T1701" s="10">
        <f t="shared" si="158"/>
        <v>484.14</v>
      </c>
      <c r="U1701" s="8" t="str">
        <f t="shared" si="159"/>
        <v>Tue</v>
      </c>
      <c r="V1701" s="8" t="str">
        <f t="shared" si="160"/>
        <v>Tue</v>
      </c>
    </row>
    <row r="1702" spans="1:22" hidden="1" x14ac:dyDescent="0.25">
      <c r="A1702" t="s">
        <v>244</v>
      </c>
      <c r="B1702" t="s">
        <v>35</v>
      </c>
      <c r="C1702" t="s">
        <v>8</v>
      </c>
      <c r="D1702" t="s">
        <v>12</v>
      </c>
      <c r="F1702" s="5">
        <v>44167</v>
      </c>
      <c r="G1702" s="5">
        <v>44182</v>
      </c>
      <c r="H1702" s="2">
        <v>1</v>
      </c>
      <c r="I1702" s="6"/>
      <c r="J1702" s="6"/>
      <c r="K1702" s="7">
        <v>0.5</v>
      </c>
      <c r="L1702" s="7">
        <v>30</v>
      </c>
      <c r="M1702" t="s">
        <v>18</v>
      </c>
      <c r="N1702" s="16">
        <f>POWER(SQRT(WorkOrders279[[#This Row],[WorkDate]]-WorkOrders279[[#This Row],[ReqDate]]),2)</f>
        <v>15.000000000000002</v>
      </c>
      <c r="O1702" s="8">
        <f t="array" ref="O1702">INDEX(TechRate,MATCH(H1702,TechNum,0))</f>
        <v>80</v>
      </c>
      <c r="P1702" s="10">
        <f>WorkOrders279[[#This Row],[Techs]]*(WorkOrders279[[#This Row],[PartsCost]]*WorkOrders279[[#This Row],[LbrHrs]])</f>
        <v>15</v>
      </c>
      <c r="Q1702" s="10">
        <f t="shared" si="155"/>
        <v>15</v>
      </c>
      <c r="R1702" s="10">
        <f t="shared" si="156"/>
        <v>30</v>
      </c>
      <c r="S1702" s="10">
        <f t="shared" si="157"/>
        <v>45</v>
      </c>
      <c r="T1702" s="10">
        <f t="shared" si="158"/>
        <v>45</v>
      </c>
      <c r="U1702" s="8" t="str">
        <f t="shared" si="159"/>
        <v>Wed</v>
      </c>
      <c r="V1702" s="8" t="str">
        <f t="shared" si="160"/>
        <v>Thu</v>
      </c>
    </row>
    <row r="1703" spans="1:22" hidden="1" x14ac:dyDescent="0.25">
      <c r="A1703" t="s">
        <v>245</v>
      </c>
      <c r="B1703" t="s">
        <v>35</v>
      </c>
      <c r="C1703" t="s">
        <v>8</v>
      </c>
      <c r="D1703" t="s">
        <v>12</v>
      </c>
      <c r="E1703" t="s">
        <v>3</v>
      </c>
      <c r="F1703" s="5">
        <v>44167</v>
      </c>
      <c r="G1703" s="5">
        <v>44180</v>
      </c>
      <c r="H1703" s="2">
        <v>1</v>
      </c>
      <c r="I1703" s="6"/>
      <c r="J1703" s="6"/>
      <c r="K1703" s="7">
        <v>0.5</v>
      </c>
      <c r="L1703" s="7">
        <v>52.8994</v>
      </c>
      <c r="M1703" t="s">
        <v>18</v>
      </c>
      <c r="N1703" s="16">
        <f>POWER(SQRT(WorkOrders279[[#This Row],[WorkDate]]-WorkOrders279[[#This Row],[ReqDate]]),2)</f>
        <v>12.999999999999998</v>
      </c>
      <c r="O1703" s="8">
        <f t="array" ref="O1703">INDEX(TechRate,MATCH(H1703,TechNum,0))</f>
        <v>80</v>
      </c>
      <c r="P1703" s="10">
        <f>WorkOrders279[[#This Row],[Techs]]*(WorkOrders279[[#This Row],[PartsCost]]*WorkOrders279[[#This Row],[LbrHrs]])</f>
        <v>26.4497</v>
      </c>
      <c r="Q1703" s="10">
        <f t="shared" si="155"/>
        <v>26.4497</v>
      </c>
      <c r="R1703" s="10">
        <f t="shared" si="156"/>
        <v>52.8994</v>
      </c>
      <c r="S1703" s="10">
        <f t="shared" si="157"/>
        <v>79.349099999999993</v>
      </c>
      <c r="T1703" s="10">
        <f t="shared" si="158"/>
        <v>79.349099999999993</v>
      </c>
      <c r="U1703" s="8" t="str">
        <f t="shared" si="159"/>
        <v>Wed</v>
      </c>
      <c r="V1703" s="8" t="str">
        <f t="shared" si="160"/>
        <v>Tue</v>
      </c>
    </row>
    <row r="1704" spans="1:22" hidden="1" x14ac:dyDescent="0.25">
      <c r="A1704" t="s">
        <v>246</v>
      </c>
      <c r="B1704" t="s">
        <v>35</v>
      </c>
      <c r="C1704" t="s">
        <v>44</v>
      </c>
      <c r="D1704" t="s">
        <v>11</v>
      </c>
      <c r="E1704" t="s">
        <v>3</v>
      </c>
      <c r="F1704" s="5">
        <v>44167</v>
      </c>
      <c r="G1704" s="5">
        <v>44182</v>
      </c>
      <c r="H1704" s="2">
        <v>1</v>
      </c>
      <c r="I1704" s="6"/>
      <c r="J1704" s="6"/>
      <c r="K1704" s="7">
        <v>0.25</v>
      </c>
      <c r="L1704" s="7">
        <v>36.754399999999997</v>
      </c>
      <c r="M1704" t="s">
        <v>17</v>
      </c>
      <c r="N1704" s="16">
        <f>POWER(SQRT(WorkOrders279[[#This Row],[WorkDate]]-WorkOrders279[[#This Row],[ReqDate]]),2)</f>
        <v>15.000000000000002</v>
      </c>
      <c r="O1704" s="8">
        <f t="array" ref="O1704">INDEX(TechRate,MATCH(H1704,TechNum,0))</f>
        <v>80</v>
      </c>
      <c r="P1704" s="10">
        <f>WorkOrders279[[#This Row],[Techs]]*(WorkOrders279[[#This Row],[PartsCost]]*WorkOrders279[[#This Row],[LbrHrs]])</f>
        <v>9.1885999999999992</v>
      </c>
      <c r="Q1704" s="10">
        <f t="shared" si="155"/>
        <v>9.1885999999999992</v>
      </c>
      <c r="R1704" s="10">
        <f t="shared" si="156"/>
        <v>36.754399999999997</v>
      </c>
      <c r="S1704" s="10">
        <f t="shared" si="157"/>
        <v>45.942999999999998</v>
      </c>
      <c r="T1704" s="10">
        <f t="shared" si="158"/>
        <v>45.942999999999998</v>
      </c>
      <c r="U1704" s="8" t="str">
        <f t="shared" si="159"/>
        <v>Wed</v>
      </c>
      <c r="V1704" s="8" t="str">
        <f t="shared" si="160"/>
        <v>Thu</v>
      </c>
    </row>
    <row r="1705" spans="1:22" hidden="1" x14ac:dyDescent="0.25">
      <c r="A1705" t="s">
        <v>247</v>
      </c>
      <c r="B1705" t="s">
        <v>39</v>
      </c>
      <c r="C1705" t="s">
        <v>6</v>
      </c>
      <c r="D1705" t="s">
        <v>11</v>
      </c>
      <c r="F1705" s="5">
        <v>44167</v>
      </c>
      <c r="G1705" s="5">
        <v>44203</v>
      </c>
      <c r="H1705" s="2">
        <v>1</v>
      </c>
      <c r="I1705" s="6"/>
      <c r="J1705" s="6"/>
      <c r="K1705" s="7">
        <v>0.25</v>
      </c>
      <c r="L1705" s="7">
        <v>45.237400000000001</v>
      </c>
      <c r="M1705" t="s">
        <v>18</v>
      </c>
      <c r="N1705" s="16">
        <f>POWER(SQRT(WorkOrders279[[#This Row],[WorkDate]]-WorkOrders279[[#This Row],[ReqDate]]),2)</f>
        <v>36</v>
      </c>
      <c r="O1705" s="8">
        <f t="array" ref="O1705">INDEX(TechRate,MATCH(H1705,TechNum,0))</f>
        <v>80</v>
      </c>
      <c r="P1705" s="10">
        <f>WorkOrders279[[#This Row],[Techs]]*(WorkOrders279[[#This Row],[PartsCost]]*WorkOrders279[[#This Row],[LbrHrs]])</f>
        <v>11.30935</v>
      </c>
      <c r="Q1705" s="10">
        <f t="shared" si="155"/>
        <v>11.30935</v>
      </c>
      <c r="R1705" s="10">
        <f t="shared" si="156"/>
        <v>45.237400000000001</v>
      </c>
      <c r="S1705" s="10">
        <f t="shared" si="157"/>
        <v>56.546750000000003</v>
      </c>
      <c r="T1705" s="10">
        <f t="shared" si="158"/>
        <v>56.546750000000003</v>
      </c>
      <c r="U1705" s="8" t="str">
        <f t="shared" si="159"/>
        <v>Wed</v>
      </c>
      <c r="V1705" s="8" t="str">
        <f t="shared" si="160"/>
        <v>Thu</v>
      </c>
    </row>
    <row r="1706" spans="1:22" hidden="1" x14ac:dyDescent="0.25">
      <c r="A1706" t="s">
        <v>248</v>
      </c>
      <c r="B1706" t="s">
        <v>35</v>
      </c>
      <c r="C1706" t="s">
        <v>44</v>
      </c>
      <c r="D1706" t="s">
        <v>13</v>
      </c>
      <c r="E1706" t="s">
        <v>3</v>
      </c>
      <c r="F1706" s="5">
        <v>44167</v>
      </c>
      <c r="G1706" s="5">
        <v>44223</v>
      </c>
      <c r="H1706" s="2">
        <v>1</v>
      </c>
      <c r="I1706" s="6"/>
      <c r="J1706" s="6"/>
      <c r="K1706" s="7">
        <v>0.75</v>
      </c>
      <c r="L1706" s="7">
        <v>42.66</v>
      </c>
      <c r="M1706" t="s">
        <v>17</v>
      </c>
      <c r="N1706" s="16">
        <f>POWER(SQRT(WorkOrders279[[#This Row],[WorkDate]]-WorkOrders279[[#This Row],[ReqDate]]),2)</f>
        <v>56</v>
      </c>
      <c r="O1706" s="8">
        <f t="array" ref="O1706">INDEX(TechRate,MATCH(H1706,TechNum,0))</f>
        <v>80</v>
      </c>
      <c r="P1706" s="10">
        <f>WorkOrders279[[#This Row],[Techs]]*(WorkOrders279[[#This Row],[PartsCost]]*WorkOrders279[[#This Row],[LbrHrs]])</f>
        <v>31.994999999999997</v>
      </c>
      <c r="Q1706" s="10">
        <f t="shared" si="155"/>
        <v>31.994999999999997</v>
      </c>
      <c r="R1706" s="10">
        <f t="shared" si="156"/>
        <v>42.66</v>
      </c>
      <c r="S1706" s="10">
        <f t="shared" si="157"/>
        <v>74.655000000000001</v>
      </c>
      <c r="T1706" s="10">
        <f t="shared" si="158"/>
        <v>74.655000000000001</v>
      </c>
      <c r="U1706" s="8" t="str">
        <f t="shared" si="159"/>
        <v>Wed</v>
      </c>
      <c r="V1706" s="8" t="str">
        <f t="shared" si="160"/>
        <v>Wed</v>
      </c>
    </row>
    <row r="1707" spans="1:22" hidden="1" x14ac:dyDescent="0.25">
      <c r="A1707" t="s">
        <v>249</v>
      </c>
      <c r="B1707" t="s">
        <v>36</v>
      </c>
      <c r="C1707" t="s">
        <v>7</v>
      </c>
      <c r="D1707" t="s">
        <v>13</v>
      </c>
      <c r="F1707" s="5">
        <v>44167</v>
      </c>
      <c r="G1707" s="5">
        <v>44242</v>
      </c>
      <c r="H1707" s="2">
        <v>2</v>
      </c>
      <c r="I1707" s="6"/>
      <c r="J1707" s="6"/>
      <c r="K1707" s="7">
        <v>1</v>
      </c>
      <c r="L1707" s="7">
        <v>226</v>
      </c>
      <c r="M1707" t="s">
        <v>17</v>
      </c>
      <c r="N1707" s="16">
        <f>POWER(SQRT(WorkOrders279[[#This Row],[WorkDate]]-WorkOrders279[[#This Row],[ReqDate]]),2)</f>
        <v>75.000000000000014</v>
      </c>
      <c r="O1707" s="8">
        <f t="array" ref="O1707">INDEX(TechRate,MATCH(H1707,TechNum,0))</f>
        <v>140</v>
      </c>
      <c r="P1707" s="10">
        <f>WorkOrders279[[#This Row],[Techs]]*(WorkOrders279[[#This Row],[PartsCost]]*WorkOrders279[[#This Row],[LbrHrs]])</f>
        <v>452</v>
      </c>
      <c r="Q1707" s="10">
        <f t="shared" si="155"/>
        <v>452</v>
      </c>
      <c r="R1707" s="10">
        <f t="shared" si="156"/>
        <v>226</v>
      </c>
      <c r="S1707" s="10">
        <f t="shared" si="157"/>
        <v>678</v>
      </c>
      <c r="T1707" s="10">
        <f t="shared" si="158"/>
        <v>678</v>
      </c>
      <c r="U1707" s="8" t="str">
        <f t="shared" si="159"/>
        <v>Wed</v>
      </c>
      <c r="V1707" s="8" t="str">
        <f t="shared" si="160"/>
        <v>Mon</v>
      </c>
    </row>
    <row r="1708" spans="1:22" hidden="1" x14ac:dyDescent="0.25">
      <c r="A1708" t="s">
        <v>250</v>
      </c>
      <c r="B1708" t="s">
        <v>37</v>
      </c>
      <c r="C1708" t="s">
        <v>6</v>
      </c>
      <c r="D1708" t="s">
        <v>12</v>
      </c>
      <c r="F1708" s="5">
        <v>44168</v>
      </c>
      <c r="G1708" s="5">
        <v>44202</v>
      </c>
      <c r="H1708" s="2">
        <v>2</v>
      </c>
      <c r="I1708" s="6"/>
      <c r="J1708" s="6"/>
      <c r="K1708" s="7">
        <v>0.5</v>
      </c>
      <c r="L1708" s="7">
        <v>45.237400000000001</v>
      </c>
      <c r="M1708" t="s">
        <v>17</v>
      </c>
      <c r="N1708" s="16">
        <f>POWER(SQRT(WorkOrders279[[#This Row],[WorkDate]]-WorkOrders279[[#This Row],[ReqDate]]),2)</f>
        <v>34</v>
      </c>
      <c r="O1708" s="8">
        <f t="array" ref="O1708">INDEX(TechRate,MATCH(H1708,TechNum,0))</f>
        <v>140</v>
      </c>
      <c r="P1708" s="10">
        <f>WorkOrders279[[#This Row],[Techs]]*(WorkOrders279[[#This Row],[PartsCost]]*WorkOrders279[[#This Row],[LbrHrs]])</f>
        <v>45.237400000000001</v>
      </c>
      <c r="Q1708" s="10">
        <f t="shared" si="155"/>
        <v>45.237400000000001</v>
      </c>
      <c r="R1708" s="10">
        <f t="shared" si="156"/>
        <v>45.237400000000001</v>
      </c>
      <c r="S1708" s="10">
        <f t="shared" si="157"/>
        <v>90.474800000000002</v>
      </c>
      <c r="T1708" s="10">
        <f t="shared" si="158"/>
        <v>90.474800000000002</v>
      </c>
      <c r="U1708" s="8" t="str">
        <f t="shared" si="159"/>
        <v>Thu</v>
      </c>
      <c r="V1708" s="8" t="str">
        <f t="shared" si="160"/>
        <v>Wed</v>
      </c>
    </row>
    <row r="1709" spans="1:22" hidden="1" x14ac:dyDescent="0.25">
      <c r="A1709" t="s">
        <v>251</v>
      </c>
      <c r="B1709" t="s">
        <v>35</v>
      </c>
      <c r="C1709" t="s">
        <v>9</v>
      </c>
      <c r="D1709" t="s">
        <v>11</v>
      </c>
      <c r="E1709" t="s">
        <v>3</v>
      </c>
      <c r="F1709" s="5">
        <v>44168</v>
      </c>
      <c r="G1709" s="5">
        <v>44221</v>
      </c>
      <c r="H1709" s="2">
        <v>1</v>
      </c>
      <c r="I1709" s="6"/>
      <c r="J1709" s="6"/>
      <c r="K1709" s="7">
        <v>0.25</v>
      </c>
      <c r="L1709" s="7">
        <v>36.972099999999998</v>
      </c>
      <c r="M1709" t="s">
        <v>18</v>
      </c>
      <c r="N1709" s="16">
        <f>POWER(SQRT(WorkOrders279[[#This Row],[WorkDate]]-WorkOrders279[[#This Row],[ReqDate]]),2)</f>
        <v>53</v>
      </c>
      <c r="O1709" s="8">
        <f t="array" ref="O1709">INDEX(TechRate,MATCH(H1709,TechNum,0))</f>
        <v>80</v>
      </c>
      <c r="P1709" s="10">
        <f>WorkOrders279[[#This Row],[Techs]]*(WorkOrders279[[#This Row],[PartsCost]]*WorkOrders279[[#This Row],[LbrHrs]])</f>
        <v>9.2430249999999994</v>
      </c>
      <c r="Q1709" s="10">
        <f t="shared" si="155"/>
        <v>9.2430249999999994</v>
      </c>
      <c r="R1709" s="10">
        <f t="shared" si="156"/>
        <v>36.972099999999998</v>
      </c>
      <c r="S1709" s="10">
        <f t="shared" si="157"/>
        <v>46.215125</v>
      </c>
      <c r="T1709" s="10">
        <f t="shared" si="158"/>
        <v>46.215125</v>
      </c>
      <c r="U1709" s="8" t="str">
        <f t="shared" si="159"/>
        <v>Thu</v>
      </c>
      <c r="V1709" s="8" t="str">
        <f t="shared" si="160"/>
        <v>Mon</v>
      </c>
    </row>
    <row r="1710" spans="1:22" hidden="1" x14ac:dyDescent="0.25">
      <c r="A1710" t="s">
        <v>252</v>
      </c>
      <c r="B1710" t="s">
        <v>37</v>
      </c>
      <c r="C1710" t="s">
        <v>43</v>
      </c>
      <c r="D1710" t="s">
        <v>12</v>
      </c>
      <c r="F1710" s="5">
        <v>44170</v>
      </c>
      <c r="G1710" s="5">
        <v>44188</v>
      </c>
      <c r="H1710" s="2">
        <v>1</v>
      </c>
      <c r="I1710" s="6"/>
      <c r="J1710" s="6"/>
      <c r="K1710" s="7">
        <v>0.5</v>
      </c>
      <c r="L1710" s="7">
        <v>138.5667</v>
      </c>
      <c r="M1710" t="s">
        <v>17</v>
      </c>
      <c r="N1710" s="16">
        <f>POWER(SQRT(WorkOrders279[[#This Row],[WorkDate]]-WorkOrders279[[#This Row],[ReqDate]]),2)</f>
        <v>17.999999999999996</v>
      </c>
      <c r="O1710" s="8">
        <f t="array" ref="O1710">INDEX(TechRate,MATCH(H1710,TechNum,0))</f>
        <v>80</v>
      </c>
      <c r="P1710" s="10">
        <f>WorkOrders279[[#This Row],[Techs]]*(WorkOrders279[[#This Row],[PartsCost]]*WorkOrders279[[#This Row],[LbrHrs]])</f>
        <v>69.283349999999999</v>
      </c>
      <c r="Q1710" s="10">
        <f t="shared" si="155"/>
        <v>69.283349999999999</v>
      </c>
      <c r="R1710" s="10">
        <f t="shared" si="156"/>
        <v>138.5667</v>
      </c>
      <c r="S1710" s="10">
        <f t="shared" si="157"/>
        <v>207.85005000000001</v>
      </c>
      <c r="T1710" s="10">
        <f t="shared" si="158"/>
        <v>207.85005000000001</v>
      </c>
      <c r="U1710" s="8" t="str">
        <f t="shared" si="159"/>
        <v>Sat</v>
      </c>
      <c r="V1710" s="8" t="str">
        <f t="shared" si="160"/>
        <v>Wed</v>
      </c>
    </row>
    <row r="1711" spans="1:22" hidden="1" x14ac:dyDescent="0.25">
      <c r="A1711" t="s">
        <v>253</v>
      </c>
      <c r="B1711" t="s">
        <v>37</v>
      </c>
      <c r="C1711" t="s">
        <v>43</v>
      </c>
      <c r="D1711" t="s">
        <v>11</v>
      </c>
      <c r="F1711" s="5">
        <v>44170</v>
      </c>
      <c r="G1711" s="5">
        <v>44202</v>
      </c>
      <c r="H1711" s="2">
        <v>1</v>
      </c>
      <c r="I1711" s="6"/>
      <c r="J1711" s="6"/>
      <c r="K1711" s="7">
        <v>0.25</v>
      </c>
      <c r="L1711" s="7">
        <v>126.5641</v>
      </c>
      <c r="M1711" t="s">
        <v>17</v>
      </c>
      <c r="N1711" s="16">
        <f>POWER(SQRT(WorkOrders279[[#This Row],[WorkDate]]-WorkOrders279[[#This Row],[ReqDate]]),2)</f>
        <v>32.000000000000007</v>
      </c>
      <c r="O1711" s="8">
        <f t="array" ref="O1711">INDEX(TechRate,MATCH(H1711,TechNum,0))</f>
        <v>80</v>
      </c>
      <c r="P1711" s="10">
        <f>WorkOrders279[[#This Row],[Techs]]*(WorkOrders279[[#This Row],[PartsCost]]*WorkOrders279[[#This Row],[LbrHrs]])</f>
        <v>31.641024999999999</v>
      </c>
      <c r="Q1711" s="10">
        <f t="shared" si="155"/>
        <v>31.641024999999999</v>
      </c>
      <c r="R1711" s="10">
        <f t="shared" si="156"/>
        <v>126.5641</v>
      </c>
      <c r="S1711" s="10">
        <f t="shared" si="157"/>
        <v>158.20512500000001</v>
      </c>
      <c r="T1711" s="10">
        <f t="shared" si="158"/>
        <v>158.20512500000001</v>
      </c>
      <c r="U1711" s="8" t="str">
        <f t="shared" si="159"/>
        <v>Sat</v>
      </c>
      <c r="V1711" s="8" t="str">
        <f t="shared" si="160"/>
        <v>Wed</v>
      </c>
    </row>
    <row r="1712" spans="1:22" hidden="1" x14ac:dyDescent="0.25">
      <c r="A1712" t="s">
        <v>254</v>
      </c>
      <c r="B1712" t="s">
        <v>38</v>
      </c>
      <c r="C1712" t="s">
        <v>9</v>
      </c>
      <c r="D1712" t="s">
        <v>1</v>
      </c>
      <c r="F1712" s="5">
        <v>44172</v>
      </c>
      <c r="G1712" s="5">
        <v>44201</v>
      </c>
      <c r="H1712" s="2">
        <v>2</v>
      </c>
      <c r="I1712" s="6"/>
      <c r="J1712" s="6"/>
      <c r="K1712" s="7">
        <v>1</v>
      </c>
      <c r="L1712" s="7">
        <v>51.45</v>
      </c>
      <c r="M1712" t="s">
        <v>19</v>
      </c>
      <c r="N1712" s="16">
        <f>POWER(SQRT(WorkOrders279[[#This Row],[WorkDate]]-WorkOrders279[[#This Row],[ReqDate]]),2)</f>
        <v>28.999999999999996</v>
      </c>
      <c r="O1712" s="8">
        <f t="array" ref="O1712">INDEX(TechRate,MATCH(H1712,TechNum,0))</f>
        <v>140</v>
      </c>
      <c r="P1712" s="10">
        <f>WorkOrders279[[#This Row],[Techs]]*(WorkOrders279[[#This Row],[PartsCost]]*WorkOrders279[[#This Row],[LbrHrs]])</f>
        <v>102.9</v>
      </c>
      <c r="Q1712" s="10">
        <f t="shared" si="155"/>
        <v>102.9</v>
      </c>
      <c r="R1712" s="10">
        <f t="shared" si="156"/>
        <v>51.45</v>
      </c>
      <c r="S1712" s="10">
        <f t="shared" si="157"/>
        <v>154.35000000000002</v>
      </c>
      <c r="T1712" s="10">
        <f t="shared" si="158"/>
        <v>154.35000000000002</v>
      </c>
      <c r="U1712" s="8" t="str">
        <f t="shared" si="159"/>
        <v>Mon</v>
      </c>
      <c r="V1712" s="8" t="str">
        <f t="shared" si="160"/>
        <v>Tue</v>
      </c>
    </row>
    <row r="1713" spans="1:22" hidden="1" x14ac:dyDescent="0.25">
      <c r="A1713" t="s">
        <v>255</v>
      </c>
      <c r="B1713" t="s">
        <v>37</v>
      </c>
      <c r="C1713" t="s">
        <v>43</v>
      </c>
      <c r="D1713" t="s">
        <v>11</v>
      </c>
      <c r="F1713" s="5">
        <v>44172</v>
      </c>
      <c r="G1713" s="5">
        <v>44203</v>
      </c>
      <c r="H1713" s="2">
        <v>1</v>
      </c>
      <c r="I1713" s="6"/>
      <c r="J1713" s="6"/>
      <c r="K1713" s="7">
        <v>0.25</v>
      </c>
      <c r="L1713" s="7">
        <v>227.93719999999999</v>
      </c>
      <c r="M1713" t="s">
        <v>17</v>
      </c>
      <c r="N1713" s="16">
        <f>POWER(SQRT(WorkOrders279[[#This Row],[WorkDate]]-WorkOrders279[[#This Row],[ReqDate]]),2)</f>
        <v>30.999999999999996</v>
      </c>
      <c r="O1713" s="8">
        <f t="array" ref="O1713">INDEX(TechRate,MATCH(H1713,TechNum,0))</f>
        <v>80</v>
      </c>
      <c r="P1713" s="10">
        <f>WorkOrders279[[#This Row],[Techs]]*(WorkOrders279[[#This Row],[PartsCost]]*WorkOrders279[[#This Row],[LbrHrs]])</f>
        <v>56.984299999999998</v>
      </c>
      <c r="Q1713" s="10">
        <f t="shared" si="155"/>
        <v>56.984299999999998</v>
      </c>
      <c r="R1713" s="10">
        <f t="shared" si="156"/>
        <v>227.93719999999999</v>
      </c>
      <c r="S1713" s="10">
        <f t="shared" si="157"/>
        <v>284.92149999999998</v>
      </c>
      <c r="T1713" s="10">
        <f t="shared" si="158"/>
        <v>284.92149999999998</v>
      </c>
      <c r="U1713" s="8" t="str">
        <f t="shared" si="159"/>
        <v>Mon</v>
      </c>
      <c r="V1713" s="8" t="str">
        <f t="shared" si="160"/>
        <v>Thu</v>
      </c>
    </row>
    <row r="1714" spans="1:22" hidden="1" x14ac:dyDescent="0.25">
      <c r="A1714" t="s">
        <v>256</v>
      </c>
      <c r="B1714" t="s">
        <v>35</v>
      </c>
      <c r="C1714" t="s">
        <v>6</v>
      </c>
      <c r="D1714" t="s">
        <v>13</v>
      </c>
      <c r="F1714" s="5">
        <v>44172</v>
      </c>
      <c r="G1714" s="5">
        <v>44207</v>
      </c>
      <c r="H1714" s="2">
        <v>1</v>
      </c>
      <c r="I1714" s="6"/>
      <c r="J1714" s="6"/>
      <c r="K1714" s="7">
        <v>0.5</v>
      </c>
      <c r="L1714" s="7">
        <v>367.71109999999999</v>
      </c>
      <c r="M1714" t="s">
        <v>19</v>
      </c>
      <c r="N1714" s="16">
        <f>POWER(SQRT(WorkOrders279[[#This Row],[WorkDate]]-WorkOrders279[[#This Row],[ReqDate]]),2)</f>
        <v>35</v>
      </c>
      <c r="O1714" s="8">
        <f t="array" ref="O1714">INDEX(TechRate,MATCH(H1714,TechNum,0))</f>
        <v>80</v>
      </c>
      <c r="P1714" s="10">
        <f>WorkOrders279[[#This Row],[Techs]]*(WorkOrders279[[#This Row],[PartsCost]]*WorkOrders279[[#This Row],[LbrHrs]])</f>
        <v>183.85554999999999</v>
      </c>
      <c r="Q1714" s="10">
        <f t="shared" si="155"/>
        <v>183.85554999999999</v>
      </c>
      <c r="R1714" s="10">
        <f t="shared" si="156"/>
        <v>367.71109999999999</v>
      </c>
      <c r="S1714" s="10">
        <f t="shared" si="157"/>
        <v>551.56664999999998</v>
      </c>
      <c r="T1714" s="10">
        <f t="shared" si="158"/>
        <v>551.56664999999998</v>
      </c>
      <c r="U1714" s="8" t="str">
        <f t="shared" si="159"/>
        <v>Mon</v>
      </c>
      <c r="V1714" s="8" t="str">
        <f t="shared" si="160"/>
        <v>Mon</v>
      </c>
    </row>
    <row r="1715" spans="1:22" hidden="1" x14ac:dyDescent="0.25">
      <c r="A1715" t="s">
        <v>257</v>
      </c>
      <c r="B1715" t="s">
        <v>36</v>
      </c>
      <c r="C1715" t="s">
        <v>8</v>
      </c>
      <c r="D1715" t="s">
        <v>13</v>
      </c>
      <c r="F1715" s="5">
        <v>44172</v>
      </c>
      <c r="G1715" s="5">
        <v>44208</v>
      </c>
      <c r="H1715" s="2">
        <v>2</v>
      </c>
      <c r="I1715" s="6"/>
      <c r="J1715" s="6"/>
      <c r="K1715" s="7">
        <v>1.25</v>
      </c>
      <c r="L1715" s="7">
        <v>637.53</v>
      </c>
      <c r="M1715" t="s">
        <v>17</v>
      </c>
      <c r="N1715" s="16">
        <f>POWER(SQRT(WorkOrders279[[#This Row],[WorkDate]]-WorkOrders279[[#This Row],[ReqDate]]),2)</f>
        <v>36</v>
      </c>
      <c r="O1715" s="8">
        <f t="array" ref="O1715">INDEX(TechRate,MATCH(H1715,TechNum,0))</f>
        <v>140</v>
      </c>
      <c r="P1715" s="10">
        <f>WorkOrders279[[#This Row],[Techs]]*(WorkOrders279[[#This Row],[PartsCost]]*WorkOrders279[[#This Row],[LbrHrs]])</f>
        <v>1593.8249999999998</v>
      </c>
      <c r="Q1715" s="10">
        <f t="shared" si="155"/>
        <v>1593.8249999999998</v>
      </c>
      <c r="R1715" s="10">
        <f t="shared" si="156"/>
        <v>637.53</v>
      </c>
      <c r="S1715" s="10">
        <f t="shared" si="157"/>
        <v>2231.3549999999996</v>
      </c>
      <c r="T1715" s="10">
        <f t="shared" si="158"/>
        <v>2231.3549999999996</v>
      </c>
      <c r="U1715" s="8" t="str">
        <f t="shared" si="159"/>
        <v>Mon</v>
      </c>
      <c r="V1715" s="8" t="str">
        <f t="shared" si="160"/>
        <v>Tue</v>
      </c>
    </row>
    <row r="1716" spans="1:22" hidden="1" x14ac:dyDescent="0.25">
      <c r="A1716" t="s">
        <v>258</v>
      </c>
      <c r="B1716" t="s">
        <v>34</v>
      </c>
      <c r="C1716" t="s">
        <v>8</v>
      </c>
      <c r="D1716" t="s">
        <v>13</v>
      </c>
      <c r="F1716" s="5">
        <v>44173</v>
      </c>
      <c r="G1716" s="5">
        <v>44180</v>
      </c>
      <c r="H1716" s="2">
        <v>2</v>
      </c>
      <c r="I1716" s="6"/>
      <c r="J1716" s="6"/>
      <c r="K1716" s="7">
        <v>3</v>
      </c>
      <c r="L1716" s="7">
        <v>21.33</v>
      </c>
      <c r="M1716" t="s">
        <v>17</v>
      </c>
      <c r="N1716" s="16">
        <f>POWER(SQRT(WorkOrders279[[#This Row],[WorkDate]]-WorkOrders279[[#This Row],[ReqDate]]),2)</f>
        <v>7.0000000000000009</v>
      </c>
      <c r="O1716" s="8">
        <f t="array" ref="O1716">INDEX(TechRate,MATCH(H1716,TechNum,0))</f>
        <v>140</v>
      </c>
      <c r="P1716" s="10">
        <f>WorkOrders279[[#This Row],[Techs]]*(WorkOrders279[[#This Row],[PartsCost]]*WorkOrders279[[#This Row],[LbrHrs]])</f>
        <v>127.97999999999999</v>
      </c>
      <c r="Q1716" s="10">
        <f t="shared" si="155"/>
        <v>127.97999999999999</v>
      </c>
      <c r="R1716" s="10">
        <f t="shared" si="156"/>
        <v>21.33</v>
      </c>
      <c r="S1716" s="10">
        <f t="shared" si="157"/>
        <v>149.31</v>
      </c>
      <c r="T1716" s="10">
        <f t="shared" si="158"/>
        <v>149.31</v>
      </c>
      <c r="U1716" s="8" t="str">
        <f t="shared" si="159"/>
        <v>Tue</v>
      </c>
      <c r="V1716" s="8" t="str">
        <f t="shared" si="160"/>
        <v>Tue</v>
      </c>
    </row>
    <row r="1717" spans="1:22" hidden="1" x14ac:dyDescent="0.25">
      <c r="A1717" t="s">
        <v>259</v>
      </c>
      <c r="B1717" t="s">
        <v>38</v>
      </c>
      <c r="C1717" t="s">
        <v>44</v>
      </c>
      <c r="D1717" t="s">
        <v>13</v>
      </c>
      <c r="F1717" s="5">
        <v>44173</v>
      </c>
      <c r="G1717" s="5">
        <v>44181</v>
      </c>
      <c r="H1717" s="2">
        <v>2</v>
      </c>
      <c r="I1717" s="6"/>
      <c r="J1717" s="6"/>
      <c r="K1717" s="7">
        <v>1.5</v>
      </c>
      <c r="L1717" s="7">
        <v>318.72519999999997</v>
      </c>
      <c r="M1717" t="s">
        <v>17</v>
      </c>
      <c r="N1717" s="16">
        <f>POWER(SQRT(WorkOrders279[[#This Row],[WorkDate]]-WorkOrders279[[#This Row],[ReqDate]]),2)</f>
        <v>8.0000000000000018</v>
      </c>
      <c r="O1717" s="8">
        <f t="array" ref="O1717">INDEX(TechRate,MATCH(H1717,TechNum,0))</f>
        <v>140</v>
      </c>
      <c r="P1717" s="10">
        <f>WorkOrders279[[#This Row],[Techs]]*(WorkOrders279[[#This Row],[PartsCost]]*WorkOrders279[[#This Row],[LbrHrs]])</f>
        <v>956.17559999999992</v>
      </c>
      <c r="Q1717" s="10">
        <f t="shared" si="155"/>
        <v>956.17559999999992</v>
      </c>
      <c r="R1717" s="10">
        <f t="shared" si="156"/>
        <v>318.72519999999997</v>
      </c>
      <c r="S1717" s="10">
        <f t="shared" si="157"/>
        <v>1274.9007999999999</v>
      </c>
      <c r="T1717" s="10">
        <f t="shared" si="158"/>
        <v>1274.9007999999999</v>
      </c>
      <c r="U1717" s="8" t="str">
        <f t="shared" si="159"/>
        <v>Tue</v>
      </c>
      <c r="V1717" s="8" t="str">
        <f t="shared" si="160"/>
        <v>Wed</v>
      </c>
    </row>
    <row r="1718" spans="1:22" hidden="1" x14ac:dyDescent="0.25">
      <c r="A1718" t="s">
        <v>260</v>
      </c>
      <c r="B1718" t="s">
        <v>35</v>
      </c>
      <c r="C1718" t="s">
        <v>44</v>
      </c>
      <c r="D1718" t="s">
        <v>13</v>
      </c>
      <c r="E1718" t="s">
        <v>3</v>
      </c>
      <c r="F1718" s="5">
        <v>44173</v>
      </c>
      <c r="G1718" s="5">
        <v>44239</v>
      </c>
      <c r="H1718" s="2">
        <v>2</v>
      </c>
      <c r="I1718" s="6"/>
      <c r="J1718" s="6"/>
      <c r="K1718" s="7">
        <v>0.75</v>
      </c>
      <c r="L1718" s="7">
        <v>35.450000000000003</v>
      </c>
      <c r="M1718" t="s">
        <v>17</v>
      </c>
      <c r="N1718" s="16">
        <f>POWER(SQRT(WorkOrders279[[#This Row],[WorkDate]]-WorkOrders279[[#This Row],[ReqDate]]),2)</f>
        <v>66.000000000000014</v>
      </c>
      <c r="O1718" s="8">
        <f t="array" ref="O1718">INDEX(TechRate,MATCH(H1718,TechNum,0))</f>
        <v>140</v>
      </c>
      <c r="P1718" s="10">
        <f>WorkOrders279[[#This Row],[Techs]]*(WorkOrders279[[#This Row],[PartsCost]]*WorkOrders279[[#This Row],[LbrHrs]])</f>
        <v>53.175000000000004</v>
      </c>
      <c r="Q1718" s="10">
        <f t="shared" si="155"/>
        <v>53.175000000000004</v>
      </c>
      <c r="R1718" s="10">
        <f t="shared" si="156"/>
        <v>35.450000000000003</v>
      </c>
      <c r="S1718" s="10">
        <f t="shared" si="157"/>
        <v>88.625</v>
      </c>
      <c r="T1718" s="10">
        <f t="shared" si="158"/>
        <v>88.625</v>
      </c>
      <c r="U1718" s="8" t="str">
        <f t="shared" si="159"/>
        <v>Tue</v>
      </c>
      <c r="V1718" s="8" t="str">
        <f t="shared" si="160"/>
        <v>Fri</v>
      </c>
    </row>
    <row r="1719" spans="1:22" hidden="1" x14ac:dyDescent="0.25">
      <c r="A1719" t="s">
        <v>261</v>
      </c>
      <c r="B1719" t="s">
        <v>37</v>
      </c>
      <c r="C1719" t="s">
        <v>43</v>
      </c>
      <c r="D1719" t="s">
        <v>1</v>
      </c>
      <c r="F1719" s="5">
        <v>44174</v>
      </c>
      <c r="G1719" s="5">
        <v>44182</v>
      </c>
      <c r="H1719" s="2">
        <v>1</v>
      </c>
      <c r="I1719" s="6"/>
      <c r="J1719" s="6"/>
      <c r="K1719" s="7">
        <v>1.75</v>
      </c>
      <c r="L1719" s="7">
        <v>131.30000000000001</v>
      </c>
      <c r="M1719" t="s">
        <v>19</v>
      </c>
      <c r="N1719" s="16">
        <f>POWER(SQRT(WorkOrders279[[#This Row],[WorkDate]]-WorkOrders279[[#This Row],[ReqDate]]),2)</f>
        <v>8.0000000000000018</v>
      </c>
      <c r="O1719" s="8">
        <f t="array" ref="O1719">INDEX(TechRate,MATCH(H1719,TechNum,0))</f>
        <v>80</v>
      </c>
      <c r="P1719" s="10">
        <f>WorkOrders279[[#This Row],[Techs]]*(WorkOrders279[[#This Row],[PartsCost]]*WorkOrders279[[#This Row],[LbrHrs]])</f>
        <v>229.77500000000003</v>
      </c>
      <c r="Q1719" s="10">
        <f t="shared" si="155"/>
        <v>229.77500000000003</v>
      </c>
      <c r="R1719" s="10">
        <f t="shared" si="156"/>
        <v>131.30000000000001</v>
      </c>
      <c r="S1719" s="10">
        <f t="shared" si="157"/>
        <v>361.07500000000005</v>
      </c>
      <c r="T1719" s="10">
        <f t="shared" si="158"/>
        <v>361.07500000000005</v>
      </c>
      <c r="U1719" s="8" t="str">
        <f t="shared" si="159"/>
        <v>Wed</v>
      </c>
      <c r="V1719" s="8" t="str">
        <f t="shared" si="160"/>
        <v>Thu</v>
      </c>
    </row>
    <row r="1720" spans="1:22" hidden="1" x14ac:dyDescent="0.25">
      <c r="A1720" t="s">
        <v>262</v>
      </c>
      <c r="B1720" t="s">
        <v>35</v>
      </c>
      <c r="C1720" t="s">
        <v>44</v>
      </c>
      <c r="D1720" t="s">
        <v>11</v>
      </c>
      <c r="F1720" s="5">
        <v>44174</v>
      </c>
      <c r="G1720" s="5">
        <v>44207</v>
      </c>
      <c r="H1720" s="2">
        <v>1</v>
      </c>
      <c r="I1720" s="6"/>
      <c r="J1720" s="6"/>
      <c r="K1720" s="7">
        <v>0.25</v>
      </c>
      <c r="L1720" s="7">
        <v>37.262799999999999</v>
      </c>
      <c r="M1720" t="s">
        <v>18</v>
      </c>
      <c r="N1720" s="16">
        <f>POWER(SQRT(WorkOrders279[[#This Row],[WorkDate]]-WorkOrders279[[#This Row],[ReqDate]]),2)</f>
        <v>33</v>
      </c>
      <c r="O1720" s="8">
        <f t="array" ref="O1720">INDEX(TechRate,MATCH(H1720,TechNum,0))</f>
        <v>80</v>
      </c>
      <c r="P1720" s="10">
        <f>WorkOrders279[[#This Row],[Techs]]*(WorkOrders279[[#This Row],[PartsCost]]*WorkOrders279[[#This Row],[LbrHrs]])</f>
        <v>9.3156999999999996</v>
      </c>
      <c r="Q1720" s="10">
        <f t="shared" si="155"/>
        <v>9.3156999999999996</v>
      </c>
      <c r="R1720" s="10">
        <f t="shared" si="156"/>
        <v>37.262799999999999</v>
      </c>
      <c r="S1720" s="10">
        <f t="shared" si="157"/>
        <v>46.578499999999998</v>
      </c>
      <c r="T1720" s="10">
        <f t="shared" si="158"/>
        <v>46.578499999999998</v>
      </c>
      <c r="U1720" s="8" t="str">
        <f t="shared" si="159"/>
        <v>Wed</v>
      </c>
      <c r="V1720" s="8" t="str">
        <f t="shared" si="160"/>
        <v>Mon</v>
      </c>
    </row>
    <row r="1721" spans="1:22" hidden="1" x14ac:dyDescent="0.25">
      <c r="A1721" t="s">
        <v>263</v>
      </c>
      <c r="B1721" t="s">
        <v>41</v>
      </c>
      <c r="C1721" t="s">
        <v>6</v>
      </c>
      <c r="D1721" t="s">
        <v>1</v>
      </c>
      <c r="F1721" s="5">
        <v>44174</v>
      </c>
      <c r="G1721" s="5">
        <v>44208</v>
      </c>
      <c r="H1721" s="2">
        <v>2</v>
      </c>
      <c r="I1721" s="6"/>
      <c r="J1721" s="6"/>
      <c r="K1721" s="7">
        <v>3</v>
      </c>
      <c r="L1721" s="7">
        <v>1193.7465999999999</v>
      </c>
      <c r="M1721" t="s">
        <v>18</v>
      </c>
      <c r="N1721" s="16">
        <f>POWER(SQRT(WorkOrders279[[#This Row],[WorkDate]]-WorkOrders279[[#This Row],[ReqDate]]),2)</f>
        <v>34</v>
      </c>
      <c r="O1721" s="8">
        <f t="array" ref="O1721">INDEX(TechRate,MATCH(H1721,TechNum,0))</f>
        <v>140</v>
      </c>
      <c r="P1721" s="10">
        <f>WorkOrders279[[#This Row],[Techs]]*(WorkOrders279[[#This Row],[PartsCost]]*WorkOrders279[[#This Row],[LbrHrs]])</f>
        <v>7162.4795999999997</v>
      </c>
      <c r="Q1721" s="10">
        <f t="shared" si="155"/>
        <v>7162.4795999999997</v>
      </c>
      <c r="R1721" s="10">
        <f t="shared" si="156"/>
        <v>1193.7465999999999</v>
      </c>
      <c r="S1721" s="10">
        <f t="shared" si="157"/>
        <v>8356.2261999999992</v>
      </c>
      <c r="T1721" s="10">
        <f t="shared" si="158"/>
        <v>8356.2261999999992</v>
      </c>
      <c r="U1721" s="8" t="str">
        <f t="shared" si="159"/>
        <v>Wed</v>
      </c>
      <c r="V1721" s="8" t="str">
        <f t="shared" si="160"/>
        <v>Tue</v>
      </c>
    </row>
    <row r="1722" spans="1:22" hidden="1" x14ac:dyDescent="0.25">
      <c r="A1722" t="s">
        <v>264</v>
      </c>
      <c r="B1722" t="s">
        <v>39</v>
      </c>
      <c r="C1722" t="s">
        <v>6</v>
      </c>
      <c r="D1722" t="s">
        <v>13</v>
      </c>
      <c r="E1722" t="s">
        <v>3</v>
      </c>
      <c r="F1722" s="5">
        <v>44175</v>
      </c>
      <c r="G1722" s="5">
        <v>44179</v>
      </c>
      <c r="H1722" s="2">
        <v>1</v>
      </c>
      <c r="I1722" s="6"/>
      <c r="J1722" s="6"/>
      <c r="K1722" s="7">
        <v>0.5</v>
      </c>
      <c r="L1722" s="7">
        <v>250.42240000000001</v>
      </c>
      <c r="M1722" t="s">
        <v>18</v>
      </c>
      <c r="N1722" s="16">
        <f>POWER(SQRT(WorkOrders279[[#This Row],[WorkDate]]-WorkOrders279[[#This Row],[ReqDate]]),2)</f>
        <v>4</v>
      </c>
      <c r="O1722" s="8">
        <f t="array" ref="O1722">INDEX(TechRate,MATCH(H1722,TechNum,0))</f>
        <v>80</v>
      </c>
      <c r="P1722" s="10">
        <f>WorkOrders279[[#This Row],[Techs]]*(WorkOrders279[[#This Row],[PartsCost]]*WorkOrders279[[#This Row],[LbrHrs]])</f>
        <v>125.21120000000001</v>
      </c>
      <c r="Q1722" s="10">
        <f t="shared" si="155"/>
        <v>125.21120000000001</v>
      </c>
      <c r="R1722" s="10">
        <f t="shared" si="156"/>
        <v>250.42240000000001</v>
      </c>
      <c r="S1722" s="10">
        <f t="shared" si="157"/>
        <v>375.6336</v>
      </c>
      <c r="T1722" s="10">
        <f t="shared" si="158"/>
        <v>375.6336</v>
      </c>
      <c r="U1722" s="8" t="str">
        <f t="shared" si="159"/>
        <v>Thu</v>
      </c>
      <c r="V1722" s="8" t="str">
        <f t="shared" si="160"/>
        <v>Mon</v>
      </c>
    </row>
    <row r="1723" spans="1:22" hidden="1" x14ac:dyDescent="0.25">
      <c r="A1723" t="s">
        <v>265</v>
      </c>
      <c r="B1723" t="s">
        <v>37</v>
      </c>
      <c r="C1723" t="s">
        <v>43</v>
      </c>
      <c r="D1723" t="s">
        <v>11</v>
      </c>
      <c r="F1723" s="5">
        <v>44175</v>
      </c>
      <c r="G1723" s="5">
        <v>44203</v>
      </c>
      <c r="H1723" s="2">
        <v>1</v>
      </c>
      <c r="I1723" s="6"/>
      <c r="J1723" s="6"/>
      <c r="K1723" s="7">
        <v>0.25</v>
      </c>
      <c r="L1723" s="7">
        <v>67.703999999999994</v>
      </c>
      <c r="M1723" t="s">
        <v>19</v>
      </c>
      <c r="N1723" s="16">
        <f>POWER(SQRT(WorkOrders279[[#This Row],[WorkDate]]-WorkOrders279[[#This Row],[ReqDate]]),2)</f>
        <v>28.000000000000004</v>
      </c>
      <c r="O1723" s="8">
        <f t="array" ref="O1723">INDEX(TechRate,MATCH(H1723,TechNum,0))</f>
        <v>80</v>
      </c>
      <c r="P1723" s="10">
        <f>WorkOrders279[[#This Row],[Techs]]*(WorkOrders279[[#This Row],[PartsCost]]*WorkOrders279[[#This Row],[LbrHrs]])</f>
        <v>16.925999999999998</v>
      </c>
      <c r="Q1723" s="10">
        <f t="shared" si="155"/>
        <v>16.925999999999998</v>
      </c>
      <c r="R1723" s="10">
        <f t="shared" si="156"/>
        <v>67.703999999999994</v>
      </c>
      <c r="S1723" s="10">
        <f t="shared" si="157"/>
        <v>84.63</v>
      </c>
      <c r="T1723" s="10">
        <f t="shared" si="158"/>
        <v>84.63</v>
      </c>
      <c r="U1723" s="8" t="str">
        <f t="shared" si="159"/>
        <v>Thu</v>
      </c>
      <c r="V1723" s="8" t="str">
        <f t="shared" si="160"/>
        <v>Thu</v>
      </c>
    </row>
    <row r="1724" spans="1:22" hidden="1" x14ac:dyDescent="0.25">
      <c r="A1724" t="s">
        <v>266</v>
      </c>
      <c r="B1724" t="s">
        <v>34</v>
      </c>
      <c r="C1724" t="s">
        <v>9</v>
      </c>
      <c r="D1724" t="s">
        <v>1</v>
      </c>
      <c r="F1724" s="5">
        <v>44175</v>
      </c>
      <c r="G1724" s="5">
        <v>44203</v>
      </c>
      <c r="H1724" s="2">
        <v>2</v>
      </c>
      <c r="I1724" s="6"/>
      <c r="J1724" s="6"/>
      <c r="K1724" s="7">
        <v>1.25</v>
      </c>
      <c r="L1724" s="7">
        <v>58.238999999999997</v>
      </c>
      <c r="M1724" t="s">
        <v>17</v>
      </c>
      <c r="N1724" s="16">
        <f>POWER(SQRT(WorkOrders279[[#This Row],[WorkDate]]-WorkOrders279[[#This Row],[ReqDate]]),2)</f>
        <v>28.000000000000004</v>
      </c>
      <c r="O1724" s="8">
        <f t="array" ref="O1724">INDEX(TechRate,MATCH(H1724,TechNum,0))</f>
        <v>140</v>
      </c>
      <c r="P1724" s="10">
        <f>WorkOrders279[[#This Row],[Techs]]*(WorkOrders279[[#This Row],[PartsCost]]*WorkOrders279[[#This Row],[LbrHrs]])</f>
        <v>145.5975</v>
      </c>
      <c r="Q1724" s="10">
        <f t="shared" si="155"/>
        <v>145.5975</v>
      </c>
      <c r="R1724" s="10">
        <f t="shared" si="156"/>
        <v>58.238999999999997</v>
      </c>
      <c r="S1724" s="10">
        <f t="shared" si="157"/>
        <v>203.8365</v>
      </c>
      <c r="T1724" s="10">
        <f t="shared" si="158"/>
        <v>203.8365</v>
      </c>
      <c r="U1724" s="8" t="str">
        <f t="shared" si="159"/>
        <v>Thu</v>
      </c>
      <c r="V1724" s="8" t="str">
        <f t="shared" si="160"/>
        <v>Thu</v>
      </c>
    </row>
    <row r="1725" spans="1:22" hidden="1" x14ac:dyDescent="0.25">
      <c r="A1725" t="s">
        <v>267</v>
      </c>
      <c r="B1725" t="s">
        <v>38</v>
      </c>
      <c r="C1725" t="s">
        <v>43</v>
      </c>
      <c r="D1725" t="s">
        <v>12</v>
      </c>
      <c r="F1725" s="5">
        <v>44175</v>
      </c>
      <c r="G1725" s="5">
        <v>44210</v>
      </c>
      <c r="H1725" s="2">
        <v>1</v>
      </c>
      <c r="I1725" s="6"/>
      <c r="J1725" s="6"/>
      <c r="K1725" s="7">
        <v>0.5</v>
      </c>
      <c r="L1725" s="7">
        <v>32.226999999999997</v>
      </c>
      <c r="M1725" t="s">
        <v>19</v>
      </c>
      <c r="N1725" s="16">
        <f>POWER(SQRT(WorkOrders279[[#This Row],[WorkDate]]-WorkOrders279[[#This Row],[ReqDate]]),2)</f>
        <v>35</v>
      </c>
      <c r="O1725" s="8">
        <f t="array" ref="O1725">INDEX(TechRate,MATCH(H1725,TechNum,0))</f>
        <v>80</v>
      </c>
      <c r="P1725" s="10">
        <f>WorkOrders279[[#This Row],[Techs]]*(WorkOrders279[[#This Row],[PartsCost]]*WorkOrders279[[#This Row],[LbrHrs]])</f>
        <v>16.113499999999998</v>
      </c>
      <c r="Q1725" s="10">
        <f t="shared" si="155"/>
        <v>16.113499999999998</v>
      </c>
      <c r="R1725" s="10">
        <f t="shared" si="156"/>
        <v>32.226999999999997</v>
      </c>
      <c r="S1725" s="10">
        <f t="shared" si="157"/>
        <v>48.340499999999992</v>
      </c>
      <c r="T1725" s="10">
        <f t="shared" si="158"/>
        <v>48.340499999999992</v>
      </c>
      <c r="U1725" s="8" t="str">
        <f t="shared" si="159"/>
        <v>Thu</v>
      </c>
      <c r="V1725" s="8" t="str">
        <f t="shared" si="160"/>
        <v>Thu</v>
      </c>
    </row>
    <row r="1726" spans="1:22" hidden="1" x14ac:dyDescent="0.25">
      <c r="A1726" t="s">
        <v>268</v>
      </c>
      <c r="B1726" t="s">
        <v>34</v>
      </c>
      <c r="C1726" t="s">
        <v>8</v>
      </c>
      <c r="D1726" t="s">
        <v>13</v>
      </c>
      <c r="F1726" s="5">
        <v>44175</v>
      </c>
      <c r="G1726" s="5">
        <v>44219</v>
      </c>
      <c r="H1726" s="2">
        <v>1</v>
      </c>
      <c r="I1726" s="6"/>
      <c r="J1726" s="6"/>
      <c r="K1726" s="7">
        <v>2.25</v>
      </c>
      <c r="L1726" s="7">
        <v>180</v>
      </c>
      <c r="M1726" t="s">
        <v>17</v>
      </c>
      <c r="N1726" s="16">
        <f>POWER(SQRT(WorkOrders279[[#This Row],[WorkDate]]-WorkOrders279[[#This Row],[ReqDate]]),2)</f>
        <v>44</v>
      </c>
      <c r="O1726" s="8">
        <f t="array" ref="O1726">INDEX(TechRate,MATCH(H1726,TechNum,0))</f>
        <v>80</v>
      </c>
      <c r="P1726" s="10">
        <f>WorkOrders279[[#This Row],[Techs]]*(WorkOrders279[[#This Row],[PartsCost]]*WorkOrders279[[#This Row],[LbrHrs]])</f>
        <v>405</v>
      </c>
      <c r="Q1726" s="10">
        <f t="shared" si="155"/>
        <v>405</v>
      </c>
      <c r="R1726" s="10">
        <f t="shared" si="156"/>
        <v>180</v>
      </c>
      <c r="S1726" s="10">
        <f t="shared" si="157"/>
        <v>585</v>
      </c>
      <c r="T1726" s="10">
        <f t="shared" si="158"/>
        <v>585</v>
      </c>
      <c r="U1726" s="8" t="str">
        <f t="shared" si="159"/>
        <v>Thu</v>
      </c>
      <c r="V1726" s="8" t="str">
        <f t="shared" si="160"/>
        <v>Sat</v>
      </c>
    </row>
    <row r="1727" spans="1:22" hidden="1" x14ac:dyDescent="0.25">
      <c r="A1727" t="s">
        <v>269</v>
      </c>
      <c r="B1727" t="s">
        <v>38</v>
      </c>
      <c r="C1727" t="s">
        <v>8</v>
      </c>
      <c r="D1727" t="s">
        <v>12</v>
      </c>
      <c r="E1727" t="s">
        <v>3</v>
      </c>
      <c r="F1727" s="5">
        <v>44177</v>
      </c>
      <c r="G1727" s="5">
        <v>44224</v>
      </c>
      <c r="H1727" s="2">
        <v>1</v>
      </c>
      <c r="I1727" s="6"/>
      <c r="J1727" s="6"/>
      <c r="K1727" s="7">
        <v>1</v>
      </c>
      <c r="L1727" s="7">
        <v>337.9237</v>
      </c>
      <c r="M1727" t="s">
        <v>17</v>
      </c>
      <c r="N1727" s="16">
        <f>POWER(SQRT(WorkOrders279[[#This Row],[WorkDate]]-WorkOrders279[[#This Row],[ReqDate]]),2)</f>
        <v>47</v>
      </c>
      <c r="O1727" s="8">
        <f t="array" ref="O1727">INDEX(TechRate,MATCH(H1727,TechNum,0))</f>
        <v>80</v>
      </c>
      <c r="P1727" s="10">
        <f>WorkOrders279[[#This Row],[Techs]]*(WorkOrders279[[#This Row],[PartsCost]]*WorkOrders279[[#This Row],[LbrHrs]])</f>
        <v>337.9237</v>
      </c>
      <c r="Q1727" s="10">
        <f t="shared" si="155"/>
        <v>337.9237</v>
      </c>
      <c r="R1727" s="10">
        <f t="shared" si="156"/>
        <v>337.9237</v>
      </c>
      <c r="S1727" s="10">
        <f t="shared" si="157"/>
        <v>675.84739999999999</v>
      </c>
      <c r="T1727" s="10">
        <f t="shared" si="158"/>
        <v>675.84739999999999</v>
      </c>
      <c r="U1727" s="8" t="str">
        <f t="shared" si="159"/>
        <v>Sat</v>
      </c>
      <c r="V1727" s="8" t="str">
        <f t="shared" si="160"/>
        <v>Thu</v>
      </c>
    </row>
    <row r="1728" spans="1:22" hidden="1" x14ac:dyDescent="0.25">
      <c r="A1728" t="s">
        <v>270</v>
      </c>
      <c r="B1728" t="s">
        <v>35</v>
      </c>
      <c r="C1728" t="s">
        <v>6</v>
      </c>
      <c r="D1728" t="s">
        <v>12</v>
      </c>
      <c r="E1728" t="s">
        <v>3</v>
      </c>
      <c r="F1728" s="5">
        <v>44179</v>
      </c>
      <c r="G1728" s="5">
        <v>44180</v>
      </c>
      <c r="H1728" s="2">
        <v>1</v>
      </c>
      <c r="I1728" s="6"/>
      <c r="J1728" s="6"/>
      <c r="K1728" s="7">
        <v>0.75</v>
      </c>
      <c r="L1728" s="7">
        <v>63.99</v>
      </c>
      <c r="M1728" t="s">
        <v>17</v>
      </c>
      <c r="N1728" s="16">
        <f>POWER(SQRT(WorkOrders279[[#This Row],[WorkDate]]-WorkOrders279[[#This Row],[ReqDate]]),2)</f>
        <v>1</v>
      </c>
      <c r="O1728" s="8">
        <f t="array" ref="O1728">INDEX(TechRate,MATCH(H1728,TechNum,0))</f>
        <v>80</v>
      </c>
      <c r="P1728" s="10">
        <f>WorkOrders279[[#This Row],[Techs]]*(WorkOrders279[[#This Row],[PartsCost]]*WorkOrders279[[#This Row],[LbrHrs]])</f>
        <v>47.9925</v>
      </c>
      <c r="Q1728" s="10">
        <f t="shared" si="155"/>
        <v>47.9925</v>
      </c>
      <c r="R1728" s="10">
        <f t="shared" si="156"/>
        <v>63.99</v>
      </c>
      <c r="S1728" s="10">
        <f t="shared" si="157"/>
        <v>111.9825</v>
      </c>
      <c r="T1728" s="10">
        <f t="shared" si="158"/>
        <v>111.9825</v>
      </c>
      <c r="U1728" s="8" t="str">
        <f t="shared" si="159"/>
        <v>Mon</v>
      </c>
      <c r="V1728" s="8" t="str">
        <f t="shared" si="160"/>
        <v>Tue</v>
      </c>
    </row>
    <row r="1729" spans="1:22" hidden="1" x14ac:dyDescent="0.25">
      <c r="A1729" t="s">
        <v>271</v>
      </c>
      <c r="B1729" t="s">
        <v>38</v>
      </c>
      <c r="C1729" t="s">
        <v>8</v>
      </c>
      <c r="D1729" t="s">
        <v>12</v>
      </c>
      <c r="F1729" s="5">
        <v>44179</v>
      </c>
      <c r="G1729" s="5">
        <v>44181</v>
      </c>
      <c r="H1729" s="2">
        <v>1</v>
      </c>
      <c r="I1729" s="6"/>
      <c r="J1729" s="6"/>
      <c r="K1729" s="7">
        <v>0.5</v>
      </c>
      <c r="L1729" s="7">
        <v>145.88999999999999</v>
      </c>
      <c r="M1729" t="s">
        <v>19</v>
      </c>
      <c r="N1729" s="16">
        <f>POWER(SQRT(WorkOrders279[[#This Row],[WorkDate]]-WorkOrders279[[#This Row],[ReqDate]]),2)</f>
        <v>2.0000000000000004</v>
      </c>
      <c r="O1729" s="8">
        <f t="array" ref="O1729">INDEX(TechRate,MATCH(H1729,TechNum,0))</f>
        <v>80</v>
      </c>
      <c r="P1729" s="10">
        <f>WorkOrders279[[#This Row],[Techs]]*(WorkOrders279[[#This Row],[PartsCost]]*WorkOrders279[[#This Row],[LbrHrs]])</f>
        <v>72.944999999999993</v>
      </c>
      <c r="Q1729" s="10">
        <f t="shared" si="155"/>
        <v>72.944999999999993</v>
      </c>
      <c r="R1729" s="10">
        <f t="shared" si="156"/>
        <v>145.88999999999999</v>
      </c>
      <c r="S1729" s="10">
        <f t="shared" si="157"/>
        <v>218.83499999999998</v>
      </c>
      <c r="T1729" s="10">
        <f t="shared" si="158"/>
        <v>218.83499999999998</v>
      </c>
      <c r="U1729" s="8" t="str">
        <f t="shared" si="159"/>
        <v>Mon</v>
      </c>
      <c r="V1729" s="8" t="str">
        <f t="shared" si="160"/>
        <v>Wed</v>
      </c>
    </row>
    <row r="1730" spans="1:22" hidden="1" x14ac:dyDescent="0.25">
      <c r="A1730" t="s">
        <v>272</v>
      </c>
      <c r="B1730" t="s">
        <v>38</v>
      </c>
      <c r="C1730" t="s">
        <v>8</v>
      </c>
      <c r="D1730" t="s">
        <v>11</v>
      </c>
      <c r="F1730" s="5">
        <v>44179</v>
      </c>
      <c r="G1730" s="5">
        <v>44200</v>
      </c>
      <c r="H1730" s="2">
        <v>1</v>
      </c>
      <c r="I1730" s="6"/>
      <c r="J1730" s="6"/>
      <c r="K1730" s="7">
        <v>0.25</v>
      </c>
      <c r="L1730" s="7">
        <v>30</v>
      </c>
      <c r="M1730" t="s">
        <v>19</v>
      </c>
      <c r="N1730" s="16">
        <f>POWER(SQRT(WorkOrders279[[#This Row],[WorkDate]]-WorkOrders279[[#This Row],[ReqDate]]),2)</f>
        <v>21</v>
      </c>
      <c r="O1730" s="8">
        <f t="array" ref="O1730">INDEX(TechRate,MATCH(H1730,TechNum,0))</f>
        <v>80</v>
      </c>
      <c r="P1730" s="10">
        <f>WorkOrders279[[#This Row],[Techs]]*(WorkOrders279[[#This Row],[PartsCost]]*WorkOrders279[[#This Row],[LbrHrs]])</f>
        <v>7.5</v>
      </c>
      <c r="Q1730" s="10">
        <f t="shared" si="155"/>
        <v>7.5</v>
      </c>
      <c r="R1730" s="10">
        <f t="shared" si="156"/>
        <v>30</v>
      </c>
      <c r="S1730" s="10">
        <f t="shared" si="157"/>
        <v>37.5</v>
      </c>
      <c r="T1730" s="10">
        <f t="shared" si="158"/>
        <v>37.5</v>
      </c>
      <c r="U1730" s="8" t="str">
        <f t="shared" si="159"/>
        <v>Mon</v>
      </c>
      <c r="V1730" s="8" t="str">
        <f t="shared" si="160"/>
        <v>Mon</v>
      </c>
    </row>
    <row r="1731" spans="1:22" hidden="1" x14ac:dyDescent="0.25">
      <c r="A1731" t="s">
        <v>273</v>
      </c>
      <c r="B1731" t="s">
        <v>38</v>
      </c>
      <c r="C1731" t="s">
        <v>8</v>
      </c>
      <c r="D1731" t="s">
        <v>13</v>
      </c>
      <c r="F1731" s="5">
        <v>44179</v>
      </c>
      <c r="G1731" s="5">
        <v>44200</v>
      </c>
      <c r="H1731" s="2">
        <v>1</v>
      </c>
      <c r="I1731" s="6"/>
      <c r="J1731" s="6"/>
      <c r="K1731" s="7">
        <v>0.5</v>
      </c>
      <c r="L1731" s="7">
        <v>57.098199999999999</v>
      </c>
      <c r="M1731" t="s">
        <v>17</v>
      </c>
      <c r="N1731" s="16">
        <f>POWER(SQRT(WorkOrders279[[#This Row],[WorkDate]]-WorkOrders279[[#This Row],[ReqDate]]),2)</f>
        <v>21</v>
      </c>
      <c r="O1731" s="8">
        <f t="array" ref="O1731">INDEX(TechRate,MATCH(H1731,TechNum,0))</f>
        <v>80</v>
      </c>
      <c r="P1731" s="10">
        <f>WorkOrders279[[#This Row],[Techs]]*(WorkOrders279[[#This Row],[PartsCost]]*WorkOrders279[[#This Row],[LbrHrs]])</f>
        <v>28.549099999999999</v>
      </c>
      <c r="Q1731" s="10">
        <f t="shared" si="155"/>
        <v>28.549099999999999</v>
      </c>
      <c r="R1731" s="10">
        <f t="shared" si="156"/>
        <v>57.098199999999999</v>
      </c>
      <c r="S1731" s="10">
        <f t="shared" si="157"/>
        <v>85.647300000000001</v>
      </c>
      <c r="T1731" s="10">
        <f t="shared" si="158"/>
        <v>85.647300000000001</v>
      </c>
      <c r="U1731" s="8" t="str">
        <f t="shared" si="159"/>
        <v>Mon</v>
      </c>
      <c r="V1731" s="8" t="str">
        <f t="shared" si="160"/>
        <v>Mon</v>
      </c>
    </row>
    <row r="1732" spans="1:22" hidden="1" x14ac:dyDescent="0.25">
      <c r="A1732" t="s">
        <v>274</v>
      </c>
      <c r="B1732" t="s">
        <v>36</v>
      </c>
      <c r="C1732" t="s">
        <v>8</v>
      </c>
      <c r="D1732" t="s">
        <v>1</v>
      </c>
      <c r="F1732" s="5">
        <v>44179</v>
      </c>
      <c r="G1732" s="5">
        <v>44209</v>
      </c>
      <c r="H1732" s="2">
        <v>2</v>
      </c>
      <c r="I1732" s="6"/>
      <c r="J1732" s="6"/>
      <c r="K1732" s="7">
        <v>3.5</v>
      </c>
      <c r="L1732" s="7">
        <v>262.44</v>
      </c>
      <c r="M1732" t="s">
        <v>17</v>
      </c>
      <c r="N1732" s="16">
        <f>POWER(SQRT(WorkOrders279[[#This Row],[WorkDate]]-WorkOrders279[[#This Row],[ReqDate]]),2)</f>
        <v>30</v>
      </c>
      <c r="O1732" s="8">
        <f t="array" ref="O1732">INDEX(TechRate,MATCH(H1732,TechNum,0))</f>
        <v>140</v>
      </c>
      <c r="P1732" s="10">
        <f>WorkOrders279[[#This Row],[Techs]]*(WorkOrders279[[#This Row],[PartsCost]]*WorkOrders279[[#This Row],[LbrHrs]])</f>
        <v>1837.08</v>
      </c>
      <c r="Q1732" s="10">
        <f t="shared" si="155"/>
        <v>1837.08</v>
      </c>
      <c r="R1732" s="10">
        <f t="shared" si="156"/>
        <v>262.44</v>
      </c>
      <c r="S1732" s="10">
        <f t="shared" si="157"/>
        <v>2099.52</v>
      </c>
      <c r="T1732" s="10">
        <f t="shared" si="158"/>
        <v>2099.52</v>
      </c>
      <c r="U1732" s="8" t="str">
        <f t="shared" si="159"/>
        <v>Mon</v>
      </c>
      <c r="V1732" s="8" t="str">
        <f t="shared" si="160"/>
        <v>Wed</v>
      </c>
    </row>
    <row r="1733" spans="1:22" hidden="1" x14ac:dyDescent="0.25">
      <c r="A1733" t="s">
        <v>275</v>
      </c>
      <c r="B1733" t="s">
        <v>38</v>
      </c>
      <c r="C1733" t="s">
        <v>8</v>
      </c>
      <c r="D1733" t="s">
        <v>12</v>
      </c>
      <c r="F1733" s="5">
        <v>44179</v>
      </c>
      <c r="G1733" s="5">
        <v>44215</v>
      </c>
      <c r="H1733" s="2">
        <v>1</v>
      </c>
      <c r="I1733" s="6"/>
      <c r="J1733" s="6"/>
      <c r="K1733" s="7">
        <v>0.5</v>
      </c>
      <c r="L1733" s="7">
        <v>21.33</v>
      </c>
      <c r="M1733" t="s">
        <v>19</v>
      </c>
      <c r="N1733" s="16">
        <f>POWER(SQRT(WorkOrders279[[#This Row],[WorkDate]]-WorkOrders279[[#This Row],[ReqDate]]),2)</f>
        <v>36</v>
      </c>
      <c r="O1733" s="8">
        <f t="array" ref="O1733">INDEX(TechRate,MATCH(H1733,TechNum,0))</f>
        <v>80</v>
      </c>
      <c r="P1733" s="10">
        <f>WorkOrders279[[#This Row],[Techs]]*(WorkOrders279[[#This Row],[PartsCost]]*WorkOrders279[[#This Row],[LbrHrs]])</f>
        <v>10.664999999999999</v>
      </c>
      <c r="Q1733" s="10">
        <f t="shared" si="155"/>
        <v>10.664999999999999</v>
      </c>
      <c r="R1733" s="10">
        <f t="shared" si="156"/>
        <v>21.33</v>
      </c>
      <c r="S1733" s="10">
        <f t="shared" si="157"/>
        <v>31.994999999999997</v>
      </c>
      <c r="T1733" s="10">
        <f t="shared" si="158"/>
        <v>31.994999999999997</v>
      </c>
      <c r="U1733" s="8" t="str">
        <f t="shared" si="159"/>
        <v>Mon</v>
      </c>
      <c r="V1733" s="8" t="str">
        <f t="shared" si="160"/>
        <v>Tue</v>
      </c>
    </row>
    <row r="1734" spans="1:22" hidden="1" x14ac:dyDescent="0.25">
      <c r="A1734" t="s">
        <v>276</v>
      </c>
      <c r="B1734" t="s">
        <v>37</v>
      </c>
      <c r="C1734" t="s">
        <v>43</v>
      </c>
      <c r="D1734" t="s">
        <v>2</v>
      </c>
      <c r="F1734" s="5">
        <v>44179</v>
      </c>
      <c r="G1734" s="5">
        <v>44320</v>
      </c>
      <c r="H1734" s="2">
        <v>1</v>
      </c>
      <c r="I1734" s="6"/>
      <c r="J1734" s="6"/>
      <c r="K1734" s="7">
        <v>4</v>
      </c>
      <c r="L1734" s="7">
        <v>1769.625</v>
      </c>
      <c r="M1734" t="s">
        <v>19</v>
      </c>
      <c r="N1734" s="16">
        <f>POWER(SQRT(WorkOrders279[[#This Row],[WorkDate]]-WorkOrders279[[#This Row],[ReqDate]]),2)</f>
        <v>141</v>
      </c>
      <c r="O1734" s="8">
        <f t="array" ref="O1734">INDEX(TechRate,MATCH(H1734,TechNum,0))</f>
        <v>80</v>
      </c>
      <c r="P1734" s="10">
        <f>WorkOrders279[[#This Row],[Techs]]*(WorkOrders279[[#This Row],[PartsCost]]*WorkOrders279[[#This Row],[LbrHrs]])</f>
        <v>7078.5</v>
      </c>
      <c r="Q1734" s="10">
        <f t="shared" si="155"/>
        <v>7078.5</v>
      </c>
      <c r="R1734" s="10">
        <f t="shared" si="156"/>
        <v>1769.625</v>
      </c>
      <c r="S1734" s="10">
        <f t="shared" si="157"/>
        <v>8848.125</v>
      </c>
      <c r="T1734" s="10">
        <f t="shared" si="158"/>
        <v>8848.125</v>
      </c>
      <c r="U1734" s="8" t="str">
        <f t="shared" si="159"/>
        <v>Mon</v>
      </c>
      <c r="V1734" s="8" t="str">
        <f t="shared" si="160"/>
        <v>Tue</v>
      </c>
    </row>
    <row r="1735" spans="1:22" hidden="1" x14ac:dyDescent="0.25">
      <c r="A1735" t="s">
        <v>277</v>
      </c>
      <c r="B1735" t="s">
        <v>37</v>
      </c>
      <c r="C1735" t="s">
        <v>43</v>
      </c>
      <c r="D1735" t="s">
        <v>13</v>
      </c>
      <c r="F1735" s="5">
        <v>44180</v>
      </c>
      <c r="G1735" s="5">
        <v>44209</v>
      </c>
      <c r="H1735" s="2">
        <v>1</v>
      </c>
      <c r="I1735" s="6"/>
      <c r="J1735" s="6"/>
      <c r="K1735" s="7">
        <v>0.75</v>
      </c>
      <c r="L1735" s="7">
        <v>82.875</v>
      </c>
      <c r="M1735" t="s">
        <v>19</v>
      </c>
      <c r="N1735" s="16">
        <f>POWER(SQRT(WorkOrders279[[#This Row],[WorkDate]]-WorkOrders279[[#This Row],[ReqDate]]),2)</f>
        <v>28.999999999999996</v>
      </c>
      <c r="O1735" s="8">
        <f t="array" ref="O1735">INDEX(TechRate,MATCH(H1735,TechNum,0))</f>
        <v>80</v>
      </c>
      <c r="P1735" s="10">
        <f>WorkOrders279[[#This Row],[Techs]]*(WorkOrders279[[#This Row],[PartsCost]]*WorkOrders279[[#This Row],[LbrHrs]])</f>
        <v>62.15625</v>
      </c>
      <c r="Q1735" s="10">
        <f t="shared" si="155"/>
        <v>62.15625</v>
      </c>
      <c r="R1735" s="10">
        <f t="shared" si="156"/>
        <v>82.875</v>
      </c>
      <c r="S1735" s="10">
        <f t="shared" si="157"/>
        <v>145.03125</v>
      </c>
      <c r="T1735" s="10">
        <f t="shared" si="158"/>
        <v>145.03125</v>
      </c>
      <c r="U1735" s="8" t="str">
        <f t="shared" si="159"/>
        <v>Tue</v>
      </c>
      <c r="V1735" s="8" t="str">
        <f t="shared" si="160"/>
        <v>Wed</v>
      </c>
    </row>
    <row r="1736" spans="1:22" hidden="1" x14ac:dyDescent="0.25">
      <c r="A1736" t="s">
        <v>278</v>
      </c>
      <c r="B1736" t="s">
        <v>34</v>
      </c>
      <c r="C1736" t="s">
        <v>6</v>
      </c>
      <c r="D1736" t="s">
        <v>12</v>
      </c>
      <c r="F1736" s="5">
        <v>44180</v>
      </c>
      <c r="G1736" s="5">
        <v>44221</v>
      </c>
      <c r="H1736" s="2">
        <v>2</v>
      </c>
      <c r="I1736" s="6"/>
      <c r="J1736" s="6"/>
      <c r="K1736" s="7">
        <v>0.75</v>
      </c>
      <c r="L1736" s="7">
        <v>2294</v>
      </c>
      <c r="M1736" t="s">
        <v>17</v>
      </c>
      <c r="N1736" s="16">
        <f>POWER(SQRT(WorkOrders279[[#This Row],[WorkDate]]-WorkOrders279[[#This Row],[ReqDate]]),2)</f>
        <v>41</v>
      </c>
      <c r="O1736" s="8">
        <f t="array" ref="O1736">INDEX(TechRate,MATCH(H1736,TechNum,0))</f>
        <v>140</v>
      </c>
      <c r="P1736" s="10">
        <f>WorkOrders279[[#This Row],[Techs]]*(WorkOrders279[[#This Row],[PartsCost]]*WorkOrders279[[#This Row],[LbrHrs]])</f>
        <v>3441</v>
      </c>
      <c r="Q1736" s="10">
        <f t="shared" si="155"/>
        <v>3441</v>
      </c>
      <c r="R1736" s="10">
        <f t="shared" si="156"/>
        <v>2294</v>
      </c>
      <c r="S1736" s="10">
        <f t="shared" si="157"/>
        <v>5735</v>
      </c>
      <c r="T1736" s="10">
        <f t="shared" si="158"/>
        <v>5735</v>
      </c>
      <c r="U1736" s="8" t="str">
        <f t="shared" si="159"/>
        <v>Tue</v>
      </c>
      <c r="V1736" s="8" t="str">
        <f t="shared" si="160"/>
        <v>Mon</v>
      </c>
    </row>
    <row r="1737" spans="1:22" hidden="1" x14ac:dyDescent="0.25">
      <c r="A1737" t="s">
        <v>279</v>
      </c>
      <c r="B1737" t="s">
        <v>39</v>
      </c>
      <c r="C1737" t="s">
        <v>8</v>
      </c>
      <c r="D1737" t="s">
        <v>12</v>
      </c>
      <c r="F1737" s="5">
        <v>44181</v>
      </c>
      <c r="G1737" s="5">
        <v>44188</v>
      </c>
      <c r="H1737" s="2">
        <v>1</v>
      </c>
      <c r="I1737" s="6"/>
      <c r="J1737" s="6"/>
      <c r="K1737" s="7">
        <v>1</v>
      </c>
      <c r="L1737" s="7">
        <v>348.7432</v>
      </c>
      <c r="M1737" t="s">
        <v>17</v>
      </c>
      <c r="N1737" s="16">
        <f>POWER(SQRT(WorkOrders279[[#This Row],[WorkDate]]-WorkOrders279[[#This Row],[ReqDate]]),2)</f>
        <v>7.0000000000000009</v>
      </c>
      <c r="O1737" s="8">
        <f t="array" ref="O1737">INDEX(TechRate,MATCH(H1737,TechNum,0))</f>
        <v>80</v>
      </c>
      <c r="P1737" s="10">
        <f>WorkOrders279[[#This Row],[Techs]]*(WorkOrders279[[#This Row],[PartsCost]]*WorkOrders279[[#This Row],[LbrHrs]])</f>
        <v>348.7432</v>
      </c>
      <c r="Q1737" s="10">
        <f t="shared" si="155"/>
        <v>348.7432</v>
      </c>
      <c r="R1737" s="10">
        <f t="shared" si="156"/>
        <v>348.7432</v>
      </c>
      <c r="S1737" s="10">
        <f t="shared" si="157"/>
        <v>697.4864</v>
      </c>
      <c r="T1737" s="10">
        <f t="shared" si="158"/>
        <v>697.4864</v>
      </c>
      <c r="U1737" s="8" t="str">
        <f t="shared" si="159"/>
        <v>Wed</v>
      </c>
      <c r="V1737" s="8" t="str">
        <f t="shared" si="160"/>
        <v>Wed</v>
      </c>
    </row>
    <row r="1738" spans="1:22" hidden="1" x14ac:dyDescent="0.25">
      <c r="A1738" t="s">
        <v>280</v>
      </c>
      <c r="B1738" t="s">
        <v>37</v>
      </c>
      <c r="C1738" t="s">
        <v>43</v>
      </c>
      <c r="D1738" t="s">
        <v>12</v>
      </c>
      <c r="F1738" s="5">
        <v>44181</v>
      </c>
      <c r="G1738" s="5">
        <v>44210</v>
      </c>
      <c r="H1738" s="2">
        <v>1</v>
      </c>
      <c r="I1738" s="6"/>
      <c r="J1738" s="6"/>
      <c r="K1738" s="7">
        <v>0.25</v>
      </c>
      <c r="L1738" s="7">
        <v>140.4</v>
      </c>
      <c r="M1738" t="s">
        <v>17</v>
      </c>
      <c r="N1738" s="16">
        <f>POWER(SQRT(WorkOrders279[[#This Row],[WorkDate]]-WorkOrders279[[#This Row],[ReqDate]]),2)</f>
        <v>28.999999999999996</v>
      </c>
      <c r="O1738" s="8">
        <f t="array" ref="O1738">INDEX(TechRate,MATCH(H1738,TechNum,0))</f>
        <v>80</v>
      </c>
      <c r="P1738" s="10">
        <f>WorkOrders279[[#This Row],[Techs]]*(WorkOrders279[[#This Row],[PartsCost]]*WorkOrders279[[#This Row],[LbrHrs]])</f>
        <v>35.1</v>
      </c>
      <c r="Q1738" s="10">
        <f t="shared" si="155"/>
        <v>35.1</v>
      </c>
      <c r="R1738" s="10">
        <f t="shared" si="156"/>
        <v>140.4</v>
      </c>
      <c r="S1738" s="10">
        <f t="shared" si="157"/>
        <v>175.5</v>
      </c>
      <c r="T1738" s="10">
        <f t="shared" si="158"/>
        <v>175.5</v>
      </c>
      <c r="U1738" s="8" t="str">
        <f t="shared" si="159"/>
        <v>Wed</v>
      </c>
      <c r="V1738" s="8" t="str">
        <f t="shared" si="160"/>
        <v>Thu</v>
      </c>
    </row>
    <row r="1739" spans="1:22" hidden="1" x14ac:dyDescent="0.25">
      <c r="A1739" t="s">
        <v>281</v>
      </c>
      <c r="B1739" t="s">
        <v>40</v>
      </c>
      <c r="C1739" t="s">
        <v>7</v>
      </c>
      <c r="D1739" t="s">
        <v>12</v>
      </c>
      <c r="F1739" s="5">
        <v>44181</v>
      </c>
      <c r="G1739" s="5">
        <v>44228</v>
      </c>
      <c r="H1739" s="2">
        <v>2</v>
      </c>
      <c r="I1739" s="6"/>
      <c r="J1739" s="6"/>
      <c r="K1739" s="7">
        <v>0.5</v>
      </c>
      <c r="L1739" s="7">
        <v>133.99780000000001</v>
      </c>
      <c r="M1739" t="s">
        <v>17</v>
      </c>
      <c r="N1739" s="16">
        <f>POWER(SQRT(WorkOrders279[[#This Row],[WorkDate]]-WorkOrders279[[#This Row],[ReqDate]]),2)</f>
        <v>47</v>
      </c>
      <c r="O1739" s="8">
        <f t="array" ref="O1739">INDEX(TechRate,MATCH(H1739,TechNum,0))</f>
        <v>140</v>
      </c>
      <c r="P1739" s="10">
        <f>WorkOrders279[[#This Row],[Techs]]*(WorkOrders279[[#This Row],[PartsCost]]*WorkOrders279[[#This Row],[LbrHrs]])</f>
        <v>133.99780000000001</v>
      </c>
      <c r="Q1739" s="10">
        <f t="shared" si="155"/>
        <v>133.99780000000001</v>
      </c>
      <c r="R1739" s="10">
        <f t="shared" si="156"/>
        <v>133.99780000000001</v>
      </c>
      <c r="S1739" s="10">
        <f t="shared" si="157"/>
        <v>267.99560000000002</v>
      </c>
      <c r="T1739" s="10">
        <f t="shared" si="158"/>
        <v>267.99560000000002</v>
      </c>
      <c r="U1739" s="8" t="str">
        <f t="shared" si="159"/>
        <v>Wed</v>
      </c>
      <c r="V1739" s="8" t="str">
        <f t="shared" si="160"/>
        <v>Mon</v>
      </c>
    </row>
    <row r="1740" spans="1:22" hidden="1" x14ac:dyDescent="0.25">
      <c r="A1740" t="s">
        <v>282</v>
      </c>
      <c r="B1740" t="s">
        <v>35</v>
      </c>
      <c r="C1740" t="s">
        <v>9</v>
      </c>
      <c r="D1740" t="s">
        <v>2</v>
      </c>
      <c r="F1740" s="5">
        <v>44186</v>
      </c>
      <c r="G1740" s="5">
        <v>44222</v>
      </c>
      <c r="H1740" s="2">
        <v>2</v>
      </c>
      <c r="I1740" s="6"/>
      <c r="J1740" s="6"/>
      <c r="K1740" s="7">
        <v>1</v>
      </c>
      <c r="L1740" s="7">
        <v>305.63040000000001</v>
      </c>
      <c r="M1740" t="s">
        <v>17</v>
      </c>
      <c r="N1740" s="16">
        <f>POWER(SQRT(WorkOrders279[[#This Row],[WorkDate]]-WorkOrders279[[#This Row],[ReqDate]]),2)</f>
        <v>36</v>
      </c>
      <c r="O1740" s="8">
        <f t="array" ref="O1740">INDEX(TechRate,MATCH(H1740,TechNum,0))</f>
        <v>140</v>
      </c>
      <c r="P1740" s="10">
        <f>WorkOrders279[[#This Row],[Techs]]*(WorkOrders279[[#This Row],[PartsCost]]*WorkOrders279[[#This Row],[LbrHrs]])</f>
        <v>611.26080000000002</v>
      </c>
      <c r="Q1740" s="10">
        <f t="shared" si="155"/>
        <v>611.26080000000002</v>
      </c>
      <c r="R1740" s="10">
        <f t="shared" si="156"/>
        <v>305.63040000000001</v>
      </c>
      <c r="S1740" s="10">
        <f t="shared" si="157"/>
        <v>916.89120000000003</v>
      </c>
      <c r="T1740" s="10">
        <f t="shared" si="158"/>
        <v>916.89120000000003</v>
      </c>
      <c r="U1740" s="8" t="str">
        <f t="shared" si="159"/>
        <v>Mon</v>
      </c>
      <c r="V1740" s="8" t="str">
        <f t="shared" si="160"/>
        <v>Tue</v>
      </c>
    </row>
    <row r="1741" spans="1:22" hidden="1" x14ac:dyDescent="0.25">
      <c r="A1741" t="s">
        <v>283</v>
      </c>
      <c r="B1741" t="s">
        <v>35</v>
      </c>
      <c r="C1741" t="s">
        <v>6</v>
      </c>
      <c r="D1741" t="s">
        <v>12</v>
      </c>
      <c r="E1741" t="s">
        <v>3</v>
      </c>
      <c r="F1741" s="5">
        <v>44200</v>
      </c>
      <c r="G1741" s="5">
        <v>44207</v>
      </c>
      <c r="H1741" s="2">
        <v>1</v>
      </c>
      <c r="I1741" s="6"/>
      <c r="J1741" s="6"/>
      <c r="K1741" s="7">
        <v>0.25</v>
      </c>
      <c r="L1741" s="7">
        <v>19.196999999999999</v>
      </c>
      <c r="M1741" t="s">
        <v>17</v>
      </c>
      <c r="N1741" s="16">
        <f>POWER(SQRT(WorkOrders279[[#This Row],[WorkDate]]-WorkOrders279[[#This Row],[ReqDate]]),2)</f>
        <v>7.0000000000000009</v>
      </c>
      <c r="O1741" s="8">
        <f t="array" ref="O1741">INDEX(TechRate,MATCH(H1741,TechNum,0))</f>
        <v>80</v>
      </c>
      <c r="P1741" s="10">
        <f>WorkOrders279[[#This Row],[Techs]]*(WorkOrders279[[#This Row],[PartsCost]]*WorkOrders279[[#This Row],[LbrHrs]])</f>
        <v>4.7992499999999998</v>
      </c>
      <c r="Q1741" s="10">
        <f t="shared" si="155"/>
        <v>4.7992499999999998</v>
      </c>
      <c r="R1741" s="10">
        <f t="shared" si="156"/>
        <v>19.196999999999999</v>
      </c>
      <c r="S1741" s="10">
        <f t="shared" si="157"/>
        <v>23.99625</v>
      </c>
      <c r="T1741" s="10">
        <f t="shared" si="158"/>
        <v>23.99625</v>
      </c>
      <c r="U1741" s="8" t="str">
        <f t="shared" si="159"/>
        <v>Mon</v>
      </c>
      <c r="V1741" s="8" t="str">
        <f t="shared" si="160"/>
        <v>Mon</v>
      </c>
    </row>
    <row r="1742" spans="1:22" hidden="1" x14ac:dyDescent="0.25">
      <c r="A1742" t="s">
        <v>284</v>
      </c>
      <c r="B1742" t="s">
        <v>37</v>
      </c>
      <c r="C1742" t="s">
        <v>43</v>
      </c>
      <c r="D1742" t="s">
        <v>12</v>
      </c>
      <c r="F1742" s="5">
        <v>44200</v>
      </c>
      <c r="G1742" s="5">
        <v>44209</v>
      </c>
      <c r="H1742" s="2">
        <v>1</v>
      </c>
      <c r="I1742" s="6"/>
      <c r="J1742" s="6"/>
      <c r="K1742" s="7">
        <v>0.5</v>
      </c>
      <c r="L1742" s="7">
        <v>18.524999999999999</v>
      </c>
      <c r="M1742" t="s">
        <v>19</v>
      </c>
      <c r="N1742" s="16">
        <f>POWER(SQRT(WorkOrders279[[#This Row],[WorkDate]]-WorkOrders279[[#This Row],[ReqDate]]),2)</f>
        <v>9</v>
      </c>
      <c r="O1742" s="8">
        <f t="array" ref="O1742">INDEX(TechRate,MATCH(H1742,TechNum,0))</f>
        <v>80</v>
      </c>
      <c r="P1742" s="10">
        <f>WorkOrders279[[#This Row],[Techs]]*(WorkOrders279[[#This Row],[PartsCost]]*WorkOrders279[[#This Row],[LbrHrs]])</f>
        <v>9.2624999999999993</v>
      </c>
      <c r="Q1742" s="10">
        <f t="shared" si="155"/>
        <v>9.2624999999999993</v>
      </c>
      <c r="R1742" s="10">
        <f t="shared" si="156"/>
        <v>18.524999999999999</v>
      </c>
      <c r="S1742" s="10">
        <f t="shared" si="157"/>
        <v>27.787499999999998</v>
      </c>
      <c r="T1742" s="10">
        <f t="shared" si="158"/>
        <v>27.787499999999998</v>
      </c>
      <c r="U1742" s="8" t="str">
        <f t="shared" si="159"/>
        <v>Mon</v>
      </c>
      <c r="V1742" s="8" t="str">
        <f t="shared" si="160"/>
        <v>Wed</v>
      </c>
    </row>
    <row r="1743" spans="1:22" hidden="1" x14ac:dyDescent="0.25">
      <c r="A1743" t="s">
        <v>285</v>
      </c>
      <c r="B1743" t="s">
        <v>38</v>
      </c>
      <c r="C1743" t="s">
        <v>43</v>
      </c>
      <c r="D1743" t="s">
        <v>11</v>
      </c>
      <c r="F1743" s="5">
        <v>44200</v>
      </c>
      <c r="G1743" s="5">
        <v>44209</v>
      </c>
      <c r="H1743" s="2">
        <v>1</v>
      </c>
      <c r="I1743" s="6"/>
      <c r="J1743" s="6"/>
      <c r="K1743" s="7">
        <v>0.25</v>
      </c>
      <c r="L1743" s="7">
        <v>39</v>
      </c>
      <c r="M1743" t="s">
        <v>17</v>
      </c>
      <c r="N1743" s="16">
        <f>POWER(SQRT(WorkOrders279[[#This Row],[WorkDate]]-WorkOrders279[[#This Row],[ReqDate]]),2)</f>
        <v>9</v>
      </c>
      <c r="O1743" s="8">
        <f t="array" ref="O1743">INDEX(TechRate,MATCH(H1743,TechNum,0))</f>
        <v>80</v>
      </c>
      <c r="P1743" s="10">
        <f>WorkOrders279[[#This Row],[Techs]]*(WorkOrders279[[#This Row],[PartsCost]]*WorkOrders279[[#This Row],[LbrHrs]])</f>
        <v>9.75</v>
      </c>
      <c r="Q1743" s="10">
        <f t="shared" si="155"/>
        <v>9.75</v>
      </c>
      <c r="R1743" s="10">
        <f t="shared" si="156"/>
        <v>39</v>
      </c>
      <c r="S1743" s="10">
        <f t="shared" si="157"/>
        <v>48.75</v>
      </c>
      <c r="T1743" s="10">
        <f t="shared" si="158"/>
        <v>48.75</v>
      </c>
      <c r="U1743" s="8" t="str">
        <f t="shared" si="159"/>
        <v>Mon</v>
      </c>
      <c r="V1743" s="8" t="str">
        <f t="shared" si="160"/>
        <v>Wed</v>
      </c>
    </row>
    <row r="1744" spans="1:22" hidden="1" x14ac:dyDescent="0.25">
      <c r="A1744" t="s">
        <v>286</v>
      </c>
      <c r="B1744" t="s">
        <v>37</v>
      </c>
      <c r="C1744" t="s">
        <v>43</v>
      </c>
      <c r="D1744" t="s">
        <v>12</v>
      </c>
      <c r="F1744" s="5">
        <v>44200</v>
      </c>
      <c r="G1744" s="5">
        <v>44210</v>
      </c>
      <c r="H1744" s="2">
        <v>2</v>
      </c>
      <c r="I1744" s="6"/>
      <c r="J1744" s="6"/>
      <c r="K1744" s="7">
        <v>0.25</v>
      </c>
      <c r="L1744" s="7">
        <v>36.503999999999998</v>
      </c>
      <c r="M1744" t="s">
        <v>19</v>
      </c>
      <c r="N1744" s="16">
        <f>POWER(SQRT(WorkOrders279[[#This Row],[WorkDate]]-WorkOrders279[[#This Row],[ReqDate]]),2)</f>
        <v>10.000000000000002</v>
      </c>
      <c r="O1744" s="8">
        <f t="array" ref="O1744">INDEX(TechRate,MATCH(H1744,TechNum,0))</f>
        <v>140</v>
      </c>
      <c r="P1744" s="10">
        <f>WorkOrders279[[#This Row],[Techs]]*(WorkOrders279[[#This Row],[PartsCost]]*WorkOrders279[[#This Row],[LbrHrs]])</f>
        <v>18.251999999999999</v>
      </c>
      <c r="Q1744" s="10">
        <f t="shared" si="155"/>
        <v>18.251999999999999</v>
      </c>
      <c r="R1744" s="10">
        <f t="shared" si="156"/>
        <v>36.503999999999998</v>
      </c>
      <c r="S1744" s="10">
        <f t="shared" si="157"/>
        <v>54.756</v>
      </c>
      <c r="T1744" s="10">
        <f t="shared" si="158"/>
        <v>54.756</v>
      </c>
      <c r="U1744" s="8" t="str">
        <f t="shared" si="159"/>
        <v>Mon</v>
      </c>
      <c r="V1744" s="8" t="str">
        <f t="shared" si="160"/>
        <v>Thu</v>
      </c>
    </row>
    <row r="1745" spans="1:22" hidden="1" x14ac:dyDescent="0.25">
      <c r="A1745" t="s">
        <v>287</v>
      </c>
      <c r="B1745" t="s">
        <v>34</v>
      </c>
      <c r="C1745" t="s">
        <v>44</v>
      </c>
      <c r="D1745" t="s">
        <v>12</v>
      </c>
      <c r="F1745" s="5">
        <v>44200</v>
      </c>
      <c r="G1745" s="5">
        <v>44210</v>
      </c>
      <c r="H1745" s="2">
        <v>2</v>
      </c>
      <c r="I1745" s="6"/>
      <c r="J1745" s="6"/>
      <c r="K1745" s="7">
        <v>0.5</v>
      </c>
      <c r="L1745" s="7">
        <v>29.807400000000001</v>
      </c>
      <c r="M1745" t="s">
        <v>18</v>
      </c>
      <c r="N1745" s="16">
        <f>POWER(SQRT(WorkOrders279[[#This Row],[WorkDate]]-WorkOrders279[[#This Row],[ReqDate]]),2)</f>
        <v>10.000000000000002</v>
      </c>
      <c r="O1745" s="8">
        <f t="array" ref="O1745">INDEX(TechRate,MATCH(H1745,TechNum,0))</f>
        <v>140</v>
      </c>
      <c r="P1745" s="10">
        <f>WorkOrders279[[#This Row],[Techs]]*(WorkOrders279[[#This Row],[PartsCost]]*WorkOrders279[[#This Row],[LbrHrs]])</f>
        <v>29.807400000000001</v>
      </c>
      <c r="Q1745" s="10">
        <f t="shared" si="155"/>
        <v>29.807400000000001</v>
      </c>
      <c r="R1745" s="10">
        <f t="shared" si="156"/>
        <v>29.807400000000001</v>
      </c>
      <c r="S1745" s="10">
        <f t="shared" si="157"/>
        <v>59.614800000000002</v>
      </c>
      <c r="T1745" s="10">
        <f t="shared" si="158"/>
        <v>59.614800000000002</v>
      </c>
      <c r="U1745" s="8" t="str">
        <f t="shared" si="159"/>
        <v>Mon</v>
      </c>
      <c r="V1745" s="8" t="str">
        <f t="shared" si="160"/>
        <v>Thu</v>
      </c>
    </row>
    <row r="1746" spans="1:22" hidden="1" x14ac:dyDescent="0.25">
      <c r="A1746" t="s">
        <v>288</v>
      </c>
      <c r="B1746" t="s">
        <v>34</v>
      </c>
      <c r="C1746" t="s">
        <v>6</v>
      </c>
      <c r="D1746" t="s">
        <v>12</v>
      </c>
      <c r="F1746" s="5">
        <v>44200</v>
      </c>
      <c r="G1746" s="5">
        <v>44210</v>
      </c>
      <c r="H1746" s="2">
        <v>1</v>
      </c>
      <c r="I1746" s="6"/>
      <c r="J1746" s="6"/>
      <c r="K1746" s="7">
        <v>0.25</v>
      </c>
      <c r="L1746" s="7">
        <v>43.02</v>
      </c>
      <c r="M1746" t="s">
        <v>17</v>
      </c>
      <c r="N1746" s="16">
        <f>POWER(SQRT(WorkOrders279[[#This Row],[WorkDate]]-WorkOrders279[[#This Row],[ReqDate]]),2)</f>
        <v>10.000000000000002</v>
      </c>
      <c r="O1746" s="8">
        <f t="array" ref="O1746">INDEX(TechRate,MATCH(H1746,TechNum,0))</f>
        <v>80</v>
      </c>
      <c r="P1746" s="10">
        <f>WorkOrders279[[#This Row],[Techs]]*(WorkOrders279[[#This Row],[PartsCost]]*WorkOrders279[[#This Row],[LbrHrs]])</f>
        <v>10.755000000000001</v>
      </c>
      <c r="Q1746" s="10">
        <f t="shared" si="155"/>
        <v>10.755000000000001</v>
      </c>
      <c r="R1746" s="10">
        <f t="shared" si="156"/>
        <v>43.02</v>
      </c>
      <c r="S1746" s="10">
        <f t="shared" si="157"/>
        <v>53.775000000000006</v>
      </c>
      <c r="T1746" s="10">
        <f t="shared" si="158"/>
        <v>53.775000000000006</v>
      </c>
      <c r="U1746" s="8" t="str">
        <f t="shared" si="159"/>
        <v>Mon</v>
      </c>
      <c r="V1746" s="8" t="str">
        <f t="shared" si="160"/>
        <v>Thu</v>
      </c>
    </row>
    <row r="1747" spans="1:22" hidden="1" x14ac:dyDescent="0.25">
      <c r="A1747" t="s">
        <v>289</v>
      </c>
      <c r="B1747" t="s">
        <v>35</v>
      </c>
      <c r="C1747" t="s">
        <v>9</v>
      </c>
      <c r="D1747" t="s">
        <v>11</v>
      </c>
      <c r="F1747" s="5">
        <v>44200</v>
      </c>
      <c r="G1747" s="5">
        <v>44217</v>
      </c>
      <c r="H1747" s="2">
        <v>1</v>
      </c>
      <c r="I1747" s="6"/>
      <c r="J1747" s="6"/>
      <c r="K1747" s="7">
        <v>0.25</v>
      </c>
      <c r="L1747" s="7">
        <v>66.864900000000006</v>
      </c>
      <c r="M1747" t="s">
        <v>17</v>
      </c>
      <c r="N1747" s="16">
        <f>POWER(SQRT(WorkOrders279[[#This Row],[WorkDate]]-WorkOrders279[[#This Row],[ReqDate]]),2)</f>
        <v>17</v>
      </c>
      <c r="O1747" s="8">
        <f t="array" ref="O1747">INDEX(TechRate,MATCH(H1747,TechNum,0))</f>
        <v>80</v>
      </c>
      <c r="P1747" s="10">
        <f>WorkOrders279[[#This Row],[Techs]]*(WorkOrders279[[#This Row],[PartsCost]]*WorkOrders279[[#This Row],[LbrHrs]])</f>
        <v>16.716225000000001</v>
      </c>
      <c r="Q1747" s="10">
        <f t="shared" si="155"/>
        <v>16.716225000000001</v>
      </c>
      <c r="R1747" s="10">
        <f t="shared" si="156"/>
        <v>66.864900000000006</v>
      </c>
      <c r="S1747" s="10">
        <f t="shared" si="157"/>
        <v>83.581125000000014</v>
      </c>
      <c r="T1747" s="10">
        <f t="shared" si="158"/>
        <v>83.581125000000014</v>
      </c>
      <c r="U1747" s="8" t="str">
        <f t="shared" si="159"/>
        <v>Mon</v>
      </c>
      <c r="V1747" s="8" t="str">
        <f t="shared" si="160"/>
        <v>Thu</v>
      </c>
    </row>
    <row r="1748" spans="1:22" hidden="1" x14ac:dyDescent="0.25">
      <c r="A1748" t="s">
        <v>290</v>
      </c>
      <c r="B1748" t="s">
        <v>35</v>
      </c>
      <c r="C1748" t="s">
        <v>9</v>
      </c>
      <c r="D1748" t="s">
        <v>13</v>
      </c>
      <c r="F1748" s="5">
        <v>44200</v>
      </c>
      <c r="G1748" s="5">
        <v>44238</v>
      </c>
      <c r="H1748" s="2">
        <v>1</v>
      </c>
      <c r="I1748" s="6"/>
      <c r="J1748" s="6"/>
      <c r="K1748" s="7">
        <v>0.75</v>
      </c>
      <c r="L1748" s="7">
        <v>408.56790000000001</v>
      </c>
      <c r="M1748" t="s">
        <v>17</v>
      </c>
      <c r="N1748" s="16">
        <f>POWER(SQRT(WorkOrders279[[#This Row],[WorkDate]]-WorkOrders279[[#This Row],[ReqDate]]),2)</f>
        <v>37.999999999999993</v>
      </c>
      <c r="O1748" s="8">
        <f t="array" ref="O1748">INDEX(TechRate,MATCH(H1748,TechNum,0))</f>
        <v>80</v>
      </c>
      <c r="P1748" s="10">
        <f>WorkOrders279[[#This Row],[Techs]]*(WorkOrders279[[#This Row],[PartsCost]]*WorkOrders279[[#This Row],[LbrHrs]])</f>
        <v>306.42592500000001</v>
      </c>
      <c r="Q1748" s="10">
        <f t="shared" si="155"/>
        <v>306.42592500000001</v>
      </c>
      <c r="R1748" s="10">
        <f t="shared" si="156"/>
        <v>408.56790000000001</v>
      </c>
      <c r="S1748" s="10">
        <f t="shared" si="157"/>
        <v>714.99382500000002</v>
      </c>
      <c r="T1748" s="10">
        <f t="shared" si="158"/>
        <v>714.99382500000002</v>
      </c>
      <c r="U1748" s="8" t="str">
        <f t="shared" si="159"/>
        <v>Mon</v>
      </c>
      <c r="V1748" s="8" t="str">
        <f t="shared" si="160"/>
        <v>Thu</v>
      </c>
    </row>
    <row r="1749" spans="1:22" hidden="1" x14ac:dyDescent="0.25">
      <c r="A1749" t="s">
        <v>291</v>
      </c>
      <c r="B1749" t="s">
        <v>37</v>
      </c>
      <c r="C1749" t="s">
        <v>43</v>
      </c>
      <c r="D1749" t="s">
        <v>12</v>
      </c>
      <c r="F1749" s="5">
        <v>44201</v>
      </c>
      <c r="G1749" s="5">
        <v>44210</v>
      </c>
      <c r="H1749" s="2">
        <v>1</v>
      </c>
      <c r="I1749" s="6"/>
      <c r="J1749" s="6"/>
      <c r="K1749" s="7">
        <v>0.25</v>
      </c>
      <c r="L1749" s="7">
        <v>25.2486</v>
      </c>
      <c r="M1749" t="s">
        <v>19</v>
      </c>
      <c r="N1749" s="16">
        <f>POWER(SQRT(WorkOrders279[[#This Row],[WorkDate]]-WorkOrders279[[#This Row],[ReqDate]]),2)</f>
        <v>9</v>
      </c>
      <c r="O1749" s="8">
        <f t="array" ref="O1749">INDEX(TechRate,MATCH(H1749,TechNum,0))</f>
        <v>80</v>
      </c>
      <c r="P1749" s="10">
        <f>WorkOrders279[[#This Row],[Techs]]*(WorkOrders279[[#This Row],[PartsCost]]*WorkOrders279[[#This Row],[LbrHrs]])</f>
        <v>6.3121499999999999</v>
      </c>
      <c r="Q1749" s="10">
        <f t="shared" si="155"/>
        <v>6.3121499999999999</v>
      </c>
      <c r="R1749" s="10">
        <f t="shared" si="156"/>
        <v>25.2486</v>
      </c>
      <c r="S1749" s="10">
        <f t="shared" si="157"/>
        <v>31.560749999999999</v>
      </c>
      <c r="T1749" s="10">
        <f t="shared" si="158"/>
        <v>31.560749999999999</v>
      </c>
      <c r="U1749" s="8" t="str">
        <f t="shared" si="159"/>
        <v>Tue</v>
      </c>
      <c r="V1749" s="8" t="str">
        <f t="shared" si="160"/>
        <v>Thu</v>
      </c>
    </row>
    <row r="1750" spans="1:22" hidden="1" x14ac:dyDescent="0.25">
      <c r="A1750" t="s">
        <v>292</v>
      </c>
      <c r="B1750" t="s">
        <v>34</v>
      </c>
      <c r="C1750" t="s">
        <v>44</v>
      </c>
      <c r="D1750" t="s">
        <v>13</v>
      </c>
      <c r="F1750" s="5">
        <v>44201</v>
      </c>
      <c r="G1750" s="5">
        <v>44221</v>
      </c>
      <c r="H1750" s="2">
        <v>1</v>
      </c>
      <c r="I1750" s="6"/>
      <c r="J1750" s="6"/>
      <c r="K1750" s="7">
        <v>1.25</v>
      </c>
      <c r="L1750" s="7">
        <v>646</v>
      </c>
      <c r="M1750" t="s">
        <v>17</v>
      </c>
      <c r="N1750" s="16">
        <f>POWER(SQRT(WorkOrders279[[#This Row],[WorkDate]]-WorkOrders279[[#This Row],[ReqDate]]),2)</f>
        <v>20.000000000000004</v>
      </c>
      <c r="O1750" s="8">
        <f t="array" ref="O1750">INDEX(TechRate,MATCH(H1750,TechNum,0))</f>
        <v>80</v>
      </c>
      <c r="P1750" s="10">
        <f>WorkOrders279[[#This Row],[Techs]]*(WorkOrders279[[#This Row],[PartsCost]]*WorkOrders279[[#This Row],[LbrHrs]])</f>
        <v>807.5</v>
      </c>
      <c r="Q1750" s="10">
        <f t="shared" si="155"/>
        <v>807.5</v>
      </c>
      <c r="R1750" s="10">
        <f t="shared" si="156"/>
        <v>646</v>
      </c>
      <c r="S1750" s="10">
        <f t="shared" si="157"/>
        <v>1453.5</v>
      </c>
      <c r="T1750" s="10">
        <f t="shared" si="158"/>
        <v>1453.5</v>
      </c>
      <c r="U1750" s="8" t="str">
        <f t="shared" si="159"/>
        <v>Tue</v>
      </c>
      <c r="V1750" s="8" t="str">
        <f t="shared" si="160"/>
        <v>Mon</v>
      </c>
    </row>
    <row r="1751" spans="1:22" hidden="1" x14ac:dyDescent="0.25">
      <c r="A1751" t="s">
        <v>293</v>
      </c>
      <c r="B1751" t="s">
        <v>34</v>
      </c>
      <c r="C1751" t="s">
        <v>6</v>
      </c>
      <c r="D1751" t="s">
        <v>11</v>
      </c>
      <c r="F1751" s="5">
        <v>44201</v>
      </c>
      <c r="G1751" s="5">
        <v>44226</v>
      </c>
      <c r="H1751" s="2">
        <v>1</v>
      </c>
      <c r="I1751" s="6"/>
      <c r="J1751" s="6"/>
      <c r="K1751" s="7">
        <v>0.25</v>
      </c>
      <c r="L1751" s="7">
        <v>125.4194</v>
      </c>
      <c r="M1751" t="s">
        <v>18</v>
      </c>
      <c r="N1751" s="16">
        <f>POWER(SQRT(WorkOrders279[[#This Row],[WorkDate]]-WorkOrders279[[#This Row],[ReqDate]]),2)</f>
        <v>25</v>
      </c>
      <c r="O1751" s="8">
        <f t="array" ref="O1751">INDEX(TechRate,MATCH(H1751,TechNum,0))</f>
        <v>80</v>
      </c>
      <c r="P1751" s="10">
        <f>WorkOrders279[[#This Row],[Techs]]*(WorkOrders279[[#This Row],[PartsCost]]*WorkOrders279[[#This Row],[LbrHrs]])</f>
        <v>31.354849999999999</v>
      </c>
      <c r="Q1751" s="10">
        <f t="shared" si="155"/>
        <v>31.354849999999999</v>
      </c>
      <c r="R1751" s="10">
        <f t="shared" si="156"/>
        <v>125.4194</v>
      </c>
      <c r="S1751" s="10">
        <f t="shared" si="157"/>
        <v>156.77424999999999</v>
      </c>
      <c r="T1751" s="10">
        <f t="shared" si="158"/>
        <v>156.77424999999999</v>
      </c>
      <c r="U1751" s="8" t="str">
        <f t="shared" si="159"/>
        <v>Tue</v>
      </c>
      <c r="V1751" s="8" t="str">
        <f t="shared" si="160"/>
        <v>Sat</v>
      </c>
    </row>
    <row r="1752" spans="1:22" hidden="1" x14ac:dyDescent="0.25">
      <c r="A1752" t="s">
        <v>294</v>
      </c>
      <c r="B1752" t="s">
        <v>35</v>
      </c>
      <c r="C1752" t="s">
        <v>8</v>
      </c>
      <c r="D1752" t="s">
        <v>12</v>
      </c>
      <c r="F1752" s="5">
        <v>44201</v>
      </c>
      <c r="G1752" s="5">
        <v>44229</v>
      </c>
      <c r="H1752" s="2">
        <v>2</v>
      </c>
      <c r="I1752" s="6"/>
      <c r="J1752" s="6"/>
      <c r="K1752" s="7">
        <v>0.75</v>
      </c>
      <c r="L1752" s="7">
        <v>286.73230000000001</v>
      </c>
      <c r="M1752" t="s">
        <v>17</v>
      </c>
      <c r="N1752" s="16">
        <f>POWER(SQRT(WorkOrders279[[#This Row],[WorkDate]]-WorkOrders279[[#This Row],[ReqDate]]),2)</f>
        <v>28.000000000000004</v>
      </c>
      <c r="O1752" s="8">
        <f t="array" ref="O1752">INDEX(TechRate,MATCH(H1752,TechNum,0))</f>
        <v>140</v>
      </c>
      <c r="P1752" s="10">
        <f>WorkOrders279[[#This Row],[Techs]]*(WorkOrders279[[#This Row],[PartsCost]]*WorkOrders279[[#This Row],[LbrHrs]])</f>
        <v>430.09845000000001</v>
      </c>
      <c r="Q1752" s="10">
        <f t="shared" si="155"/>
        <v>430.09845000000001</v>
      </c>
      <c r="R1752" s="10">
        <f t="shared" si="156"/>
        <v>286.73230000000001</v>
      </c>
      <c r="S1752" s="10">
        <f t="shared" si="157"/>
        <v>716.83075000000008</v>
      </c>
      <c r="T1752" s="10">
        <f t="shared" si="158"/>
        <v>716.83075000000008</v>
      </c>
      <c r="U1752" s="8" t="str">
        <f t="shared" si="159"/>
        <v>Tue</v>
      </c>
      <c r="V1752" s="8" t="str">
        <f t="shared" si="160"/>
        <v>Tue</v>
      </c>
    </row>
    <row r="1753" spans="1:22" hidden="1" x14ac:dyDescent="0.25">
      <c r="A1753" t="s">
        <v>295</v>
      </c>
      <c r="B1753" t="s">
        <v>37</v>
      </c>
      <c r="C1753" t="s">
        <v>6</v>
      </c>
      <c r="D1753" t="s">
        <v>1</v>
      </c>
      <c r="F1753" s="5">
        <v>44201</v>
      </c>
      <c r="G1753" s="5">
        <v>44229</v>
      </c>
      <c r="H1753" s="2">
        <v>1</v>
      </c>
      <c r="I1753" s="6"/>
      <c r="J1753" s="6"/>
      <c r="K1753" s="7">
        <v>2.5</v>
      </c>
      <c r="L1753" s="7">
        <v>258.02780000000001</v>
      </c>
      <c r="M1753" t="s">
        <v>18</v>
      </c>
      <c r="N1753" s="16">
        <f>POWER(SQRT(WorkOrders279[[#This Row],[WorkDate]]-WorkOrders279[[#This Row],[ReqDate]]),2)</f>
        <v>28.000000000000004</v>
      </c>
      <c r="O1753" s="8">
        <f t="array" ref="O1753">INDEX(TechRate,MATCH(H1753,TechNum,0))</f>
        <v>80</v>
      </c>
      <c r="P1753" s="10">
        <f>WorkOrders279[[#This Row],[Techs]]*(WorkOrders279[[#This Row],[PartsCost]]*WorkOrders279[[#This Row],[LbrHrs]])</f>
        <v>645.06950000000006</v>
      </c>
      <c r="Q1753" s="10">
        <f t="shared" si="155"/>
        <v>645.06950000000006</v>
      </c>
      <c r="R1753" s="10">
        <f t="shared" si="156"/>
        <v>258.02780000000001</v>
      </c>
      <c r="S1753" s="10">
        <f t="shared" si="157"/>
        <v>903.09730000000013</v>
      </c>
      <c r="T1753" s="10">
        <f t="shared" si="158"/>
        <v>903.09730000000013</v>
      </c>
      <c r="U1753" s="8" t="str">
        <f t="shared" si="159"/>
        <v>Tue</v>
      </c>
      <c r="V1753" s="8" t="str">
        <f t="shared" si="160"/>
        <v>Tue</v>
      </c>
    </row>
    <row r="1754" spans="1:22" hidden="1" x14ac:dyDescent="0.25">
      <c r="A1754" t="s">
        <v>296</v>
      </c>
      <c r="B1754" t="s">
        <v>37</v>
      </c>
      <c r="C1754" t="s">
        <v>43</v>
      </c>
      <c r="D1754" t="s">
        <v>12</v>
      </c>
      <c r="F1754" s="5">
        <v>44201</v>
      </c>
      <c r="G1754" s="5">
        <v>44320</v>
      </c>
      <c r="H1754" s="2">
        <v>1</v>
      </c>
      <c r="I1754" s="6"/>
      <c r="J1754" s="6"/>
      <c r="K1754" s="7">
        <v>0.25</v>
      </c>
      <c r="L1754" s="7">
        <v>14.3</v>
      </c>
      <c r="M1754" t="s">
        <v>19</v>
      </c>
      <c r="N1754" s="16">
        <f>POWER(SQRT(WorkOrders279[[#This Row],[WorkDate]]-WorkOrders279[[#This Row],[ReqDate]]),2)</f>
        <v>118.99999999999999</v>
      </c>
      <c r="O1754" s="8">
        <f t="array" ref="O1754">INDEX(TechRate,MATCH(H1754,TechNum,0))</f>
        <v>80</v>
      </c>
      <c r="P1754" s="10">
        <f>WorkOrders279[[#This Row],[Techs]]*(WorkOrders279[[#This Row],[PartsCost]]*WorkOrders279[[#This Row],[LbrHrs]])</f>
        <v>3.5750000000000002</v>
      </c>
      <c r="Q1754" s="10">
        <f t="shared" si="155"/>
        <v>3.5750000000000002</v>
      </c>
      <c r="R1754" s="10">
        <f t="shared" si="156"/>
        <v>14.3</v>
      </c>
      <c r="S1754" s="10">
        <f t="shared" si="157"/>
        <v>17.875</v>
      </c>
      <c r="T1754" s="10">
        <f t="shared" si="158"/>
        <v>17.875</v>
      </c>
      <c r="U1754" s="8" t="str">
        <f t="shared" si="159"/>
        <v>Tue</v>
      </c>
      <c r="V1754" s="8" t="str">
        <f t="shared" si="160"/>
        <v>Tue</v>
      </c>
    </row>
    <row r="1755" spans="1:22" hidden="1" x14ac:dyDescent="0.25">
      <c r="A1755" t="s">
        <v>297</v>
      </c>
      <c r="B1755" t="s">
        <v>37</v>
      </c>
      <c r="C1755" t="s">
        <v>43</v>
      </c>
      <c r="D1755" t="s">
        <v>12</v>
      </c>
      <c r="F1755" s="5">
        <v>44202</v>
      </c>
      <c r="G1755" s="5">
        <v>44214</v>
      </c>
      <c r="H1755" s="2">
        <v>1</v>
      </c>
      <c r="I1755" s="6"/>
      <c r="J1755" s="6"/>
      <c r="K1755" s="7">
        <v>0.25</v>
      </c>
      <c r="L1755" s="7">
        <v>44.85</v>
      </c>
      <c r="M1755" t="s">
        <v>19</v>
      </c>
      <c r="N1755" s="16">
        <f>POWER(SQRT(WorkOrders279[[#This Row],[WorkDate]]-WorkOrders279[[#This Row],[ReqDate]]),2)</f>
        <v>11.999999999999998</v>
      </c>
      <c r="O1755" s="8">
        <f t="array" ref="O1755">INDEX(TechRate,MATCH(H1755,TechNum,0))</f>
        <v>80</v>
      </c>
      <c r="P1755" s="10">
        <f>WorkOrders279[[#This Row],[Techs]]*(WorkOrders279[[#This Row],[PartsCost]]*WorkOrders279[[#This Row],[LbrHrs]])</f>
        <v>11.2125</v>
      </c>
      <c r="Q1755" s="10">
        <f t="shared" si="155"/>
        <v>11.2125</v>
      </c>
      <c r="R1755" s="10">
        <f t="shared" si="156"/>
        <v>44.85</v>
      </c>
      <c r="S1755" s="10">
        <f t="shared" si="157"/>
        <v>56.0625</v>
      </c>
      <c r="T1755" s="10">
        <f t="shared" si="158"/>
        <v>56.0625</v>
      </c>
      <c r="U1755" s="8" t="str">
        <f t="shared" si="159"/>
        <v>Wed</v>
      </c>
      <c r="V1755" s="8" t="str">
        <f t="shared" si="160"/>
        <v>Mon</v>
      </c>
    </row>
    <row r="1756" spans="1:22" hidden="1" x14ac:dyDescent="0.25">
      <c r="A1756" t="s">
        <v>298</v>
      </c>
      <c r="B1756" t="s">
        <v>35</v>
      </c>
      <c r="C1756" t="s">
        <v>6</v>
      </c>
      <c r="D1756" t="s">
        <v>12</v>
      </c>
      <c r="F1756" s="5">
        <v>44202</v>
      </c>
      <c r="G1756" s="5">
        <v>44217</v>
      </c>
      <c r="H1756" s="2">
        <v>2</v>
      </c>
      <c r="I1756" s="6"/>
      <c r="J1756" s="6"/>
      <c r="K1756" s="7">
        <v>0.5</v>
      </c>
      <c r="L1756" s="7">
        <v>74.607699999999994</v>
      </c>
      <c r="M1756" t="s">
        <v>18</v>
      </c>
      <c r="N1756" s="16">
        <f>POWER(SQRT(WorkOrders279[[#This Row],[WorkDate]]-WorkOrders279[[#This Row],[ReqDate]]),2)</f>
        <v>15.000000000000002</v>
      </c>
      <c r="O1756" s="8">
        <f t="array" ref="O1756">INDEX(TechRate,MATCH(H1756,TechNum,0))</f>
        <v>140</v>
      </c>
      <c r="P1756" s="10">
        <f>WorkOrders279[[#This Row],[Techs]]*(WorkOrders279[[#This Row],[PartsCost]]*WorkOrders279[[#This Row],[LbrHrs]])</f>
        <v>74.607699999999994</v>
      </c>
      <c r="Q1756" s="10">
        <f t="shared" si="155"/>
        <v>74.607699999999994</v>
      </c>
      <c r="R1756" s="10">
        <f t="shared" si="156"/>
        <v>74.607699999999994</v>
      </c>
      <c r="S1756" s="10">
        <f t="shared" si="157"/>
        <v>149.21539999999999</v>
      </c>
      <c r="T1756" s="10">
        <f t="shared" si="158"/>
        <v>149.21539999999999</v>
      </c>
      <c r="U1756" s="8" t="str">
        <f t="shared" si="159"/>
        <v>Wed</v>
      </c>
      <c r="V1756" s="8" t="str">
        <f t="shared" si="160"/>
        <v>Thu</v>
      </c>
    </row>
    <row r="1757" spans="1:22" hidden="1" x14ac:dyDescent="0.25">
      <c r="A1757" t="s">
        <v>299</v>
      </c>
      <c r="B1757" t="s">
        <v>36</v>
      </c>
      <c r="C1757" t="s">
        <v>7</v>
      </c>
      <c r="D1757" t="s">
        <v>13</v>
      </c>
      <c r="E1757" t="s">
        <v>3</v>
      </c>
      <c r="F1757" s="5">
        <v>44202</v>
      </c>
      <c r="G1757" s="5">
        <v>44230</v>
      </c>
      <c r="H1757" s="2">
        <v>2</v>
      </c>
      <c r="I1757" s="6"/>
      <c r="J1757" s="6"/>
      <c r="K1757" s="7">
        <v>0.5</v>
      </c>
      <c r="L1757" s="7">
        <v>126.71469999999999</v>
      </c>
      <c r="M1757" t="s">
        <v>17</v>
      </c>
      <c r="N1757" s="16">
        <f>POWER(SQRT(WorkOrders279[[#This Row],[WorkDate]]-WorkOrders279[[#This Row],[ReqDate]]),2)</f>
        <v>28.000000000000004</v>
      </c>
      <c r="O1757" s="8">
        <f t="array" ref="O1757">INDEX(TechRate,MATCH(H1757,TechNum,0))</f>
        <v>140</v>
      </c>
      <c r="P1757" s="10">
        <f>WorkOrders279[[#This Row],[Techs]]*(WorkOrders279[[#This Row],[PartsCost]]*WorkOrders279[[#This Row],[LbrHrs]])</f>
        <v>126.71469999999999</v>
      </c>
      <c r="Q1757" s="10">
        <f t="shared" si="155"/>
        <v>126.71469999999999</v>
      </c>
      <c r="R1757" s="10">
        <f t="shared" si="156"/>
        <v>126.71469999999999</v>
      </c>
      <c r="S1757" s="10">
        <f t="shared" si="157"/>
        <v>253.42939999999999</v>
      </c>
      <c r="T1757" s="10">
        <f t="shared" si="158"/>
        <v>253.42939999999999</v>
      </c>
      <c r="U1757" s="8" t="str">
        <f t="shared" si="159"/>
        <v>Wed</v>
      </c>
      <c r="V1757" s="8" t="str">
        <f t="shared" si="160"/>
        <v>Wed</v>
      </c>
    </row>
    <row r="1758" spans="1:22" hidden="1" x14ac:dyDescent="0.25">
      <c r="A1758" t="s">
        <v>300</v>
      </c>
      <c r="B1758" t="s">
        <v>36</v>
      </c>
      <c r="C1758" t="s">
        <v>7</v>
      </c>
      <c r="D1758" t="s">
        <v>13</v>
      </c>
      <c r="F1758" s="5">
        <v>44202</v>
      </c>
      <c r="G1758" s="5">
        <v>44259</v>
      </c>
      <c r="H1758" s="2">
        <v>2</v>
      </c>
      <c r="I1758" s="6"/>
      <c r="J1758" s="6"/>
      <c r="K1758" s="7">
        <v>1.25</v>
      </c>
      <c r="L1758" s="7">
        <v>256.83999999999997</v>
      </c>
      <c r="M1758" t="s">
        <v>17</v>
      </c>
      <c r="N1758" s="16">
        <f>POWER(SQRT(WorkOrders279[[#This Row],[WorkDate]]-WorkOrders279[[#This Row],[ReqDate]]),2)</f>
        <v>57</v>
      </c>
      <c r="O1758" s="8">
        <f t="array" ref="O1758">INDEX(TechRate,MATCH(H1758,TechNum,0))</f>
        <v>140</v>
      </c>
      <c r="P1758" s="10">
        <f>WorkOrders279[[#This Row],[Techs]]*(WorkOrders279[[#This Row],[PartsCost]]*WorkOrders279[[#This Row],[LbrHrs]])</f>
        <v>642.09999999999991</v>
      </c>
      <c r="Q1758" s="10">
        <f t="shared" si="155"/>
        <v>642.09999999999991</v>
      </c>
      <c r="R1758" s="10">
        <f t="shared" si="156"/>
        <v>256.83999999999997</v>
      </c>
      <c r="S1758" s="10">
        <f t="shared" si="157"/>
        <v>898.93999999999983</v>
      </c>
      <c r="T1758" s="10">
        <f t="shared" si="158"/>
        <v>898.93999999999983</v>
      </c>
      <c r="U1758" s="8" t="str">
        <f t="shared" si="159"/>
        <v>Wed</v>
      </c>
      <c r="V1758" s="8" t="str">
        <f t="shared" si="160"/>
        <v>Thu</v>
      </c>
    </row>
    <row r="1759" spans="1:22" hidden="1" x14ac:dyDescent="0.25">
      <c r="A1759" t="s">
        <v>301</v>
      </c>
      <c r="B1759" t="s">
        <v>39</v>
      </c>
      <c r="C1759" t="s">
        <v>44</v>
      </c>
      <c r="D1759" t="s">
        <v>11</v>
      </c>
      <c r="F1759" s="5">
        <v>44203</v>
      </c>
      <c r="G1759" s="5">
        <v>44215</v>
      </c>
      <c r="H1759" s="2">
        <v>1</v>
      </c>
      <c r="I1759" s="6"/>
      <c r="J1759" s="6"/>
      <c r="K1759" s="7">
        <v>0.25</v>
      </c>
      <c r="L1759" s="7">
        <v>32.6706</v>
      </c>
      <c r="M1759" t="s">
        <v>19</v>
      </c>
      <c r="N1759" s="16">
        <f>POWER(SQRT(WorkOrders279[[#This Row],[WorkDate]]-WorkOrders279[[#This Row],[ReqDate]]),2)</f>
        <v>11.999999999999998</v>
      </c>
      <c r="O1759" s="8">
        <f t="array" ref="O1759">INDEX(TechRate,MATCH(H1759,TechNum,0))</f>
        <v>80</v>
      </c>
      <c r="P1759" s="10">
        <f>WorkOrders279[[#This Row],[Techs]]*(WorkOrders279[[#This Row],[PartsCost]]*WorkOrders279[[#This Row],[LbrHrs]])</f>
        <v>8.1676500000000001</v>
      </c>
      <c r="Q1759" s="10">
        <f t="shared" si="155"/>
        <v>8.1676500000000001</v>
      </c>
      <c r="R1759" s="10">
        <f t="shared" si="156"/>
        <v>32.6706</v>
      </c>
      <c r="S1759" s="10">
        <f t="shared" si="157"/>
        <v>40.838250000000002</v>
      </c>
      <c r="T1759" s="10">
        <f t="shared" si="158"/>
        <v>40.838250000000002</v>
      </c>
      <c r="U1759" s="8" t="str">
        <f t="shared" si="159"/>
        <v>Thu</v>
      </c>
      <c r="V1759" s="8" t="str">
        <f t="shared" si="160"/>
        <v>Tue</v>
      </c>
    </row>
    <row r="1760" spans="1:22" hidden="1" x14ac:dyDescent="0.25">
      <c r="A1760" t="s">
        <v>302</v>
      </c>
      <c r="B1760" t="s">
        <v>35</v>
      </c>
      <c r="C1760" t="s">
        <v>44</v>
      </c>
      <c r="D1760" t="s">
        <v>12</v>
      </c>
      <c r="E1760" t="s">
        <v>3</v>
      </c>
      <c r="F1760" s="5">
        <v>44203</v>
      </c>
      <c r="G1760" s="5">
        <v>44228</v>
      </c>
      <c r="H1760" s="2">
        <v>2</v>
      </c>
      <c r="I1760" s="6"/>
      <c r="J1760" s="6"/>
      <c r="K1760" s="7">
        <v>0.5</v>
      </c>
      <c r="L1760" s="7">
        <v>72.350099999999998</v>
      </c>
      <c r="M1760" t="s">
        <v>17</v>
      </c>
      <c r="N1760" s="16">
        <f>POWER(SQRT(WorkOrders279[[#This Row],[WorkDate]]-WorkOrders279[[#This Row],[ReqDate]]),2)</f>
        <v>25</v>
      </c>
      <c r="O1760" s="8">
        <f t="array" ref="O1760">INDEX(TechRate,MATCH(H1760,TechNum,0))</f>
        <v>140</v>
      </c>
      <c r="P1760" s="10">
        <f>WorkOrders279[[#This Row],[Techs]]*(WorkOrders279[[#This Row],[PartsCost]]*WorkOrders279[[#This Row],[LbrHrs]])</f>
        <v>72.350099999999998</v>
      </c>
      <c r="Q1760" s="10">
        <f t="shared" si="155"/>
        <v>72.350099999999998</v>
      </c>
      <c r="R1760" s="10">
        <f t="shared" si="156"/>
        <v>72.350099999999998</v>
      </c>
      <c r="S1760" s="10">
        <f t="shared" si="157"/>
        <v>144.7002</v>
      </c>
      <c r="T1760" s="10">
        <f t="shared" si="158"/>
        <v>144.7002</v>
      </c>
      <c r="U1760" s="8" t="str">
        <f t="shared" si="159"/>
        <v>Thu</v>
      </c>
      <c r="V1760" s="8" t="str">
        <f t="shared" si="160"/>
        <v>Mon</v>
      </c>
    </row>
    <row r="1761" spans="1:22" hidden="1" x14ac:dyDescent="0.25">
      <c r="A1761" t="s">
        <v>303</v>
      </c>
      <c r="B1761" t="s">
        <v>36</v>
      </c>
      <c r="C1761" t="s">
        <v>7</v>
      </c>
      <c r="D1761" t="s">
        <v>13</v>
      </c>
      <c r="F1761" s="5">
        <v>44203</v>
      </c>
      <c r="G1761" s="5">
        <v>44232</v>
      </c>
      <c r="H1761" s="2">
        <v>2</v>
      </c>
      <c r="I1761" s="6"/>
      <c r="J1761" s="6"/>
      <c r="K1761" s="7">
        <v>0.5</v>
      </c>
      <c r="L1761" s="7">
        <v>178.49889999999999</v>
      </c>
      <c r="M1761" t="s">
        <v>18</v>
      </c>
      <c r="N1761" s="16">
        <f>POWER(SQRT(WorkOrders279[[#This Row],[WorkDate]]-WorkOrders279[[#This Row],[ReqDate]]),2)</f>
        <v>28.999999999999996</v>
      </c>
      <c r="O1761" s="8">
        <f t="array" ref="O1761">INDEX(TechRate,MATCH(H1761,TechNum,0))</f>
        <v>140</v>
      </c>
      <c r="P1761" s="10">
        <f>WorkOrders279[[#This Row],[Techs]]*(WorkOrders279[[#This Row],[PartsCost]]*WorkOrders279[[#This Row],[LbrHrs]])</f>
        <v>178.49889999999999</v>
      </c>
      <c r="Q1761" s="10">
        <f t="shared" ref="Q1761:Q1824" si="161">IF(I1761="Yes",0,P1761)</f>
        <v>178.49889999999999</v>
      </c>
      <c r="R1761" s="10">
        <f t="shared" ref="R1761:R1824" si="162">IF(J1761="Yes",0,L1761)</f>
        <v>178.49889999999999</v>
      </c>
      <c r="S1761" s="10">
        <f t="shared" ref="S1761:S1824" si="163">SUM(L1761,P1761)</f>
        <v>356.99779999999998</v>
      </c>
      <c r="T1761" s="10">
        <f t="shared" ref="T1761:T1824" si="164">SUM(Q1761,R1761)</f>
        <v>356.99779999999998</v>
      </c>
      <c r="U1761" s="8" t="str">
        <f t="shared" ref="U1761:U1824" si="165">TEXT(F1761,"ddd")</f>
        <v>Thu</v>
      </c>
      <c r="V1761" s="8" t="str">
        <f t="shared" ref="V1761:V1824" si="166">TEXT(G1761,"ddd")</f>
        <v>Fri</v>
      </c>
    </row>
    <row r="1762" spans="1:22" hidden="1" x14ac:dyDescent="0.25">
      <c r="A1762" t="s">
        <v>304</v>
      </c>
      <c r="B1762" t="s">
        <v>35</v>
      </c>
      <c r="C1762" t="s">
        <v>9</v>
      </c>
      <c r="D1762" t="s">
        <v>13</v>
      </c>
      <c r="F1762" s="5">
        <v>44203</v>
      </c>
      <c r="G1762" s="5">
        <v>44249</v>
      </c>
      <c r="H1762" s="2">
        <v>1</v>
      </c>
      <c r="I1762" s="6"/>
      <c r="J1762" s="6"/>
      <c r="K1762" s="7">
        <v>0.5</v>
      </c>
      <c r="L1762" s="7">
        <v>18.254899999999999</v>
      </c>
      <c r="M1762" t="s">
        <v>18</v>
      </c>
      <c r="N1762" s="16">
        <f>POWER(SQRT(WorkOrders279[[#This Row],[WorkDate]]-WorkOrders279[[#This Row],[ReqDate]]),2)</f>
        <v>46</v>
      </c>
      <c r="O1762" s="8">
        <f t="array" ref="O1762">INDEX(TechRate,MATCH(H1762,TechNum,0))</f>
        <v>80</v>
      </c>
      <c r="P1762" s="10">
        <f>WorkOrders279[[#This Row],[Techs]]*(WorkOrders279[[#This Row],[PartsCost]]*WorkOrders279[[#This Row],[LbrHrs]])</f>
        <v>9.1274499999999996</v>
      </c>
      <c r="Q1762" s="10">
        <f t="shared" si="161"/>
        <v>9.1274499999999996</v>
      </c>
      <c r="R1762" s="10">
        <f t="shared" si="162"/>
        <v>18.254899999999999</v>
      </c>
      <c r="S1762" s="10">
        <f t="shared" si="163"/>
        <v>27.382349999999999</v>
      </c>
      <c r="T1762" s="10">
        <f t="shared" si="164"/>
        <v>27.382349999999999</v>
      </c>
      <c r="U1762" s="8" t="str">
        <f t="shared" si="165"/>
        <v>Thu</v>
      </c>
      <c r="V1762" s="8" t="str">
        <f t="shared" si="166"/>
        <v>Mon</v>
      </c>
    </row>
    <row r="1763" spans="1:22" hidden="1" x14ac:dyDescent="0.25">
      <c r="A1763" t="s">
        <v>305</v>
      </c>
      <c r="B1763" t="s">
        <v>36</v>
      </c>
      <c r="C1763" t="s">
        <v>7</v>
      </c>
      <c r="D1763" t="s">
        <v>12</v>
      </c>
      <c r="F1763" s="5">
        <v>44203</v>
      </c>
      <c r="G1763" s="5">
        <v>44249</v>
      </c>
      <c r="H1763" s="2">
        <v>2</v>
      </c>
      <c r="I1763" s="6"/>
      <c r="J1763" s="6"/>
      <c r="K1763" s="7">
        <v>1.75</v>
      </c>
      <c r="L1763" s="7">
        <v>151.8099</v>
      </c>
      <c r="M1763" t="s">
        <v>18</v>
      </c>
      <c r="N1763" s="16">
        <f>POWER(SQRT(WorkOrders279[[#This Row],[WorkDate]]-WorkOrders279[[#This Row],[ReqDate]]),2)</f>
        <v>46</v>
      </c>
      <c r="O1763" s="8">
        <f t="array" ref="O1763">INDEX(TechRate,MATCH(H1763,TechNum,0))</f>
        <v>140</v>
      </c>
      <c r="P1763" s="10">
        <f>WorkOrders279[[#This Row],[Techs]]*(WorkOrders279[[#This Row],[PartsCost]]*WorkOrders279[[#This Row],[LbrHrs]])</f>
        <v>531.33465000000001</v>
      </c>
      <c r="Q1763" s="10">
        <f t="shared" si="161"/>
        <v>531.33465000000001</v>
      </c>
      <c r="R1763" s="10">
        <f t="shared" si="162"/>
        <v>151.8099</v>
      </c>
      <c r="S1763" s="10">
        <f t="shared" si="163"/>
        <v>683.14454999999998</v>
      </c>
      <c r="T1763" s="10">
        <f t="shared" si="164"/>
        <v>683.14454999999998</v>
      </c>
      <c r="U1763" s="8" t="str">
        <f t="shared" si="165"/>
        <v>Thu</v>
      </c>
      <c r="V1763" s="8" t="str">
        <f t="shared" si="166"/>
        <v>Mon</v>
      </c>
    </row>
    <row r="1764" spans="1:22" hidden="1" x14ac:dyDescent="0.25">
      <c r="A1764" t="s">
        <v>306</v>
      </c>
      <c r="B1764" t="s">
        <v>39</v>
      </c>
      <c r="C1764" t="s">
        <v>9</v>
      </c>
      <c r="D1764" t="s">
        <v>11</v>
      </c>
      <c r="F1764" s="5">
        <v>44204</v>
      </c>
      <c r="G1764" s="5">
        <v>44212</v>
      </c>
      <c r="H1764" s="2">
        <v>1</v>
      </c>
      <c r="I1764" s="6"/>
      <c r="J1764" s="6"/>
      <c r="K1764" s="7">
        <v>0.25</v>
      </c>
      <c r="L1764" s="7">
        <v>85.085899999999995</v>
      </c>
      <c r="M1764" t="s">
        <v>18</v>
      </c>
      <c r="N1764" s="16">
        <f>POWER(SQRT(WorkOrders279[[#This Row],[WorkDate]]-WorkOrders279[[#This Row],[ReqDate]]),2)</f>
        <v>8.0000000000000018</v>
      </c>
      <c r="O1764" s="8">
        <f t="array" ref="O1764">INDEX(TechRate,MATCH(H1764,TechNum,0))</f>
        <v>80</v>
      </c>
      <c r="P1764" s="10">
        <f>WorkOrders279[[#This Row],[Techs]]*(WorkOrders279[[#This Row],[PartsCost]]*WorkOrders279[[#This Row],[LbrHrs]])</f>
        <v>21.271474999999999</v>
      </c>
      <c r="Q1764" s="10">
        <f t="shared" si="161"/>
        <v>21.271474999999999</v>
      </c>
      <c r="R1764" s="10">
        <f t="shared" si="162"/>
        <v>85.085899999999995</v>
      </c>
      <c r="S1764" s="10">
        <f t="shared" si="163"/>
        <v>106.35737499999999</v>
      </c>
      <c r="T1764" s="10">
        <f t="shared" si="164"/>
        <v>106.35737499999999</v>
      </c>
      <c r="U1764" s="8" t="str">
        <f t="shared" si="165"/>
        <v>Fri</v>
      </c>
      <c r="V1764" s="8" t="str">
        <f t="shared" si="166"/>
        <v>Sat</v>
      </c>
    </row>
    <row r="1765" spans="1:22" hidden="1" x14ac:dyDescent="0.25">
      <c r="A1765" t="s">
        <v>307</v>
      </c>
      <c r="B1765" t="s">
        <v>37</v>
      </c>
      <c r="C1765" t="s">
        <v>43</v>
      </c>
      <c r="D1765" t="s">
        <v>12</v>
      </c>
      <c r="F1765" s="5">
        <v>44204</v>
      </c>
      <c r="G1765" s="5">
        <v>44228</v>
      </c>
      <c r="H1765" s="2">
        <v>1</v>
      </c>
      <c r="I1765" s="6"/>
      <c r="J1765" s="6"/>
      <c r="K1765" s="7">
        <v>0.25</v>
      </c>
      <c r="L1765" s="7">
        <v>67.067700000000002</v>
      </c>
      <c r="M1765" t="s">
        <v>17</v>
      </c>
      <c r="N1765" s="16">
        <f>POWER(SQRT(WorkOrders279[[#This Row],[WorkDate]]-WorkOrders279[[#This Row],[ReqDate]]),2)</f>
        <v>23.999999999999996</v>
      </c>
      <c r="O1765" s="8">
        <f t="array" ref="O1765">INDEX(TechRate,MATCH(H1765,TechNum,0))</f>
        <v>80</v>
      </c>
      <c r="P1765" s="10">
        <f>WorkOrders279[[#This Row],[Techs]]*(WorkOrders279[[#This Row],[PartsCost]]*WorkOrders279[[#This Row],[LbrHrs]])</f>
        <v>16.766925000000001</v>
      </c>
      <c r="Q1765" s="10">
        <f t="shared" si="161"/>
        <v>16.766925000000001</v>
      </c>
      <c r="R1765" s="10">
        <f t="shared" si="162"/>
        <v>67.067700000000002</v>
      </c>
      <c r="S1765" s="10">
        <f t="shared" si="163"/>
        <v>83.834625000000003</v>
      </c>
      <c r="T1765" s="10">
        <f t="shared" si="164"/>
        <v>83.834625000000003</v>
      </c>
      <c r="U1765" s="8" t="str">
        <f t="shared" si="165"/>
        <v>Fri</v>
      </c>
      <c r="V1765" s="8" t="str">
        <f t="shared" si="166"/>
        <v>Mon</v>
      </c>
    </row>
    <row r="1766" spans="1:22" hidden="1" x14ac:dyDescent="0.25">
      <c r="A1766" t="s">
        <v>308</v>
      </c>
      <c r="B1766" t="s">
        <v>37</v>
      </c>
      <c r="C1766" t="s">
        <v>43</v>
      </c>
      <c r="D1766" t="s">
        <v>11</v>
      </c>
      <c r="F1766" s="5">
        <v>44207</v>
      </c>
      <c r="G1766" s="5">
        <v>44217</v>
      </c>
      <c r="H1766" s="2">
        <v>1</v>
      </c>
      <c r="I1766" s="6"/>
      <c r="J1766" s="6"/>
      <c r="K1766" s="7">
        <v>0.25</v>
      </c>
      <c r="L1766" s="7">
        <v>162.20959999999999</v>
      </c>
      <c r="M1766" t="s">
        <v>17</v>
      </c>
      <c r="N1766" s="16">
        <f>POWER(SQRT(WorkOrders279[[#This Row],[WorkDate]]-WorkOrders279[[#This Row],[ReqDate]]),2)</f>
        <v>10.000000000000002</v>
      </c>
      <c r="O1766" s="8">
        <f t="array" ref="O1766">INDEX(TechRate,MATCH(H1766,TechNum,0))</f>
        <v>80</v>
      </c>
      <c r="P1766" s="10">
        <f>WorkOrders279[[#This Row],[Techs]]*(WorkOrders279[[#This Row],[PartsCost]]*WorkOrders279[[#This Row],[LbrHrs]])</f>
        <v>40.552399999999999</v>
      </c>
      <c r="Q1766" s="10">
        <f t="shared" si="161"/>
        <v>40.552399999999999</v>
      </c>
      <c r="R1766" s="10">
        <f t="shared" si="162"/>
        <v>162.20959999999999</v>
      </c>
      <c r="S1766" s="10">
        <f t="shared" si="163"/>
        <v>202.762</v>
      </c>
      <c r="T1766" s="10">
        <f t="shared" si="164"/>
        <v>202.762</v>
      </c>
      <c r="U1766" s="8" t="str">
        <f t="shared" si="165"/>
        <v>Mon</v>
      </c>
      <c r="V1766" s="8" t="str">
        <f t="shared" si="166"/>
        <v>Thu</v>
      </c>
    </row>
    <row r="1767" spans="1:22" hidden="1" x14ac:dyDescent="0.25">
      <c r="A1767" t="s">
        <v>309</v>
      </c>
      <c r="B1767" t="s">
        <v>39</v>
      </c>
      <c r="C1767" t="s">
        <v>9</v>
      </c>
      <c r="D1767" t="s">
        <v>1</v>
      </c>
      <c r="F1767" s="5">
        <v>44207</v>
      </c>
      <c r="G1767" s="5">
        <v>44224</v>
      </c>
      <c r="H1767" s="2">
        <v>1</v>
      </c>
      <c r="I1767" s="6"/>
      <c r="J1767" s="6"/>
      <c r="K1767" s="7">
        <v>1.25</v>
      </c>
      <c r="L1767" s="7">
        <v>53.688699999999997</v>
      </c>
      <c r="M1767" t="s">
        <v>17</v>
      </c>
      <c r="N1767" s="16">
        <f>POWER(SQRT(WorkOrders279[[#This Row],[WorkDate]]-WorkOrders279[[#This Row],[ReqDate]]),2)</f>
        <v>17</v>
      </c>
      <c r="O1767" s="8">
        <f t="array" ref="O1767">INDEX(TechRate,MATCH(H1767,TechNum,0))</f>
        <v>80</v>
      </c>
      <c r="P1767" s="10">
        <f>WorkOrders279[[#This Row],[Techs]]*(WorkOrders279[[#This Row],[PartsCost]]*WorkOrders279[[#This Row],[LbrHrs]])</f>
        <v>67.110874999999993</v>
      </c>
      <c r="Q1767" s="10">
        <f t="shared" si="161"/>
        <v>67.110874999999993</v>
      </c>
      <c r="R1767" s="10">
        <f t="shared" si="162"/>
        <v>53.688699999999997</v>
      </c>
      <c r="S1767" s="10">
        <f t="shared" si="163"/>
        <v>120.79957499999999</v>
      </c>
      <c r="T1767" s="10">
        <f t="shared" si="164"/>
        <v>120.79957499999999</v>
      </c>
      <c r="U1767" s="8" t="str">
        <f t="shared" si="165"/>
        <v>Mon</v>
      </c>
      <c r="V1767" s="8" t="str">
        <f t="shared" si="166"/>
        <v>Thu</v>
      </c>
    </row>
    <row r="1768" spans="1:22" hidden="1" x14ac:dyDescent="0.25">
      <c r="A1768" t="s">
        <v>310</v>
      </c>
      <c r="B1768" t="s">
        <v>39</v>
      </c>
      <c r="C1768" t="s">
        <v>6</v>
      </c>
      <c r="D1768" t="s">
        <v>12</v>
      </c>
      <c r="F1768" s="5">
        <v>44207</v>
      </c>
      <c r="G1768" s="5">
        <v>44228</v>
      </c>
      <c r="H1768" s="2">
        <v>2</v>
      </c>
      <c r="I1768" s="6"/>
      <c r="J1768" s="6"/>
      <c r="K1768" s="7">
        <v>1</v>
      </c>
      <c r="L1768" s="7">
        <v>211.8477</v>
      </c>
      <c r="M1768" t="s">
        <v>18</v>
      </c>
      <c r="N1768" s="16">
        <f>POWER(SQRT(WorkOrders279[[#This Row],[WorkDate]]-WorkOrders279[[#This Row],[ReqDate]]),2)</f>
        <v>21</v>
      </c>
      <c r="O1768" s="8">
        <f t="array" ref="O1768">INDEX(TechRate,MATCH(H1768,TechNum,0))</f>
        <v>140</v>
      </c>
      <c r="P1768" s="10">
        <f>WorkOrders279[[#This Row],[Techs]]*(WorkOrders279[[#This Row],[PartsCost]]*WorkOrders279[[#This Row],[LbrHrs]])</f>
        <v>423.69540000000001</v>
      </c>
      <c r="Q1768" s="10">
        <f t="shared" si="161"/>
        <v>423.69540000000001</v>
      </c>
      <c r="R1768" s="10">
        <f t="shared" si="162"/>
        <v>211.8477</v>
      </c>
      <c r="S1768" s="10">
        <f t="shared" si="163"/>
        <v>635.54309999999998</v>
      </c>
      <c r="T1768" s="10">
        <f t="shared" si="164"/>
        <v>635.54309999999998</v>
      </c>
      <c r="U1768" s="8" t="str">
        <f t="shared" si="165"/>
        <v>Mon</v>
      </c>
      <c r="V1768" s="8" t="str">
        <f t="shared" si="166"/>
        <v>Mon</v>
      </c>
    </row>
    <row r="1769" spans="1:22" hidden="1" x14ac:dyDescent="0.25">
      <c r="A1769" t="s">
        <v>311</v>
      </c>
      <c r="B1769" t="s">
        <v>37</v>
      </c>
      <c r="C1769" t="s">
        <v>43</v>
      </c>
      <c r="D1769" t="s">
        <v>12</v>
      </c>
      <c r="F1769" s="5">
        <v>44207</v>
      </c>
      <c r="G1769" s="5">
        <v>44228</v>
      </c>
      <c r="H1769" s="2">
        <v>1</v>
      </c>
      <c r="I1769" s="6"/>
      <c r="J1769" s="6"/>
      <c r="K1769" s="7">
        <v>0.25</v>
      </c>
      <c r="L1769" s="7">
        <v>150.31899999999999</v>
      </c>
      <c r="M1769" t="s">
        <v>19</v>
      </c>
      <c r="N1769" s="16">
        <f>POWER(SQRT(WorkOrders279[[#This Row],[WorkDate]]-WorkOrders279[[#This Row],[ReqDate]]),2)</f>
        <v>21</v>
      </c>
      <c r="O1769" s="8">
        <f t="array" ref="O1769">INDEX(TechRate,MATCH(H1769,TechNum,0))</f>
        <v>80</v>
      </c>
      <c r="P1769" s="10">
        <f>WorkOrders279[[#This Row],[Techs]]*(WorkOrders279[[#This Row],[PartsCost]]*WorkOrders279[[#This Row],[LbrHrs]])</f>
        <v>37.579749999999997</v>
      </c>
      <c r="Q1769" s="10">
        <f t="shared" si="161"/>
        <v>37.579749999999997</v>
      </c>
      <c r="R1769" s="10">
        <f t="shared" si="162"/>
        <v>150.31899999999999</v>
      </c>
      <c r="S1769" s="10">
        <f t="shared" si="163"/>
        <v>187.89874999999998</v>
      </c>
      <c r="T1769" s="10">
        <f t="shared" si="164"/>
        <v>187.89874999999998</v>
      </c>
      <c r="U1769" s="8" t="str">
        <f t="shared" si="165"/>
        <v>Mon</v>
      </c>
      <c r="V1769" s="8" t="str">
        <f t="shared" si="166"/>
        <v>Mon</v>
      </c>
    </row>
    <row r="1770" spans="1:22" hidden="1" x14ac:dyDescent="0.25">
      <c r="A1770" t="s">
        <v>312</v>
      </c>
      <c r="B1770" t="s">
        <v>40</v>
      </c>
      <c r="C1770" t="s">
        <v>7</v>
      </c>
      <c r="D1770" t="s">
        <v>12</v>
      </c>
      <c r="F1770" s="5">
        <v>44207</v>
      </c>
      <c r="G1770" s="5">
        <v>44250</v>
      </c>
      <c r="H1770" s="2">
        <v>2</v>
      </c>
      <c r="I1770" s="6"/>
      <c r="J1770" s="6"/>
      <c r="K1770" s="7">
        <v>0.25</v>
      </c>
      <c r="L1770" s="7">
        <v>46.864899999999999</v>
      </c>
      <c r="M1770" t="s">
        <v>17</v>
      </c>
      <c r="N1770" s="16">
        <f>POWER(SQRT(WorkOrders279[[#This Row],[WorkDate]]-WorkOrders279[[#This Row],[ReqDate]]),2)</f>
        <v>42.999999999999993</v>
      </c>
      <c r="O1770" s="8">
        <f t="array" ref="O1770">INDEX(TechRate,MATCH(H1770,TechNum,0))</f>
        <v>140</v>
      </c>
      <c r="P1770" s="10">
        <f>WorkOrders279[[#This Row],[Techs]]*(WorkOrders279[[#This Row],[PartsCost]]*WorkOrders279[[#This Row],[LbrHrs]])</f>
        <v>23.432449999999999</v>
      </c>
      <c r="Q1770" s="10">
        <f t="shared" si="161"/>
        <v>23.432449999999999</v>
      </c>
      <c r="R1770" s="10">
        <f t="shared" si="162"/>
        <v>46.864899999999999</v>
      </c>
      <c r="S1770" s="10">
        <f t="shared" si="163"/>
        <v>70.297349999999994</v>
      </c>
      <c r="T1770" s="10">
        <f t="shared" si="164"/>
        <v>70.297349999999994</v>
      </c>
      <c r="U1770" s="8" t="str">
        <f t="shared" si="165"/>
        <v>Mon</v>
      </c>
      <c r="V1770" s="8" t="str">
        <f t="shared" si="166"/>
        <v>Tue</v>
      </c>
    </row>
    <row r="1771" spans="1:22" hidden="1" x14ac:dyDescent="0.25">
      <c r="A1771" t="s">
        <v>313</v>
      </c>
      <c r="B1771" t="s">
        <v>37</v>
      </c>
      <c r="C1771" t="s">
        <v>43</v>
      </c>
      <c r="D1771" t="s">
        <v>12</v>
      </c>
      <c r="F1771" s="5">
        <v>44208</v>
      </c>
      <c r="G1771" s="5">
        <v>44217</v>
      </c>
      <c r="H1771" s="2">
        <v>1</v>
      </c>
      <c r="I1771" s="6"/>
      <c r="J1771" s="6"/>
      <c r="K1771" s="7">
        <v>0.25</v>
      </c>
      <c r="L1771" s="7">
        <v>19.5</v>
      </c>
      <c r="M1771" t="s">
        <v>19</v>
      </c>
      <c r="N1771" s="16">
        <f>POWER(SQRT(WorkOrders279[[#This Row],[WorkDate]]-WorkOrders279[[#This Row],[ReqDate]]),2)</f>
        <v>9</v>
      </c>
      <c r="O1771" s="8">
        <f t="array" ref="O1771">INDEX(TechRate,MATCH(H1771,TechNum,0))</f>
        <v>80</v>
      </c>
      <c r="P1771" s="10">
        <f>WorkOrders279[[#This Row],[Techs]]*(WorkOrders279[[#This Row],[PartsCost]]*WorkOrders279[[#This Row],[LbrHrs]])</f>
        <v>4.875</v>
      </c>
      <c r="Q1771" s="10">
        <f t="shared" si="161"/>
        <v>4.875</v>
      </c>
      <c r="R1771" s="10">
        <f t="shared" si="162"/>
        <v>19.5</v>
      </c>
      <c r="S1771" s="10">
        <f t="shared" si="163"/>
        <v>24.375</v>
      </c>
      <c r="T1771" s="10">
        <f t="shared" si="164"/>
        <v>24.375</v>
      </c>
      <c r="U1771" s="8" t="str">
        <f t="shared" si="165"/>
        <v>Tue</v>
      </c>
      <c r="V1771" s="8" t="str">
        <f t="shared" si="166"/>
        <v>Thu</v>
      </c>
    </row>
    <row r="1772" spans="1:22" hidden="1" x14ac:dyDescent="0.25">
      <c r="A1772" t="s">
        <v>314</v>
      </c>
      <c r="B1772" t="s">
        <v>34</v>
      </c>
      <c r="C1772" t="s">
        <v>44</v>
      </c>
      <c r="D1772" t="s">
        <v>13</v>
      </c>
      <c r="F1772" s="5">
        <v>44208</v>
      </c>
      <c r="G1772" s="5">
        <v>44215</v>
      </c>
      <c r="H1772" s="2">
        <v>1</v>
      </c>
      <c r="I1772" s="6"/>
      <c r="J1772" s="6"/>
      <c r="K1772" s="7">
        <v>1.25</v>
      </c>
      <c r="L1772" s="7">
        <v>256.71809999999999</v>
      </c>
      <c r="M1772" t="s">
        <v>18</v>
      </c>
      <c r="N1772" s="16">
        <f>POWER(SQRT(WorkOrders279[[#This Row],[WorkDate]]-WorkOrders279[[#This Row],[ReqDate]]),2)</f>
        <v>7.0000000000000009</v>
      </c>
      <c r="O1772" s="8">
        <f t="array" ref="O1772">INDEX(TechRate,MATCH(H1772,TechNum,0))</f>
        <v>80</v>
      </c>
      <c r="P1772" s="10">
        <f>WorkOrders279[[#This Row],[Techs]]*(WorkOrders279[[#This Row],[PartsCost]]*WorkOrders279[[#This Row],[LbrHrs]])</f>
        <v>320.89762500000001</v>
      </c>
      <c r="Q1772" s="10">
        <f t="shared" si="161"/>
        <v>320.89762500000001</v>
      </c>
      <c r="R1772" s="10">
        <f t="shared" si="162"/>
        <v>256.71809999999999</v>
      </c>
      <c r="S1772" s="10">
        <f t="shared" si="163"/>
        <v>577.615725</v>
      </c>
      <c r="T1772" s="10">
        <f t="shared" si="164"/>
        <v>577.615725</v>
      </c>
      <c r="U1772" s="8" t="str">
        <f t="shared" si="165"/>
        <v>Tue</v>
      </c>
      <c r="V1772" s="8" t="str">
        <f t="shared" si="166"/>
        <v>Tue</v>
      </c>
    </row>
    <row r="1773" spans="1:22" hidden="1" x14ac:dyDescent="0.25">
      <c r="A1773" t="s">
        <v>315</v>
      </c>
      <c r="B1773" t="s">
        <v>35</v>
      </c>
      <c r="C1773" t="s">
        <v>8</v>
      </c>
      <c r="D1773" t="s">
        <v>13</v>
      </c>
      <c r="F1773" s="5">
        <v>44209</v>
      </c>
      <c r="G1773" s="5">
        <v>44226</v>
      </c>
      <c r="H1773" s="2">
        <v>1</v>
      </c>
      <c r="I1773" s="6"/>
      <c r="J1773" s="6"/>
      <c r="K1773" s="7">
        <v>1</v>
      </c>
      <c r="L1773" s="7">
        <v>86.293499999999995</v>
      </c>
      <c r="M1773" t="s">
        <v>18</v>
      </c>
      <c r="N1773" s="16">
        <f>POWER(SQRT(WorkOrders279[[#This Row],[WorkDate]]-WorkOrders279[[#This Row],[ReqDate]]),2)</f>
        <v>17</v>
      </c>
      <c r="O1773" s="8">
        <f t="array" ref="O1773">INDEX(TechRate,MATCH(H1773,TechNum,0))</f>
        <v>80</v>
      </c>
      <c r="P1773" s="10">
        <f>WorkOrders279[[#This Row],[Techs]]*(WorkOrders279[[#This Row],[PartsCost]]*WorkOrders279[[#This Row],[LbrHrs]])</f>
        <v>86.293499999999995</v>
      </c>
      <c r="Q1773" s="10">
        <f t="shared" si="161"/>
        <v>86.293499999999995</v>
      </c>
      <c r="R1773" s="10">
        <f t="shared" si="162"/>
        <v>86.293499999999995</v>
      </c>
      <c r="S1773" s="10">
        <f t="shared" si="163"/>
        <v>172.58699999999999</v>
      </c>
      <c r="T1773" s="10">
        <f t="shared" si="164"/>
        <v>172.58699999999999</v>
      </c>
      <c r="U1773" s="8" t="str">
        <f t="shared" si="165"/>
        <v>Wed</v>
      </c>
      <c r="V1773" s="8" t="str">
        <f t="shared" si="166"/>
        <v>Sat</v>
      </c>
    </row>
    <row r="1774" spans="1:22" hidden="1" x14ac:dyDescent="0.25">
      <c r="A1774" t="s">
        <v>316</v>
      </c>
      <c r="B1774" t="s">
        <v>37</v>
      </c>
      <c r="C1774" t="s">
        <v>43</v>
      </c>
      <c r="D1774" t="s">
        <v>12</v>
      </c>
      <c r="F1774" s="5">
        <v>44210</v>
      </c>
      <c r="G1774" s="5">
        <v>44215</v>
      </c>
      <c r="H1774" s="2">
        <v>1</v>
      </c>
      <c r="I1774" s="6"/>
      <c r="J1774" s="6"/>
      <c r="K1774" s="7">
        <v>0.25</v>
      </c>
      <c r="L1774" s="7">
        <v>108.3061</v>
      </c>
      <c r="M1774" t="s">
        <v>19</v>
      </c>
      <c r="N1774" s="16">
        <f>POWER(SQRT(WorkOrders279[[#This Row],[WorkDate]]-WorkOrders279[[#This Row],[ReqDate]]),2)</f>
        <v>5.0000000000000009</v>
      </c>
      <c r="O1774" s="8">
        <f t="array" ref="O1774">INDEX(TechRate,MATCH(H1774,TechNum,0))</f>
        <v>80</v>
      </c>
      <c r="P1774" s="10">
        <f>WorkOrders279[[#This Row],[Techs]]*(WorkOrders279[[#This Row],[PartsCost]]*WorkOrders279[[#This Row],[LbrHrs]])</f>
        <v>27.076525</v>
      </c>
      <c r="Q1774" s="10">
        <f t="shared" si="161"/>
        <v>27.076525</v>
      </c>
      <c r="R1774" s="10">
        <f t="shared" si="162"/>
        <v>108.3061</v>
      </c>
      <c r="S1774" s="10">
        <f t="shared" si="163"/>
        <v>135.38262499999999</v>
      </c>
      <c r="T1774" s="10">
        <f t="shared" si="164"/>
        <v>135.38262499999999</v>
      </c>
      <c r="U1774" s="8" t="str">
        <f t="shared" si="165"/>
        <v>Thu</v>
      </c>
      <c r="V1774" s="8" t="str">
        <f t="shared" si="166"/>
        <v>Tue</v>
      </c>
    </row>
    <row r="1775" spans="1:22" hidden="1" x14ac:dyDescent="0.25">
      <c r="A1775" t="s">
        <v>317</v>
      </c>
      <c r="B1775" t="s">
        <v>39</v>
      </c>
      <c r="C1775" t="s">
        <v>44</v>
      </c>
      <c r="D1775" t="s">
        <v>12</v>
      </c>
      <c r="F1775" s="5">
        <v>44210</v>
      </c>
      <c r="G1775" s="5">
        <v>44221</v>
      </c>
      <c r="H1775" s="2">
        <v>1</v>
      </c>
      <c r="I1775" s="6"/>
      <c r="J1775" s="6"/>
      <c r="K1775" s="7">
        <v>0.25</v>
      </c>
      <c r="L1775" s="7">
        <v>70.8215</v>
      </c>
      <c r="M1775" t="s">
        <v>18</v>
      </c>
      <c r="N1775" s="16">
        <f>POWER(SQRT(WorkOrders279[[#This Row],[WorkDate]]-WorkOrders279[[#This Row],[ReqDate]]),2)</f>
        <v>11</v>
      </c>
      <c r="O1775" s="8">
        <f t="array" ref="O1775">INDEX(TechRate,MATCH(H1775,TechNum,0))</f>
        <v>80</v>
      </c>
      <c r="P1775" s="10">
        <f>WorkOrders279[[#This Row],[Techs]]*(WorkOrders279[[#This Row],[PartsCost]]*WorkOrders279[[#This Row],[LbrHrs]])</f>
        <v>17.705375</v>
      </c>
      <c r="Q1775" s="10">
        <f t="shared" si="161"/>
        <v>17.705375</v>
      </c>
      <c r="R1775" s="10">
        <f t="shared" si="162"/>
        <v>70.8215</v>
      </c>
      <c r="S1775" s="10">
        <f t="shared" si="163"/>
        <v>88.526875000000004</v>
      </c>
      <c r="T1775" s="10">
        <f t="shared" si="164"/>
        <v>88.526875000000004</v>
      </c>
      <c r="U1775" s="8" t="str">
        <f t="shared" si="165"/>
        <v>Thu</v>
      </c>
      <c r="V1775" s="8" t="str">
        <f t="shared" si="166"/>
        <v>Mon</v>
      </c>
    </row>
    <row r="1776" spans="1:22" hidden="1" x14ac:dyDescent="0.25">
      <c r="A1776" t="s">
        <v>318</v>
      </c>
      <c r="B1776" t="s">
        <v>37</v>
      </c>
      <c r="C1776" t="s">
        <v>43</v>
      </c>
      <c r="D1776" t="s">
        <v>12</v>
      </c>
      <c r="E1776" t="s">
        <v>3</v>
      </c>
      <c r="F1776" s="5">
        <v>44210</v>
      </c>
      <c r="G1776" s="5">
        <v>44228</v>
      </c>
      <c r="H1776" s="2">
        <v>1</v>
      </c>
      <c r="I1776" s="6"/>
      <c r="J1776" s="6"/>
      <c r="K1776" s="7">
        <v>0.5</v>
      </c>
      <c r="L1776" s="7">
        <v>56.919600000000003</v>
      </c>
      <c r="M1776" t="s">
        <v>17</v>
      </c>
      <c r="N1776" s="16">
        <f>POWER(SQRT(WorkOrders279[[#This Row],[WorkDate]]-WorkOrders279[[#This Row],[ReqDate]]),2)</f>
        <v>17.999999999999996</v>
      </c>
      <c r="O1776" s="8">
        <f t="array" ref="O1776">INDEX(TechRate,MATCH(H1776,TechNum,0))</f>
        <v>80</v>
      </c>
      <c r="P1776" s="10">
        <f>WorkOrders279[[#This Row],[Techs]]*(WorkOrders279[[#This Row],[PartsCost]]*WorkOrders279[[#This Row],[LbrHrs]])</f>
        <v>28.459800000000001</v>
      </c>
      <c r="Q1776" s="10">
        <f t="shared" si="161"/>
        <v>28.459800000000001</v>
      </c>
      <c r="R1776" s="10">
        <f t="shared" si="162"/>
        <v>56.919600000000003</v>
      </c>
      <c r="S1776" s="10">
        <f t="shared" si="163"/>
        <v>85.379400000000004</v>
      </c>
      <c r="T1776" s="10">
        <f t="shared" si="164"/>
        <v>85.379400000000004</v>
      </c>
      <c r="U1776" s="8" t="str">
        <f t="shared" si="165"/>
        <v>Thu</v>
      </c>
      <c r="V1776" s="8" t="str">
        <f t="shared" si="166"/>
        <v>Mon</v>
      </c>
    </row>
    <row r="1777" spans="1:22" hidden="1" x14ac:dyDescent="0.25">
      <c r="A1777" t="s">
        <v>319</v>
      </c>
      <c r="B1777" t="s">
        <v>35</v>
      </c>
      <c r="C1777" t="s">
        <v>9</v>
      </c>
      <c r="D1777" t="s">
        <v>12</v>
      </c>
      <c r="F1777" s="5">
        <v>44210</v>
      </c>
      <c r="G1777" s="5">
        <v>44232</v>
      </c>
      <c r="H1777" s="2">
        <v>2</v>
      </c>
      <c r="I1777" s="6"/>
      <c r="J1777" s="6"/>
      <c r="K1777" s="7">
        <v>0.5</v>
      </c>
      <c r="L1777" s="7">
        <v>74.532399999999996</v>
      </c>
      <c r="M1777" t="s">
        <v>18</v>
      </c>
      <c r="N1777" s="16">
        <f>POWER(SQRT(WorkOrders279[[#This Row],[WorkDate]]-WorkOrders279[[#This Row],[ReqDate]]),2)</f>
        <v>22</v>
      </c>
      <c r="O1777" s="8">
        <f t="array" ref="O1777">INDEX(TechRate,MATCH(H1777,TechNum,0))</f>
        <v>140</v>
      </c>
      <c r="P1777" s="10">
        <f>WorkOrders279[[#This Row],[Techs]]*(WorkOrders279[[#This Row],[PartsCost]]*WorkOrders279[[#This Row],[LbrHrs]])</f>
        <v>74.532399999999996</v>
      </c>
      <c r="Q1777" s="10">
        <f t="shared" si="161"/>
        <v>74.532399999999996</v>
      </c>
      <c r="R1777" s="10">
        <f t="shared" si="162"/>
        <v>74.532399999999996</v>
      </c>
      <c r="S1777" s="10">
        <f t="shared" si="163"/>
        <v>149.06479999999999</v>
      </c>
      <c r="T1777" s="10">
        <f t="shared" si="164"/>
        <v>149.06479999999999</v>
      </c>
      <c r="U1777" s="8" t="str">
        <f t="shared" si="165"/>
        <v>Thu</v>
      </c>
      <c r="V1777" s="8" t="str">
        <f t="shared" si="166"/>
        <v>Fri</v>
      </c>
    </row>
    <row r="1778" spans="1:22" hidden="1" x14ac:dyDescent="0.25">
      <c r="A1778" t="s">
        <v>320</v>
      </c>
      <c r="B1778" t="s">
        <v>36</v>
      </c>
      <c r="C1778" t="s">
        <v>7</v>
      </c>
      <c r="D1778" t="s">
        <v>12</v>
      </c>
      <c r="F1778" s="5">
        <v>44210</v>
      </c>
      <c r="G1778" s="5">
        <v>44242</v>
      </c>
      <c r="H1778" s="2">
        <v>2</v>
      </c>
      <c r="I1778" s="6"/>
      <c r="J1778" s="6"/>
      <c r="K1778" s="7">
        <v>0.5</v>
      </c>
      <c r="L1778" s="7">
        <v>137.22</v>
      </c>
      <c r="M1778" t="s">
        <v>17</v>
      </c>
      <c r="N1778" s="16">
        <f>POWER(SQRT(WorkOrders279[[#This Row],[WorkDate]]-WorkOrders279[[#This Row],[ReqDate]]),2)</f>
        <v>32.000000000000007</v>
      </c>
      <c r="O1778" s="8">
        <f t="array" ref="O1778">INDEX(TechRate,MATCH(H1778,TechNum,0))</f>
        <v>140</v>
      </c>
      <c r="P1778" s="10">
        <f>WorkOrders279[[#This Row],[Techs]]*(WorkOrders279[[#This Row],[PartsCost]]*WorkOrders279[[#This Row],[LbrHrs]])</f>
        <v>137.22</v>
      </c>
      <c r="Q1778" s="10">
        <f t="shared" si="161"/>
        <v>137.22</v>
      </c>
      <c r="R1778" s="10">
        <f t="shared" si="162"/>
        <v>137.22</v>
      </c>
      <c r="S1778" s="10">
        <f t="shared" si="163"/>
        <v>274.44</v>
      </c>
      <c r="T1778" s="10">
        <f t="shared" si="164"/>
        <v>274.44</v>
      </c>
      <c r="U1778" s="8" t="str">
        <f t="shared" si="165"/>
        <v>Thu</v>
      </c>
      <c r="V1778" s="8" t="str">
        <f t="shared" si="166"/>
        <v>Mon</v>
      </c>
    </row>
    <row r="1779" spans="1:22" hidden="1" x14ac:dyDescent="0.25">
      <c r="A1779" t="s">
        <v>321</v>
      </c>
      <c r="B1779" t="s">
        <v>35</v>
      </c>
      <c r="C1779" t="s">
        <v>44</v>
      </c>
      <c r="D1779" t="s">
        <v>12</v>
      </c>
      <c r="E1779" t="s">
        <v>3</v>
      </c>
      <c r="F1779" s="5">
        <v>44211</v>
      </c>
      <c r="G1779" s="5">
        <v>44228</v>
      </c>
      <c r="H1779" s="2">
        <v>2</v>
      </c>
      <c r="I1779" s="6"/>
      <c r="J1779" s="6"/>
      <c r="K1779" s="7">
        <v>0.5</v>
      </c>
      <c r="L1779" s="7">
        <v>83.462900000000005</v>
      </c>
      <c r="M1779" t="s">
        <v>17</v>
      </c>
      <c r="N1779" s="16">
        <f>POWER(SQRT(WorkOrders279[[#This Row],[WorkDate]]-WorkOrders279[[#This Row],[ReqDate]]),2)</f>
        <v>17</v>
      </c>
      <c r="O1779" s="8">
        <f t="array" ref="O1779">INDEX(TechRate,MATCH(H1779,TechNum,0))</f>
        <v>140</v>
      </c>
      <c r="P1779" s="10">
        <f>WorkOrders279[[#This Row],[Techs]]*(WorkOrders279[[#This Row],[PartsCost]]*WorkOrders279[[#This Row],[LbrHrs]])</f>
        <v>83.462900000000005</v>
      </c>
      <c r="Q1779" s="10">
        <f t="shared" si="161"/>
        <v>83.462900000000005</v>
      </c>
      <c r="R1779" s="10">
        <f t="shared" si="162"/>
        <v>83.462900000000005</v>
      </c>
      <c r="S1779" s="10">
        <f t="shared" si="163"/>
        <v>166.92580000000001</v>
      </c>
      <c r="T1779" s="10">
        <f t="shared" si="164"/>
        <v>166.92580000000001</v>
      </c>
      <c r="U1779" s="8" t="str">
        <f t="shared" si="165"/>
        <v>Fri</v>
      </c>
      <c r="V1779" s="8" t="str">
        <f t="shared" si="166"/>
        <v>Mon</v>
      </c>
    </row>
    <row r="1780" spans="1:22" hidden="1" x14ac:dyDescent="0.25">
      <c r="A1780" t="s">
        <v>322</v>
      </c>
      <c r="B1780" t="s">
        <v>38</v>
      </c>
      <c r="C1780" t="s">
        <v>8</v>
      </c>
      <c r="D1780" t="s">
        <v>12</v>
      </c>
      <c r="F1780" s="5">
        <v>44212</v>
      </c>
      <c r="G1780" s="5">
        <v>44230</v>
      </c>
      <c r="H1780" s="2">
        <v>1</v>
      </c>
      <c r="I1780" s="6"/>
      <c r="J1780" s="6"/>
      <c r="K1780" s="7">
        <v>1</v>
      </c>
      <c r="L1780" s="7">
        <v>9.92</v>
      </c>
      <c r="M1780" t="s">
        <v>19</v>
      </c>
      <c r="N1780" s="16">
        <f>POWER(SQRT(WorkOrders279[[#This Row],[WorkDate]]-WorkOrders279[[#This Row],[ReqDate]]),2)</f>
        <v>17.999999999999996</v>
      </c>
      <c r="O1780" s="8">
        <f t="array" ref="O1780">INDEX(TechRate,MATCH(H1780,TechNum,0))</f>
        <v>80</v>
      </c>
      <c r="P1780" s="10">
        <f>WorkOrders279[[#This Row],[Techs]]*(WorkOrders279[[#This Row],[PartsCost]]*WorkOrders279[[#This Row],[LbrHrs]])</f>
        <v>9.92</v>
      </c>
      <c r="Q1780" s="10">
        <f t="shared" si="161"/>
        <v>9.92</v>
      </c>
      <c r="R1780" s="10">
        <f t="shared" si="162"/>
        <v>9.92</v>
      </c>
      <c r="S1780" s="10">
        <f t="shared" si="163"/>
        <v>19.84</v>
      </c>
      <c r="T1780" s="10">
        <f t="shared" si="164"/>
        <v>19.84</v>
      </c>
      <c r="U1780" s="8" t="str">
        <f t="shared" si="165"/>
        <v>Sat</v>
      </c>
      <c r="V1780" s="8" t="str">
        <f t="shared" si="166"/>
        <v>Wed</v>
      </c>
    </row>
    <row r="1781" spans="1:22" hidden="1" x14ac:dyDescent="0.25">
      <c r="A1781" t="s">
        <v>323</v>
      </c>
      <c r="B1781" t="s">
        <v>39</v>
      </c>
      <c r="C1781" t="s">
        <v>44</v>
      </c>
      <c r="D1781" t="s">
        <v>12</v>
      </c>
      <c r="F1781" s="5">
        <v>44214</v>
      </c>
      <c r="G1781" s="5">
        <v>44221</v>
      </c>
      <c r="H1781" s="2">
        <v>1</v>
      </c>
      <c r="I1781" s="6"/>
      <c r="J1781" s="6"/>
      <c r="K1781" s="7">
        <v>0.25</v>
      </c>
      <c r="L1781" s="7">
        <v>72.350099999999998</v>
      </c>
      <c r="M1781" t="s">
        <v>18</v>
      </c>
      <c r="N1781" s="16">
        <f>POWER(SQRT(WorkOrders279[[#This Row],[WorkDate]]-WorkOrders279[[#This Row],[ReqDate]]),2)</f>
        <v>7.0000000000000009</v>
      </c>
      <c r="O1781" s="8">
        <f t="array" ref="O1781">INDEX(TechRate,MATCH(H1781,TechNum,0))</f>
        <v>80</v>
      </c>
      <c r="P1781" s="10">
        <f>WorkOrders279[[#This Row],[Techs]]*(WorkOrders279[[#This Row],[PartsCost]]*WorkOrders279[[#This Row],[LbrHrs]])</f>
        <v>18.087524999999999</v>
      </c>
      <c r="Q1781" s="10">
        <f t="shared" si="161"/>
        <v>18.087524999999999</v>
      </c>
      <c r="R1781" s="10">
        <f t="shared" si="162"/>
        <v>72.350099999999998</v>
      </c>
      <c r="S1781" s="10">
        <f t="shared" si="163"/>
        <v>90.437624999999997</v>
      </c>
      <c r="T1781" s="10">
        <f t="shared" si="164"/>
        <v>90.437624999999997</v>
      </c>
      <c r="U1781" s="8" t="str">
        <f t="shared" si="165"/>
        <v>Mon</v>
      </c>
      <c r="V1781" s="8" t="str">
        <f t="shared" si="166"/>
        <v>Mon</v>
      </c>
    </row>
    <row r="1782" spans="1:22" hidden="1" x14ac:dyDescent="0.25">
      <c r="A1782" t="s">
        <v>324</v>
      </c>
      <c r="B1782" t="s">
        <v>35</v>
      </c>
      <c r="C1782" t="s">
        <v>44</v>
      </c>
      <c r="D1782" t="s">
        <v>11</v>
      </c>
      <c r="E1782" t="s">
        <v>3</v>
      </c>
      <c r="F1782" s="5">
        <v>44214</v>
      </c>
      <c r="G1782" s="5">
        <v>44223</v>
      </c>
      <c r="H1782" s="2">
        <v>1</v>
      </c>
      <c r="I1782" s="6"/>
      <c r="J1782" s="6"/>
      <c r="K1782" s="7">
        <v>0.25</v>
      </c>
      <c r="L1782" s="7">
        <v>19.9801</v>
      </c>
      <c r="M1782" t="s">
        <v>17</v>
      </c>
      <c r="N1782" s="16">
        <f>POWER(SQRT(WorkOrders279[[#This Row],[WorkDate]]-WorkOrders279[[#This Row],[ReqDate]]),2)</f>
        <v>9</v>
      </c>
      <c r="O1782" s="8">
        <f t="array" ref="O1782">INDEX(TechRate,MATCH(H1782,TechNum,0))</f>
        <v>80</v>
      </c>
      <c r="P1782" s="10">
        <f>WorkOrders279[[#This Row],[Techs]]*(WorkOrders279[[#This Row],[PartsCost]]*WorkOrders279[[#This Row],[LbrHrs]])</f>
        <v>4.995025</v>
      </c>
      <c r="Q1782" s="10">
        <f t="shared" si="161"/>
        <v>4.995025</v>
      </c>
      <c r="R1782" s="10">
        <f t="shared" si="162"/>
        <v>19.9801</v>
      </c>
      <c r="S1782" s="10">
        <f t="shared" si="163"/>
        <v>24.975124999999998</v>
      </c>
      <c r="T1782" s="10">
        <f t="shared" si="164"/>
        <v>24.975124999999998</v>
      </c>
      <c r="U1782" s="8" t="str">
        <f t="shared" si="165"/>
        <v>Mon</v>
      </c>
      <c r="V1782" s="8" t="str">
        <f t="shared" si="166"/>
        <v>Wed</v>
      </c>
    </row>
    <row r="1783" spans="1:22" hidden="1" x14ac:dyDescent="0.25">
      <c r="A1783" t="s">
        <v>325</v>
      </c>
      <c r="B1783" t="s">
        <v>40</v>
      </c>
      <c r="C1783" t="s">
        <v>7</v>
      </c>
      <c r="D1783" t="s">
        <v>2</v>
      </c>
      <c r="F1783" s="5">
        <v>44214</v>
      </c>
      <c r="G1783" s="5">
        <v>44229</v>
      </c>
      <c r="H1783" s="2">
        <v>2</v>
      </c>
      <c r="I1783" s="6"/>
      <c r="J1783" s="6"/>
      <c r="K1783" s="7">
        <v>1.25</v>
      </c>
      <c r="L1783" s="7">
        <v>85.32</v>
      </c>
      <c r="M1783" t="s">
        <v>17</v>
      </c>
      <c r="N1783" s="16">
        <f>POWER(SQRT(WorkOrders279[[#This Row],[WorkDate]]-WorkOrders279[[#This Row],[ReqDate]]),2)</f>
        <v>15.000000000000002</v>
      </c>
      <c r="O1783" s="8">
        <f t="array" ref="O1783">INDEX(TechRate,MATCH(H1783,TechNum,0))</f>
        <v>140</v>
      </c>
      <c r="P1783" s="10">
        <f>WorkOrders279[[#This Row],[Techs]]*(WorkOrders279[[#This Row],[PartsCost]]*WorkOrders279[[#This Row],[LbrHrs]])</f>
        <v>213.29999999999998</v>
      </c>
      <c r="Q1783" s="10">
        <f t="shared" si="161"/>
        <v>213.29999999999998</v>
      </c>
      <c r="R1783" s="10">
        <f t="shared" si="162"/>
        <v>85.32</v>
      </c>
      <c r="S1783" s="10">
        <f t="shared" si="163"/>
        <v>298.62</v>
      </c>
      <c r="T1783" s="10">
        <f t="shared" si="164"/>
        <v>298.62</v>
      </c>
      <c r="U1783" s="8" t="str">
        <f t="shared" si="165"/>
        <v>Mon</v>
      </c>
      <c r="V1783" s="8" t="str">
        <f t="shared" si="166"/>
        <v>Tue</v>
      </c>
    </row>
    <row r="1784" spans="1:22" hidden="1" x14ac:dyDescent="0.25">
      <c r="A1784" t="s">
        <v>326</v>
      </c>
      <c r="B1784" t="s">
        <v>38</v>
      </c>
      <c r="C1784" t="s">
        <v>8</v>
      </c>
      <c r="D1784" t="s">
        <v>12</v>
      </c>
      <c r="F1784" s="5">
        <v>44214</v>
      </c>
      <c r="G1784" s="5">
        <v>44256</v>
      </c>
      <c r="H1784" s="2">
        <v>1</v>
      </c>
      <c r="I1784" s="6"/>
      <c r="J1784" s="6"/>
      <c r="K1784" s="7">
        <v>0.5</v>
      </c>
      <c r="L1784" s="7">
        <v>180</v>
      </c>
      <c r="M1784" t="s">
        <v>19</v>
      </c>
      <c r="N1784" s="16">
        <f>POWER(SQRT(WorkOrders279[[#This Row],[WorkDate]]-WorkOrders279[[#This Row],[ReqDate]]),2)</f>
        <v>42</v>
      </c>
      <c r="O1784" s="8">
        <f t="array" ref="O1784">INDEX(TechRate,MATCH(H1784,TechNum,0))</f>
        <v>80</v>
      </c>
      <c r="P1784" s="10">
        <f>WorkOrders279[[#This Row],[Techs]]*(WorkOrders279[[#This Row],[PartsCost]]*WorkOrders279[[#This Row],[LbrHrs]])</f>
        <v>90</v>
      </c>
      <c r="Q1784" s="10">
        <f t="shared" si="161"/>
        <v>90</v>
      </c>
      <c r="R1784" s="10">
        <f t="shared" si="162"/>
        <v>180</v>
      </c>
      <c r="S1784" s="10">
        <f t="shared" si="163"/>
        <v>270</v>
      </c>
      <c r="T1784" s="10">
        <f t="shared" si="164"/>
        <v>270</v>
      </c>
      <c r="U1784" s="8" t="str">
        <f t="shared" si="165"/>
        <v>Mon</v>
      </c>
      <c r="V1784" s="8" t="str">
        <f t="shared" si="166"/>
        <v>Mon</v>
      </c>
    </row>
    <row r="1785" spans="1:22" hidden="1" x14ac:dyDescent="0.25">
      <c r="A1785" t="s">
        <v>327</v>
      </c>
      <c r="B1785" t="s">
        <v>40</v>
      </c>
      <c r="C1785" t="s">
        <v>7</v>
      </c>
      <c r="D1785" t="s">
        <v>12</v>
      </c>
      <c r="F1785" s="5">
        <v>44215</v>
      </c>
      <c r="G1785" s="5">
        <v>44231</v>
      </c>
      <c r="H1785" s="2">
        <v>2</v>
      </c>
      <c r="I1785" s="6"/>
      <c r="J1785" s="6"/>
      <c r="K1785" s="7">
        <v>0.25</v>
      </c>
      <c r="L1785" s="7">
        <v>52.350099999999998</v>
      </c>
      <c r="M1785" t="s">
        <v>17</v>
      </c>
      <c r="N1785" s="16">
        <f>POWER(SQRT(WorkOrders279[[#This Row],[WorkDate]]-WorkOrders279[[#This Row],[ReqDate]]),2)</f>
        <v>16</v>
      </c>
      <c r="O1785" s="8">
        <f t="array" ref="O1785">INDEX(TechRate,MATCH(H1785,TechNum,0))</f>
        <v>140</v>
      </c>
      <c r="P1785" s="10">
        <f>WorkOrders279[[#This Row],[Techs]]*(WorkOrders279[[#This Row],[PartsCost]]*WorkOrders279[[#This Row],[LbrHrs]])</f>
        <v>26.175049999999999</v>
      </c>
      <c r="Q1785" s="10">
        <f t="shared" si="161"/>
        <v>26.175049999999999</v>
      </c>
      <c r="R1785" s="10">
        <f t="shared" si="162"/>
        <v>52.350099999999998</v>
      </c>
      <c r="S1785" s="10">
        <f t="shared" si="163"/>
        <v>78.525149999999996</v>
      </c>
      <c r="T1785" s="10">
        <f t="shared" si="164"/>
        <v>78.525149999999996</v>
      </c>
      <c r="U1785" s="8" t="str">
        <f t="shared" si="165"/>
        <v>Tue</v>
      </c>
      <c r="V1785" s="8" t="str">
        <f t="shared" si="166"/>
        <v>Thu</v>
      </c>
    </row>
    <row r="1786" spans="1:22" hidden="1" x14ac:dyDescent="0.25">
      <c r="A1786" t="s">
        <v>328</v>
      </c>
      <c r="B1786" t="s">
        <v>40</v>
      </c>
      <c r="C1786" t="s">
        <v>7</v>
      </c>
      <c r="D1786" t="s">
        <v>12</v>
      </c>
      <c r="F1786" s="5">
        <v>44215</v>
      </c>
      <c r="G1786" s="5">
        <v>44236</v>
      </c>
      <c r="H1786" s="2">
        <v>2</v>
      </c>
      <c r="I1786" s="6"/>
      <c r="J1786" s="6"/>
      <c r="K1786" s="7">
        <v>0.5</v>
      </c>
      <c r="L1786" s="7">
        <v>45.293500000000002</v>
      </c>
      <c r="M1786" t="s">
        <v>17</v>
      </c>
      <c r="N1786" s="16">
        <f>POWER(SQRT(WorkOrders279[[#This Row],[WorkDate]]-WorkOrders279[[#This Row],[ReqDate]]),2)</f>
        <v>21</v>
      </c>
      <c r="O1786" s="8">
        <f t="array" ref="O1786">INDEX(TechRate,MATCH(H1786,TechNum,0))</f>
        <v>140</v>
      </c>
      <c r="P1786" s="10">
        <f>WorkOrders279[[#This Row],[Techs]]*(WorkOrders279[[#This Row],[PartsCost]]*WorkOrders279[[#This Row],[LbrHrs]])</f>
        <v>45.293500000000002</v>
      </c>
      <c r="Q1786" s="10">
        <f t="shared" si="161"/>
        <v>45.293500000000002</v>
      </c>
      <c r="R1786" s="10">
        <f t="shared" si="162"/>
        <v>45.293500000000002</v>
      </c>
      <c r="S1786" s="10">
        <f t="shared" si="163"/>
        <v>90.587000000000003</v>
      </c>
      <c r="T1786" s="10">
        <f t="shared" si="164"/>
        <v>90.587000000000003</v>
      </c>
      <c r="U1786" s="8" t="str">
        <f t="shared" si="165"/>
        <v>Tue</v>
      </c>
      <c r="V1786" s="8" t="str">
        <f t="shared" si="166"/>
        <v>Tue</v>
      </c>
    </row>
    <row r="1787" spans="1:22" hidden="1" x14ac:dyDescent="0.25">
      <c r="A1787" t="s">
        <v>329</v>
      </c>
      <c r="B1787" t="s">
        <v>37</v>
      </c>
      <c r="C1787" t="s">
        <v>43</v>
      </c>
      <c r="D1787" t="s">
        <v>11</v>
      </c>
      <c r="F1787" s="5">
        <v>44216</v>
      </c>
      <c r="G1787" s="5">
        <v>44224</v>
      </c>
      <c r="H1787" s="2">
        <v>1</v>
      </c>
      <c r="I1787" s="6"/>
      <c r="J1787" s="6"/>
      <c r="K1787" s="7">
        <v>0.25</v>
      </c>
      <c r="L1787" s="7">
        <v>11.7</v>
      </c>
      <c r="M1787" t="s">
        <v>17</v>
      </c>
      <c r="N1787" s="16">
        <f>POWER(SQRT(WorkOrders279[[#This Row],[WorkDate]]-WorkOrders279[[#This Row],[ReqDate]]),2)</f>
        <v>8.0000000000000018</v>
      </c>
      <c r="O1787" s="8">
        <f t="array" ref="O1787">INDEX(TechRate,MATCH(H1787,TechNum,0))</f>
        <v>80</v>
      </c>
      <c r="P1787" s="10">
        <f>WorkOrders279[[#This Row],[Techs]]*(WorkOrders279[[#This Row],[PartsCost]]*WorkOrders279[[#This Row],[LbrHrs]])</f>
        <v>2.9249999999999998</v>
      </c>
      <c r="Q1787" s="10">
        <f t="shared" si="161"/>
        <v>2.9249999999999998</v>
      </c>
      <c r="R1787" s="10">
        <f t="shared" si="162"/>
        <v>11.7</v>
      </c>
      <c r="S1787" s="10">
        <f t="shared" si="163"/>
        <v>14.625</v>
      </c>
      <c r="T1787" s="10">
        <f t="shared" si="164"/>
        <v>14.625</v>
      </c>
      <c r="U1787" s="8" t="str">
        <f t="shared" si="165"/>
        <v>Wed</v>
      </c>
      <c r="V1787" s="8" t="str">
        <f t="shared" si="166"/>
        <v>Thu</v>
      </c>
    </row>
    <row r="1788" spans="1:22" hidden="1" x14ac:dyDescent="0.25">
      <c r="A1788" t="s">
        <v>330</v>
      </c>
      <c r="B1788" t="s">
        <v>34</v>
      </c>
      <c r="C1788" t="s">
        <v>8</v>
      </c>
      <c r="D1788" t="s">
        <v>11</v>
      </c>
      <c r="F1788" s="5">
        <v>44216</v>
      </c>
      <c r="G1788" s="5">
        <v>44329</v>
      </c>
      <c r="H1788" s="2">
        <v>1</v>
      </c>
      <c r="I1788" s="6"/>
      <c r="J1788" s="6"/>
      <c r="K1788" s="7">
        <v>0.25</v>
      </c>
      <c r="L1788" s="7">
        <v>37.707000000000001</v>
      </c>
      <c r="M1788" t="s">
        <v>19</v>
      </c>
      <c r="N1788" s="16">
        <f>POWER(SQRT(WorkOrders279[[#This Row],[WorkDate]]-WorkOrders279[[#This Row],[ReqDate]]),2)</f>
        <v>113.00000000000001</v>
      </c>
      <c r="O1788" s="8">
        <f t="array" ref="O1788">INDEX(TechRate,MATCH(H1788,TechNum,0))</f>
        <v>80</v>
      </c>
      <c r="P1788" s="10">
        <f>WorkOrders279[[#This Row],[Techs]]*(WorkOrders279[[#This Row],[PartsCost]]*WorkOrders279[[#This Row],[LbrHrs]])</f>
        <v>9.4267500000000002</v>
      </c>
      <c r="Q1788" s="10">
        <f t="shared" si="161"/>
        <v>9.4267500000000002</v>
      </c>
      <c r="R1788" s="10">
        <f t="shared" si="162"/>
        <v>37.707000000000001</v>
      </c>
      <c r="S1788" s="10">
        <f t="shared" si="163"/>
        <v>47.133749999999999</v>
      </c>
      <c r="T1788" s="10">
        <f t="shared" si="164"/>
        <v>47.133749999999999</v>
      </c>
      <c r="U1788" s="8" t="str">
        <f t="shared" si="165"/>
        <v>Wed</v>
      </c>
      <c r="V1788" s="8" t="str">
        <f t="shared" si="166"/>
        <v>Thu</v>
      </c>
    </row>
    <row r="1789" spans="1:22" hidden="1" x14ac:dyDescent="0.25">
      <c r="A1789" t="s">
        <v>331</v>
      </c>
      <c r="B1789" t="s">
        <v>34</v>
      </c>
      <c r="C1789" t="s">
        <v>6</v>
      </c>
      <c r="D1789" t="s">
        <v>1</v>
      </c>
      <c r="F1789" s="5">
        <v>44217</v>
      </c>
      <c r="G1789" s="5">
        <v>44229</v>
      </c>
      <c r="H1789" s="2">
        <v>1</v>
      </c>
      <c r="I1789" s="6"/>
      <c r="J1789" s="6"/>
      <c r="K1789" s="7">
        <v>1</v>
      </c>
      <c r="L1789" s="7">
        <v>155.03550000000001</v>
      </c>
      <c r="M1789" t="s">
        <v>18</v>
      </c>
      <c r="N1789" s="16">
        <f>POWER(SQRT(WorkOrders279[[#This Row],[WorkDate]]-WorkOrders279[[#This Row],[ReqDate]]),2)</f>
        <v>11.999999999999998</v>
      </c>
      <c r="O1789" s="8">
        <f t="array" ref="O1789">INDEX(TechRate,MATCH(H1789,TechNum,0))</f>
        <v>80</v>
      </c>
      <c r="P1789" s="10">
        <f>WorkOrders279[[#This Row],[Techs]]*(WorkOrders279[[#This Row],[PartsCost]]*WorkOrders279[[#This Row],[LbrHrs]])</f>
        <v>155.03550000000001</v>
      </c>
      <c r="Q1789" s="10">
        <f t="shared" si="161"/>
        <v>155.03550000000001</v>
      </c>
      <c r="R1789" s="10">
        <f t="shared" si="162"/>
        <v>155.03550000000001</v>
      </c>
      <c r="S1789" s="10">
        <f t="shared" si="163"/>
        <v>310.07100000000003</v>
      </c>
      <c r="T1789" s="10">
        <f t="shared" si="164"/>
        <v>310.07100000000003</v>
      </c>
      <c r="U1789" s="8" t="str">
        <f t="shared" si="165"/>
        <v>Thu</v>
      </c>
      <c r="V1789" s="8" t="str">
        <f t="shared" si="166"/>
        <v>Tue</v>
      </c>
    </row>
    <row r="1790" spans="1:22" hidden="1" x14ac:dyDescent="0.25">
      <c r="A1790" t="s">
        <v>332</v>
      </c>
      <c r="B1790" t="s">
        <v>37</v>
      </c>
      <c r="C1790" t="s">
        <v>43</v>
      </c>
      <c r="D1790" t="s">
        <v>12</v>
      </c>
      <c r="F1790" s="5">
        <v>44217</v>
      </c>
      <c r="G1790" s="5">
        <v>44239</v>
      </c>
      <c r="H1790" s="2">
        <v>1</v>
      </c>
      <c r="I1790" s="6"/>
      <c r="J1790" s="6"/>
      <c r="K1790" s="7">
        <v>1.25</v>
      </c>
      <c r="L1790" s="7">
        <v>93.6</v>
      </c>
      <c r="M1790" t="s">
        <v>19</v>
      </c>
      <c r="N1790" s="16">
        <f>POWER(SQRT(WorkOrders279[[#This Row],[WorkDate]]-WorkOrders279[[#This Row],[ReqDate]]),2)</f>
        <v>22</v>
      </c>
      <c r="O1790" s="8">
        <f t="array" ref="O1790">INDEX(TechRate,MATCH(H1790,TechNum,0))</f>
        <v>80</v>
      </c>
      <c r="P1790" s="10">
        <f>WorkOrders279[[#This Row],[Techs]]*(WorkOrders279[[#This Row],[PartsCost]]*WorkOrders279[[#This Row],[LbrHrs]])</f>
        <v>117</v>
      </c>
      <c r="Q1790" s="10">
        <f t="shared" si="161"/>
        <v>117</v>
      </c>
      <c r="R1790" s="10">
        <f t="shared" si="162"/>
        <v>93.6</v>
      </c>
      <c r="S1790" s="10">
        <f t="shared" si="163"/>
        <v>210.6</v>
      </c>
      <c r="T1790" s="10">
        <f t="shared" si="164"/>
        <v>210.6</v>
      </c>
      <c r="U1790" s="8" t="str">
        <f t="shared" si="165"/>
        <v>Thu</v>
      </c>
      <c r="V1790" s="8" t="str">
        <f t="shared" si="166"/>
        <v>Fri</v>
      </c>
    </row>
    <row r="1791" spans="1:22" hidden="1" x14ac:dyDescent="0.25">
      <c r="A1791" t="s">
        <v>333</v>
      </c>
      <c r="B1791" t="s">
        <v>36</v>
      </c>
      <c r="C1791" t="s">
        <v>7</v>
      </c>
      <c r="D1791" t="s">
        <v>11</v>
      </c>
      <c r="F1791" s="5">
        <v>44217</v>
      </c>
      <c r="G1791" s="5">
        <v>44237</v>
      </c>
      <c r="H1791" s="2">
        <v>1</v>
      </c>
      <c r="I1791" s="6"/>
      <c r="J1791" s="6"/>
      <c r="K1791" s="7">
        <v>0.25</v>
      </c>
      <c r="L1791" s="7">
        <v>21.33</v>
      </c>
      <c r="M1791" t="s">
        <v>17</v>
      </c>
      <c r="N1791" s="16">
        <f>POWER(SQRT(WorkOrders279[[#This Row],[WorkDate]]-WorkOrders279[[#This Row],[ReqDate]]),2)</f>
        <v>20.000000000000004</v>
      </c>
      <c r="O1791" s="8">
        <f t="array" ref="O1791">INDEX(TechRate,MATCH(H1791,TechNum,0))</f>
        <v>80</v>
      </c>
      <c r="P1791" s="10">
        <f>WorkOrders279[[#This Row],[Techs]]*(WorkOrders279[[#This Row],[PartsCost]]*WorkOrders279[[#This Row],[LbrHrs]])</f>
        <v>5.3324999999999996</v>
      </c>
      <c r="Q1791" s="10">
        <f t="shared" si="161"/>
        <v>5.3324999999999996</v>
      </c>
      <c r="R1791" s="10">
        <f t="shared" si="162"/>
        <v>21.33</v>
      </c>
      <c r="S1791" s="10">
        <f t="shared" si="163"/>
        <v>26.662499999999998</v>
      </c>
      <c r="T1791" s="10">
        <f t="shared" si="164"/>
        <v>26.662499999999998</v>
      </c>
      <c r="U1791" s="8" t="str">
        <f t="shared" si="165"/>
        <v>Thu</v>
      </c>
      <c r="V1791" s="8" t="str">
        <f t="shared" si="166"/>
        <v>Wed</v>
      </c>
    </row>
    <row r="1792" spans="1:22" hidden="1" x14ac:dyDescent="0.25">
      <c r="A1792" t="s">
        <v>334</v>
      </c>
      <c r="B1792" t="s">
        <v>34</v>
      </c>
      <c r="C1792" t="s">
        <v>9</v>
      </c>
      <c r="D1792" t="s">
        <v>2</v>
      </c>
      <c r="F1792" s="5">
        <v>44217</v>
      </c>
      <c r="G1792" s="5">
        <v>44278</v>
      </c>
      <c r="H1792" s="2">
        <v>1</v>
      </c>
      <c r="I1792" s="6"/>
      <c r="J1792" s="6"/>
      <c r="K1792" s="7">
        <v>2.5</v>
      </c>
      <c r="L1792" s="7">
        <v>357.11079999999998</v>
      </c>
      <c r="M1792" t="s">
        <v>17</v>
      </c>
      <c r="N1792" s="16">
        <f>POWER(SQRT(WorkOrders279[[#This Row],[WorkDate]]-WorkOrders279[[#This Row],[ReqDate]]),2)</f>
        <v>60.999999999999993</v>
      </c>
      <c r="O1792" s="8">
        <f t="array" ref="O1792">INDEX(TechRate,MATCH(H1792,TechNum,0))</f>
        <v>80</v>
      </c>
      <c r="P1792" s="10">
        <f>WorkOrders279[[#This Row],[Techs]]*(WorkOrders279[[#This Row],[PartsCost]]*WorkOrders279[[#This Row],[LbrHrs]])</f>
        <v>892.77699999999993</v>
      </c>
      <c r="Q1792" s="10">
        <f t="shared" si="161"/>
        <v>892.77699999999993</v>
      </c>
      <c r="R1792" s="10">
        <f t="shared" si="162"/>
        <v>357.11079999999998</v>
      </c>
      <c r="S1792" s="10">
        <f t="shared" si="163"/>
        <v>1249.8878</v>
      </c>
      <c r="T1792" s="10">
        <f t="shared" si="164"/>
        <v>1249.8878</v>
      </c>
      <c r="U1792" s="8" t="str">
        <f t="shared" si="165"/>
        <v>Thu</v>
      </c>
      <c r="V1792" s="8" t="str">
        <f t="shared" si="166"/>
        <v>Tue</v>
      </c>
    </row>
    <row r="1793" spans="1:22" hidden="1" x14ac:dyDescent="0.25">
      <c r="A1793" t="s">
        <v>335</v>
      </c>
      <c r="B1793" t="s">
        <v>35</v>
      </c>
      <c r="C1793" t="s">
        <v>9</v>
      </c>
      <c r="D1793" t="s">
        <v>11</v>
      </c>
      <c r="F1793" s="5">
        <v>44218</v>
      </c>
      <c r="G1793" s="5">
        <v>44226</v>
      </c>
      <c r="H1793" s="2">
        <v>1</v>
      </c>
      <c r="I1793" s="6"/>
      <c r="J1793" s="6"/>
      <c r="K1793" s="7">
        <v>0.25</v>
      </c>
      <c r="L1793" s="7">
        <v>120</v>
      </c>
      <c r="M1793" t="s">
        <v>18</v>
      </c>
      <c r="N1793" s="16">
        <f>POWER(SQRT(WorkOrders279[[#This Row],[WorkDate]]-WorkOrders279[[#This Row],[ReqDate]]),2)</f>
        <v>8.0000000000000018</v>
      </c>
      <c r="O1793" s="8">
        <f t="array" ref="O1793">INDEX(TechRate,MATCH(H1793,TechNum,0))</f>
        <v>80</v>
      </c>
      <c r="P1793" s="10">
        <f>WorkOrders279[[#This Row],[Techs]]*(WorkOrders279[[#This Row],[PartsCost]]*WorkOrders279[[#This Row],[LbrHrs]])</f>
        <v>30</v>
      </c>
      <c r="Q1793" s="10">
        <f t="shared" si="161"/>
        <v>30</v>
      </c>
      <c r="R1793" s="10">
        <f t="shared" si="162"/>
        <v>120</v>
      </c>
      <c r="S1793" s="10">
        <f t="shared" si="163"/>
        <v>150</v>
      </c>
      <c r="T1793" s="10">
        <f t="shared" si="164"/>
        <v>150</v>
      </c>
      <c r="U1793" s="8" t="str">
        <f t="shared" si="165"/>
        <v>Fri</v>
      </c>
      <c r="V1793" s="8" t="str">
        <f t="shared" si="166"/>
        <v>Sat</v>
      </c>
    </row>
    <row r="1794" spans="1:22" hidden="1" x14ac:dyDescent="0.25">
      <c r="A1794" t="s">
        <v>336</v>
      </c>
      <c r="B1794" t="s">
        <v>39</v>
      </c>
      <c r="C1794" t="s">
        <v>9</v>
      </c>
      <c r="D1794" t="s">
        <v>13</v>
      </c>
      <c r="F1794" s="5">
        <v>44221</v>
      </c>
      <c r="G1794" s="5">
        <v>44236</v>
      </c>
      <c r="H1794" s="2">
        <v>1</v>
      </c>
      <c r="I1794" s="6"/>
      <c r="J1794" s="6"/>
      <c r="K1794" s="7">
        <v>0.5</v>
      </c>
      <c r="L1794" s="7">
        <v>52.350099999999998</v>
      </c>
      <c r="M1794" t="s">
        <v>18</v>
      </c>
      <c r="N1794" s="16">
        <f>POWER(SQRT(WorkOrders279[[#This Row],[WorkDate]]-WorkOrders279[[#This Row],[ReqDate]]),2)</f>
        <v>15.000000000000002</v>
      </c>
      <c r="O1794" s="8">
        <f t="array" ref="O1794">INDEX(TechRate,MATCH(H1794,TechNum,0))</f>
        <v>80</v>
      </c>
      <c r="P1794" s="10">
        <f>WorkOrders279[[#This Row],[Techs]]*(WorkOrders279[[#This Row],[PartsCost]]*WorkOrders279[[#This Row],[LbrHrs]])</f>
        <v>26.175049999999999</v>
      </c>
      <c r="Q1794" s="10">
        <f t="shared" si="161"/>
        <v>26.175049999999999</v>
      </c>
      <c r="R1794" s="10">
        <f t="shared" si="162"/>
        <v>52.350099999999998</v>
      </c>
      <c r="S1794" s="10">
        <f t="shared" si="163"/>
        <v>78.525149999999996</v>
      </c>
      <c r="T1794" s="10">
        <f t="shared" si="164"/>
        <v>78.525149999999996</v>
      </c>
      <c r="U1794" s="8" t="str">
        <f t="shared" si="165"/>
        <v>Mon</v>
      </c>
      <c r="V1794" s="8" t="str">
        <f t="shared" si="166"/>
        <v>Tue</v>
      </c>
    </row>
    <row r="1795" spans="1:22" hidden="1" x14ac:dyDescent="0.25">
      <c r="A1795" t="s">
        <v>337</v>
      </c>
      <c r="B1795" t="s">
        <v>35</v>
      </c>
      <c r="C1795" t="s">
        <v>44</v>
      </c>
      <c r="D1795" t="s">
        <v>13</v>
      </c>
      <c r="F1795" s="5">
        <v>44221</v>
      </c>
      <c r="G1795" s="5">
        <v>44242</v>
      </c>
      <c r="H1795" s="2">
        <v>1</v>
      </c>
      <c r="I1795" s="6"/>
      <c r="J1795" s="6"/>
      <c r="K1795" s="7">
        <v>3.25</v>
      </c>
      <c r="L1795" s="7">
        <v>511.875</v>
      </c>
      <c r="M1795" t="s">
        <v>17</v>
      </c>
      <c r="N1795" s="16">
        <f>POWER(SQRT(WorkOrders279[[#This Row],[WorkDate]]-WorkOrders279[[#This Row],[ReqDate]]),2)</f>
        <v>21</v>
      </c>
      <c r="O1795" s="8">
        <f t="array" ref="O1795">INDEX(TechRate,MATCH(H1795,TechNum,0))</f>
        <v>80</v>
      </c>
      <c r="P1795" s="10">
        <f>WorkOrders279[[#This Row],[Techs]]*(WorkOrders279[[#This Row],[PartsCost]]*WorkOrders279[[#This Row],[LbrHrs]])</f>
        <v>1663.59375</v>
      </c>
      <c r="Q1795" s="10">
        <f t="shared" si="161"/>
        <v>1663.59375</v>
      </c>
      <c r="R1795" s="10">
        <f t="shared" si="162"/>
        <v>511.875</v>
      </c>
      <c r="S1795" s="10">
        <f t="shared" si="163"/>
        <v>2175.46875</v>
      </c>
      <c r="T1795" s="10">
        <f t="shared" si="164"/>
        <v>2175.46875</v>
      </c>
      <c r="U1795" s="8" t="str">
        <f t="shared" si="165"/>
        <v>Mon</v>
      </c>
      <c r="V1795" s="8" t="str">
        <f t="shared" si="166"/>
        <v>Mon</v>
      </c>
    </row>
    <row r="1796" spans="1:22" hidden="1" x14ac:dyDescent="0.25">
      <c r="A1796" t="s">
        <v>338</v>
      </c>
      <c r="B1796" t="s">
        <v>36</v>
      </c>
      <c r="C1796" t="s">
        <v>7</v>
      </c>
      <c r="D1796" t="s">
        <v>13</v>
      </c>
      <c r="F1796" s="5">
        <v>44221</v>
      </c>
      <c r="G1796" s="5">
        <v>44275</v>
      </c>
      <c r="H1796" s="2">
        <v>2</v>
      </c>
      <c r="I1796" s="6"/>
      <c r="J1796" s="6"/>
      <c r="K1796" s="7">
        <v>2</v>
      </c>
      <c r="L1796" s="7">
        <v>368.87400000000002</v>
      </c>
      <c r="M1796" t="s">
        <v>17</v>
      </c>
      <c r="N1796" s="16">
        <f>POWER(SQRT(WorkOrders279[[#This Row],[WorkDate]]-WorkOrders279[[#This Row],[ReqDate]]),2)</f>
        <v>54</v>
      </c>
      <c r="O1796" s="8">
        <f t="array" ref="O1796">INDEX(TechRate,MATCH(H1796,TechNum,0))</f>
        <v>140</v>
      </c>
      <c r="P1796" s="10">
        <f>WorkOrders279[[#This Row],[Techs]]*(WorkOrders279[[#This Row],[PartsCost]]*WorkOrders279[[#This Row],[LbrHrs]])</f>
        <v>1475.4960000000001</v>
      </c>
      <c r="Q1796" s="10">
        <f t="shared" si="161"/>
        <v>1475.4960000000001</v>
      </c>
      <c r="R1796" s="10">
        <f t="shared" si="162"/>
        <v>368.87400000000002</v>
      </c>
      <c r="S1796" s="10">
        <f t="shared" si="163"/>
        <v>1844.3700000000001</v>
      </c>
      <c r="T1796" s="10">
        <f t="shared" si="164"/>
        <v>1844.3700000000001</v>
      </c>
      <c r="U1796" s="8" t="str">
        <f t="shared" si="165"/>
        <v>Mon</v>
      </c>
      <c r="V1796" s="8" t="str">
        <f t="shared" si="166"/>
        <v>Sat</v>
      </c>
    </row>
    <row r="1797" spans="1:22" hidden="1" x14ac:dyDescent="0.25">
      <c r="A1797" t="s">
        <v>339</v>
      </c>
      <c r="B1797" t="s">
        <v>36</v>
      </c>
      <c r="C1797" t="s">
        <v>7</v>
      </c>
      <c r="D1797" t="s">
        <v>11</v>
      </c>
      <c r="F1797" s="5">
        <v>44223</v>
      </c>
      <c r="G1797" s="5">
        <v>44231</v>
      </c>
      <c r="H1797" s="2">
        <v>1</v>
      </c>
      <c r="I1797" s="6"/>
      <c r="J1797" s="6"/>
      <c r="K1797" s="7">
        <v>0.25</v>
      </c>
      <c r="L1797" s="7">
        <v>120</v>
      </c>
      <c r="M1797" t="s">
        <v>17</v>
      </c>
      <c r="N1797" s="16">
        <f>POWER(SQRT(WorkOrders279[[#This Row],[WorkDate]]-WorkOrders279[[#This Row],[ReqDate]]),2)</f>
        <v>8.0000000000000018</v>
      </c>
      <c r="O1797" s="8">
        <f t="array" ref="O1797">INDEX(TechRate,MATCH(H1797,TechNum,0))</f>
        <v>80</v>
      </c>
      <c r="P1797" s="10">
        <f>WorkOrders279[[#This Row],[Techs]]*(WorkOrders279[[#This Row],[PartsCost]]*WorkOrders279[[#This Row],[LbrHrs]])</f>
        <v>30</v>
      </c>
      <c r="Q1797" s="10">
        <f t="shared" si="161"/>
        <v>30</v>
      </c>
      <c r="R1797" s="10">
        <f t="shared" si="162"/>
        <v>120</v>
      </c>
      <c r="S1797" s="10">
        <f t="shared" si="163"/>
        <v>150</v>
      </c>
      <c r="T1797" s="10">
        <f t="shared" si="164"/>
        <v>150</v>
      </c>
      <c r="U1797" s="8" t="str">
        <f t="shared" si="165"/>
        <v>Wed</v>
      </c>
      <c r="V1797" s="8" t="str">
        <f t="shared" si="166"/>
        <v>Thu</v>
      </c>
    </row>
    <row r="1798" spans="1:22" hidden="1" x14ac:dyDescent="0.25">
      <c r="A1798" t="s">
        <v>340</v>
      </c>
      <c r="B1798" t="s">
        <v>36</v>
      </c>
      <c r="C1798" t="s">
        <v>7</v>
      </c>
      <c r="D1798" t="s">
        <v>13</v>
      </c>
      <c r="E1798" t="s">
        <v>3</v>
      </c>
      <c r="F1798" s="5">
        <v>44223</v>
      </c>
      <c r="G1798" s="5">
        <v>44249</v>
      </c>
      <c r="H1798" s="2">
        <v>2</v>
      </c>
      <c r="I1798" s="6"/>
      <c r="J1798" s="6"/>
      <c r="K1798" s="7">
        <v>0.5</v>
      </c>
      <c r="L1798" s="7">
        <v>5.4720000000000004</v>
      </c>
      <c r="M1798" t="s">
        <v>18</v>
      </c>
      <c r="N1798" s="16">
        <f>POWER(SQRT(WorkOrders279[[#This Row],[WorkDate]]-WorkOrders279[[#This Row],[ReqDate]]),2)</f>
        <v>25.999999999999996</v>
      </c>
      <c r="O1798" s="8">
        <f t="array" ref="O1798">INDEX(TechRate,MATCH(H1798,TechNum,0))</f>
        <v>140</v>
      </c>
      <c r="P1798" s="10">
        <f>WorkOrders279[[#This Row],[Techs]]*(WorkOrders279[[#This Row],[PartsCost]]*WorkOrders279[[#This Row],[LbrHrs]])</f>
        <v>5.4720000000000004</v>
      </c>
      <c r="Q1798" s="10">
        <f t="shared" si="161"/>
        <v>5.4720000000000004</v>
      </c>
      <c r="R1798" s="10">
        <f t="shared" si="162"/>
        <v>5.4720000000000004</v>
      </c>
      <c r="S1798" s="10">
        <f t="shared" si="163"/>
        <v>10.944000000000001</v>
      </c>
      <c r="T1798" s="10">
        <f t="shared" si="164"/>
        <v>10.944000000000001</v>
      </c>
      <c r="U1798" s="8" t="str">
        <f t="shared" si="165"/>
        <v>Wed</v>
      </c>
      <c r="V1798" s="8" t="str">
        <f t="shared" si="166"/>
        <v>Mon</v>
      </c>
    </row>
    <row r="1799" spans="1:22" hidden="1" x14ac:dyDescent="0.25">
      <c r="A1799" t="s">
        <v>341</v>
      </c>
      <c r="B1799" t="s">
        <v>39</v>
      </c>
      <c r="C1799" t="s">
        <v>8</v>
      </c>
      <c r="D1799" t="s">
        <v>12</v>
      </c>
      <c r="F1799" s="5">
        <v>44224</v>
      </c>
      <c r="G1799" s="5">
        <v>44235</v>
      </c>
      <c r="H1799" s="2">
        <v>1</v>
      </c>
      <c r="I1799" s="6"/>
      <c r="J1799" s="6"/>
      <c r="K1799" s="7">
        <v>1</v>
      </c>
      <c r="L1799" s="7">
        <v>60</v>
      </c>
      <c r="M1799" t="s">
        <v>18</v>
      </c>
      <c r="N1799" s="16">
        <f>POWER(SQRT(WorkOrders279[[#This Row],[WorkDate]]-WorkOrders279[[#This Row],[ReqDate]]),2)</f>
        <v>11</v>
      </c>
      <c r="O1799" s="8">
        <f t="array" ref="O1799">INDEX(TechRate,MATCH(H1799,TechNum,0))</f>
        <v>80</v>
      </c>
      <c r="P1799" s="10">
        <f>WorkOrders279[[#This Row],[Techs]]*(WorkOrders279[[#This Row],[PartsCost]]*WorkOrders279[[#This Row],[LbrHrs]])</f>
        <v>60</v>
      </c>
      <c r="Q1799" s="10">
        <f t="shared" si="161"/>
        <v>60</v>
      </c>
      <c r="R1799" s="10">
        <f t="shared" si="162"/>
        <v>60</v>
      </c>
      <c r="S1799" s="10">
        <f t="shared" si="163"/>
        <v>120</v>
      </c>
      <c r="T1799" s="10">
        <f t="shared" si="164"/>
        <v>120</v>
      </c>
      <c r="U1799" s="8" t="str">
        <f t="shared" si="165"/>
        <v>Thu</v>
      </c>
      <c r="V1799" s="8" t="str">
        <f t="shared" si="166"/>
        <v>Mon</v>
      </c>
    </row>
    <row r="1800" spans="1:22" hidden="1" x14ac:dyDescent="0.25">
      <c r="A1800" t="s">
        <v>342</v>
      </c>
      <c r="B1800" t="s">
        <v>35</v>
      </c>
      <c r="C1800" t="s">
        <v>9</v>
      </c>
      <c r="D1800" t="s">
        <v>13</v>
      </c>
      <c r="F1800" s="5">
        <v>44224</v>
      </c>
      <c r="G1800" s="5">
        <v>44237</v>
      </c>
      <c r="H1800" s="2">
        <v>1</v>
      </c>
      <c r="I1800" s="6"/>
      <c r="J1800" s="6"/>
      <c r="K1800" s="7">
        <v>0.75</v>
      </c>
      <c r="L1800" s="7">
        <v>114.89449999999999</v>
      </c>
      <c r="M1800" t="s">
        <v>19</v>
      </c>
      <c r="N1800" s="16">
        <f>POWER(SQRT(WorkOrders279[[#This Row],[WorkDate]]-WorkOrders279[[#This Row],[ReqDate]]),2)</f>
        <v>12.999999999999998</v>
      </c>
      <c r="O1800" s="8">
        <f t="array" ref="O1800">INDEX(TechRate,MATCH(H1800,TechNum,0))</f>
        <v>80</v>
      </c>
      <c r="P1800" s="10">
        <f>WorkOrders279[[#This Row],[Techs]]*(WorkOrders279[[#This Row],[PartsCost]]*WorkOrders279[[#This Row],[LbrHrs]])</f>
        <v>86.170874999999995</v>
      </c>
      <c r="Q1800" s="10">
        <f t="shared" si="161"/>
        <v>86.170874999999995</v>
      </c>
      <c r="R1800" s="10">
        <f t="shared" si="162"/>
        <v>114.89449999999999</v>
      </c>
      <c r="S1800" s="10">
        <f t="shared" si="163"/>
        <v>201.06537499999999</v>
      </c>
      <c r="T1800" s="10">
        <f t="shared" si="164"/>
        <v>201.06537499999999</v>
      </c>
      <c r="U1800" s="8" t="str">
        <f t="shared" si="165"/>
        <v>Thu</v>
      </c>
      <c r="V1800" s="8" t="str">
        <f t="shared" si="166"/>
        <v>Wed</v>
      </c>
    </row>
    <row r="1801" spans="1:22" hidden="1" x14ac:dyDescent="0.25">
      <c r="A1801" t="s">
        <v>343</v>
      </c>
      <c r="B1801" t="s">
        <v>36</v>
      </c>
      <c r="C1801" t="s">
        <v>7</v>
      </c>
      <c r="D1801" t="s">
        <v>12</v>
      </c>
      <c r="F1801" s="5">
        <v>44224</v>
      </c>
      <c r="G1801" s="5">
        <v>44245</v>
      </c>
      <c r="H1801" s="2">
        <v>2</v>
      </c>
      <c r="I1801" s="6"/>
      <c r="J1801" s="6"/>
      <c r="K1801" s="7">
        <v>0.25</v>
      </c>
      <c r="L1801" s="7">
        <v>23.899000000000001</v>
      </c>
      <c r="M1801" t="s">
        <v>18</v>
      </c>
      <c r="N1801" s="16">
        <f>POWER(SQRT(WorkOrders279[[#This Row],[WorkDate]]-WorkOrders279[[#This Row],[ReqDate]]),2)</f>
        <v>21</v>
      </c>
      <c r="O1801" s="8">
        <f t="array" ref="O1801">INDEX(TechRate,MATCH(H1801,TechNum,0))</f>
        <v>140</v>
      </c>
      <c r="P1801" s="10">
        <f>WorkOrders279[[#This Row],[Techs]]*(WorkOrders279[[#This Row],[PartsCost]]*WorkOrders279[[#This Row],[LbrHrs]])</f>
        <v>11.9495</v>
      </c>
      <c r="Q1801" s="10">
        <f t="shared" si="161"/>
        <v>11.9495</v>
      </c>
      <c r="R1801" s="10">
        <f t="shared" si="162"/>
        <v>23.899000000000001</v>
      </c>
      <c r="S1801" s="10">
        <f t="shared" si="163"/>
        <v>35.848500000000001</v>
      </c>
      <c r="T1801" s="10">
        <f t="shared" si="164"/>
        <v>35.848500000000001</v>
      </c>
      <c r="U1801" s="8" t="str">
        <f t="shared" si="165"/>
        <v>Thu</v>
      </c>
      <c r="V1801" s="8" t="str">
        <f t="shared" si="166"/>
        <v>Thu</v>
      </c>
    </row>
    <row r="1802" spans="1:22" hidden="1" x14ac:dyDescent="0.25">
      <c r="A1802" t="s">
        <v>344</v>
      </c>
      <c r="B1802" t="s">
        <v>37</v>
      </c>
      <c r="C1802" t="s">
        <v>43</v>
      </c>
      <c r="D1802" t="s">
        <v>12</v>
      </c>
      <c r="F1802" s="5">
        <v>44224</v>
      </c>
      <c r="G1802" s="5">
        <v>44245</v>
      </c>
      <c r="H1802" s="2">
        <v>1</v>
      </c>
      <c r="I1802" s="6"/>
      <c r="J1802" s="6"/>
      <c r="K1802" s="7">
        <v>0.25</v>
      </c>
      <c r="L1802" s="7">
        <v>57.2</v>
      </c>
      <c r="M1802" t="s">
        <v>19</v>
      </c>
      <c r="N1802" s="16">
        <f>POWER(SQRT(WorkOrders279[[#This Row],[WorkDate]]-WorkOrders279[[#This Row],[ReqDate]]),2)</f>
        <v>21</v>
      </c>
      <c r="O1802" s="8">
        <f t="array" ref="O1802">INDEX(TechRate,MATCH(H1802,TechNum,0))</f>
        <v>80</v>
      </c>
      <c r="P1802" s="10">
        <f>WorkOrders279[[#This Row],[Techs]]*(WorkOrders279[[#This Row],[PartsCost]]*WorkOrders279[[#This Row],[LbrHrs]])</f>
        <v>14.3</v>
      </c>
      <c r="Q1802" s="10">
        <f t="shared" si="161"/>
        <v>14.3</v>
      </c>
      <c r="R1802" s="10">
        <f t="shared" si="162"/>
        <v>57.2</v>
      </c>
      <c r="S1802" s="10">
        <f t="shared" si="163"/>
        <v>71.5</v>
      </c>
      <c r="T1802" s="10">
        <f t="shared" si="164"/>
        <v>71.5</v>
      </c>
      <c r="U1802" s="8" t="str">
        <f t="shared" si="165"/>
        <v>Thu</v>
      </c>
      <c r="V1802" s="8" t="str">
        <f t="shared" si="166"/>
        <v>Thu</v>
      </c>
    </row>
    <row r="1803" spans="1:22" hidden="1" x14ac:dyDescent="0.25">
      <c r="A1803" t="s">
        <v>345</v>
      </c>
      <c r="B1803" t="s">
        <v>35</v>
      </c>
      <c r="C1803" t="s">
        <v>9</v>
      </c>
      <c r="D1803" t="s">
        <v>13</v>
      </c>
      <c r="F1803" s="5">
        <v>44224</v>
      </c>
      <c r="G1803" s="5">
        <v>44258</v>
      </c>
      <c r="H1803" s="2">
        <v>2</v>
      </c>
      <c r="I1803" s="6"/>
      <c r="J1803" s="6"/>
      <c r="K1803" s="7">
        <v>8.5</v>
      </c>
      <c r="L1803" s="7">
        <v>653.98500000000001</v>
      </c>
      <c r="M1803" t="s">
        <v>17</v>
      </c>
      <c r="N1803" s="16">
        <f>POWER(SQRT(WorkOrders279[[#This Row],[WorkDate]]-WorkOrders279[[#This Row],[ReqDate]]),2)</f>
        <v>34</v>
      </c>
      <c r="O1803" s="8">
        <f t="array" ref="O1803">INDEX(TechRate,MATCH(H1803,TechNum,0))</f>
        <v>140</v>
      </c>
      <c r="P1803" s="10">
        <f>WorkOrders279[[#This Row],[Techs]]*(WorkOrders279[[#This Row],[PartsCost]]*WorkOrders279[[#This Row],[LbrHrs]])</f>
        <v>11117.745000000001</v>
      </c>
      <c r="Q1803" s="10">
        <f t="shared" si="161"/>
        <v>11117.745000000001</v>
      </c>
      <c r="R1803" s="10">
        <f t="shared" si="162"/>
        <v>653.98500000000001</v>
      </c>
      <c r="S1803" s="10">
        <f t="shared" si="163"/>
        <v>11771.730000000001</v>
      </c>
      <c r="T1803" s="10">
        <f t="shared" si="164"/>
        <v>11771.730000000001</v>
      </c>
      <c r="U1803" s="8" t="str">
        <f t="shared" si="165"/>
        <v>Thu</v>
      </c>
      <c r="V1803" s="8" t="str">
        <f t="shared" si="166"/>
        <v>Wed</v>
      </c>
    </row>
    <row r="1804" spans="1:22" hidden="1" x14ac:dyDescent="0.25">
      <c r="A1804" t="s">
        <v>346</v>
      </c>
      <c r="B1804" t="s">
        <v>37</v>
      </c>
      <c r="C1804" t="s">
        <v>43</v>
      </c>
      <c r="D1804" t="s">
        <v>12</v>
      </c>
      <c r="F1804" s="5">
        <v>44224</v>
      </c>
      <c r="G1804" s="5">
        <v>44271</v>
      </c>
      <c r="H1804" s="2">
        <v>1</v>
      </c>
      <c r="I1804" s="6"/>
      <c r="J1804" s="6"/>
      <c r="K1804" s="7">
        <v>0.5</v>
      </c>
      <c r="L1804" s="7">
        <v>9.75</v>
      </c>
      <c r="M1804" t="s">
        <v>17</v>
      </c>
      <c r="N1804" s="16">
        <f>POWER(SQRT(WorkOrders279[[#This Row],[WorkDate]]-WorkOrders279[[#This Row],[ReqDate]]),2)</f>
        <v>47</v>
      </c>
      <c r="O1804" s="8">
        <f t="array" ref="O1804">INDEX(TechRate,MATCH(H1804,TechNum,0))</f>
        <v>80</v>
      </c>
      <c r="P1804" s="10">
        <f>WorkOrders279[[#This Row],[Techs]]*(WorkOrders279[[#This Row],[PartsCost]]*WorkOrders279[[#This Row],[LbrHrs]])</f>
        <v>4.875</v>
      </c>
      <c r="Q1804" s="10">
        <f t="shared" si="161"/>
        <v>4.875</v>
      </c>
      <c r="R1804" s="10">
        <f t="shared" si="162"/>
        <v>9.75</v>
      </c>
      <c r="S1804" s="10">
        <f t="shared" si="163"/>
        <v>14.625</v>
      </c>
      <c r="T1804" s="10">
        <f t="shared" si="164"/>
        <v>14.625</v>
      </c>
      <c r="U1804" s="8" t="str">
        <f t="shared" si="165"/>
        <v>Thu</v>
      </c>
      <c r="V1804" s="8" t="str">
        <f t="shared" si="166"/>
        <v>Tue</v>
      </c>
    </row>
    <row r="1805" spans="1:22" hidden="1" x14ac:dyDescent="0.25">
      <c r="A1805" t="s">
        <v>347</v>
      </c>
      <c r="B1805" t="s">
        <v>36</v>
      </c>
      <c r="C1805" t="s">
        <v>7</v>
      </c>
      <c r="D1805" t="s">
        <v>13</v>
      </c>
      <c r="F1805" s="5">
        <v>44226</v>
      </c>
      <c r="G1805" s="5">
        <v>44229</v>
      </c>
      <c r="H1805" s="2">
        <v>2</v>
      </c>
      <c r="I1805" s="6"/>
      <c r="J1805" s="6"/>
      <c r="K1805" s="7">
        <v>0.5</v>
      </c>
      <c r="L1805" s="7">
        <v>134</v>
      </c>
      <c r="M1805" t="s">
        <v>17</v>
      </c>
      <c r="N1805" s="16">
        <f>POWER(SQRT(WorkOrders279[[#This Row],[WorkDate]]-WorkOrders279[[#This Row],[ReqDate]]),2)</f>
        <v>2.9999999999999996</v>
      </c>
      <c r="O1805" s="8">
        <f t="array" ref="O1805">INDEX(TechRate,MATCH(H1805,TechNum,0))</f>
        <v>140</v>
      </c>
      <c r="P1805" s="10">
        <f>WorkOrders279[[#This Row],[Techs]]*(WorkOrders279[[#This Row],[PartsCost]]*WorkOrders279[[#This Row],[LbrHrs]])</f>
        <v>134</v>
      </c>
      <c r="Q1805" s="10">
        <f t="shared" si="161"/>
        <v>134</v>
      </c>
      <c r="R1805" s="10">
        <f t="shared" si="162"/>
        <v>134</v>
      </c>
      <c r="S1805" s="10">
        <f t="shared" si="163"/>
        <v>268</v>
      </c>
      <c r="T1805" s="10">
        <f t="shared" si="164"/>
        <v>268</v>
      </c>
      <c r="U1805" s="8" t="str">
        <f t="shared" si="165"/>
        <v>Sat</v>
      </c>
      <c r="V1805" s="8" t="str">
        <f t="shared" si="166"/>
        <v>Tue</v>
      </c>
    </row>
    <row r="1806" spans="1:22" hidden="1" x14ac:dyDescent="0.25">
      <c r="A1806" t="s">
        <v>348</v>
      </c>
      <c r="B1806" t="s">
        <v>36</v>
      </c>
      <c r="C1806" t="s">
        <v>7</v>
      </c>
      <c r="D1806" t="s">
        <v>12</v>
      </c>
      <c r="F1806" s="5">
        <v>44228</v>
      </c>
      <c r="G1806" s="5">
        <v>44237</v>
      </c>
      <c r="H1806" s="2">
        <v>2</v>
      </c>
      <c r="I1806" s="6"/>
      <c r="J1806" s="6"/>
      <c r="K1806" s="7">
        <v>0.25</v>
      </c>
      <c r="L1806" s="7">
        <v>144</v>
      </c>
      <c r="M1806" t="s">
        <v>17</v>
      </c>
      <c r="N1806" s="16">
        <f>POWER(SQRT(WorkOrders279[[#This Row],[WorkDate]]-WorkOrders279[[#This Row],[ReqDate]]),2)</f>
        <v>9</v>
      </c>
      <c r="O1806" s="8">
        <f t="array" ref="O1806">INDEX(TechRate,MATCH(H1806,TechNum,0))</f>
        <v>140</v>
      </c>
      <c r="P1806" s="10">
        <f>WorkOrders279[[#This Row],[Techs]]*(WorkOrders279[[#This Row],[PartsCost]]*WorkOrders279[[#This Row],[LbrHrs]])</f>
        <v>72</v>
      </c>
      <c r="Q1806" s="10">
        <f t="shared" si="161"/>
        <v>72</v>
      </c>
      <c r="R1806" s="10">
        <f t="shared" si="162"/>
        <v>144</v>
      </c>
      <c r="S1806" s="10">
        <f t="shared" si="163"/>
        <v>216</v>
      </c>
      <c r="T1806" s="10">
        <f t="shared" si="164"/>
        <v>216</v>
      </c>
      <c r="U1806" s="8" t="str">
        <f t="shared" si="165"/>
        <v>Mon</v>
      </c>
      <c r="V1806" s="8" t="str">
        <f t="shared" si="166"/>
        <v>Wed</v>
      </c>
    </row>
    <row r="1807" spans="1:22" hidden="1" x14ac:dyDescent="0.25">
      <c r="A1807" t="s">
        <v>349</v>
      </c>
      <c r="B1807" t="s">
        <v>35</v>
      </c>
      <c r="C1807" t="s">
        <v>9</v>
      </c>
      <c r="D1807" t="s">
        <v>12</v>
      </c>
      <c r="F1807" s="5">
        <v>44228</v>
      </c>
      <c r="G1807" s="5">
        <v>44237</v>
      </c>
      <c r="H1807" s="2">
        <v>1</v>
      </c>
      <c r="I1807" s="6"/>
      <c r="J1807" s="6"/>
      <c r="K1807" s="7">
        <v>0.5</v>
      </c>
      <c r="L1807" s="7">
        <v>205.1859</v>
      </c>
      <c r="M1807" t="s">
        <v>18</v>
      </c>
      <c r="N1807" s="16">
        <f>POWER(SQRT(WorkOrders279[[#This Row],[WorkDate]]-WorkOrders279[[#This Row],[ReqDate]]),2)</f>
        <v>9</v>
      </c>
      <c r="O1807" s="8">
        <f t="array" ref="O1807">INDEX(TechRate,MATCH(H1807,TechNum,0))</f>
        <v>80</v>
      </c>
      <c r="P1807" s="10">
        <f>WorkOrders279[[#This Row],[Techs]]*(WorkOrders279[[#This Row],[PartsCost]]*WorkOrders279[[#This Row],[LbrHrs]])</f>
        <v>102.59295</v>
      </c>
      <c r="Q1807" s="10">
        <f t="shared" si="161"/>
        <v>102.59295</v>
      </c>
      <c r="R1807" s="10">
        <f t="shared" si="162"/>
        <v>205.1859</v>
      </c>
      <c r="S1807" s="10">
        <f t="shared" si="163"/>
        <v>307.77885000000003</v>
      </c>
      <c r="T1807" s="10">
        <f t="shared" si="164"/>
        <v>307.77885000000003</v>
      </c>
      <c r="U1807" s="8" t="str">
        <f t="shared" si="165"/>
        <v>Mon</v>
      </c>
      <c r="V1807" s="8" t="str">
        <f t="shared" si="166"/>
        <v>Wed</v>
      </c>
    </row>
    <row r="1808" spans="1:22" hidden="1" x14ac:dyDescent="0.25">
      <c r="A1808" t="s">
        <v>350</v>
      </c>
      <c r="B1808" t="s">
        <v>38</v>
      </c>
      <c r="C1808" t="s">
        <v>43</v>
      </c>
      <c r="D1808" t="s">
        <v>13</v>
      </c>
      <c r="F1808" s="5">
        <v>44228</v>
      </c>
      <c r="G1808" s="5">
        <v>44252</v>
      </c>
      <c r="H1808" s="2">
        <v>1</v>
      </c>
      <c r="I1808" s="6"/>
      <c r="J1808" s="6"/>
      <c r="K1808" s="7">
        <v>0.5</v>
      </c>
      <c r="L1808" s="7">
        <v>42.9</v>
      </c>
      <c r="M1808" t="s">
        <v>17</v>
      </c>
      <c r="N1808" s="16">
        <f>POWER(SQRT(WorkOrders279[[#This Row],[WorkDate]]-WorkOrders279[[#This Row],[ReqDate]]),2)</f>
        <v>23.999999999999996</v>
      </c>
      <c r="O1808" s="8">
        <f t="array" ref="O1808">INDEX(TechRate,MATCH(H1808,TechNum,0))</f>
        <v>80</v>
      </c>
      <c r="P1808" s="10">
        <f>WorkOrders279[[#This Row],[Techs]]*(WorkOrders279[[#This Row],[PartsCost]]*WorkOrders279[[#This Row],[LbrHrs]])</f>
        <v>21.45</v>
      </c>
      <c r="Q1808" s="10">
        <f t="shared" si="161"/>
        <v>21.45</v>
      </c>
      <c r="R1808" s="10">
        <f t="shared" si="162"/>
        <v>42.9</v>
      </c>
      <c r="S1808" s="10">
        <f t="shared" si="163"/>
        <v>64.349999999999994</v>
      </c>
      <c r="T1808" s="10">
        <f t="shared" si="164"/>
        <v>64.349999999999994</v>
      </c>
      <c r="U1808" s="8" t="str">
        <f t="shared" si="165"/>
        <v>Mon</v>
      </c>
      <c r="V1808" s="8" t="str">
        <f t="shared" si="166"/>
        <v>Thu</v>
      </c>
    </row>
    <row r="1809" spans="1:22" hidden="1" x14ac:dyDescent="0.25">
      <c r="A1809" t="s">
        <v>351</v>
      </c>
      <c r="B1809" t="s">
        <v>40</v>
      </c>
      <c r="C1809" t="s">
        <v>7</v>
      </c>
      <c r="D1809" t="s">
        <v>13</v>
      </c>
      <c r="F1809" s="5">
        <v>44228</v>
      </c>
      <c r="G1809" s="5">
        <v>44258</v>
      </c>
      <c r="H1809" s="2">
        <v>2</v>
      </c>
      <c r="I1809" s="6"/>
      <c r="J1809" s="6"/>
      <c r="K1809" s="7">
        <v>1.5</v>
      </c>
      <c r="L1809" s="7">
        <v>319.82150000000001</v>
      </c>
      <c r="M1809" t="s">
        <v>17</v>
      </c>
      <c r="N1809" s="16">
        <f>POWER(SQRT(WorkOrders279[[#This Row],[WorkDate]]-WorkOrders279[[#This Row],[ReqDate]]),2)</f>
        <v>30</v>
      </c>
      <c r="O1809" s="8">
        <f t="array" ref="O1809">INDEX(TechRate,MATCH(H1809,TechNum,0))</f>
        <v>140</v>
      </c>
      <c r="P1809" s="10">
        <f>WorkOrders279[[#This Row],[Techs]]*(WorkOrders279[[#This Row],[PartsCost]]*WorkOrders279[[#This Row],[LbrHrs]])</f>
        <v>959.46450000000004</v>
      </c>
      <c r="Q1809" s="10">
        <f t="shared" si="161"/>
        <v>959.46450000000004</v>
      </c>
      <c r="R1809" s="10">
        <f t="shared" si="162"/>
        <v>319.82150000000001</v>
      </c>
      <c r="S1809" s="10">
        <f t="shared" si="163"/>
        <v>1279.2860000000001</v>
      </c>
      <c r="T1809" s="10">
        <f t="shared" si="164"/>
        <v>1279.2860000000001</v>
      </c>
      <c r="U1809" s="8" t="str">
        <f t="shared" si="165"/>
        <v>Mon</v>
      </c>
      <c r="V1809" s="8" t="str">
        <f t="shared" si="166"/>
        <v>Wed</v>
      </c>
    </row>
    <row r="1810" spans="1:22" hidden="1" x14ac:dyDescent="0.25">
      <c r="A1810" t="s">
        <v>352</v>
      </c>
      <c r="B1810" t="s">
        <v>41</v>
      </c>
      <c r="C1810" t="s">
        <v>7</v>
      </c>
      <c r="D1810" t="s">
        <v>12</v>
      </c>
      <c r="F1810" s="5">
        <v>44228</v>
      </c>
      <c r="G1810" s="5">
        <v>44266</v>
      </c>
      <c r="H1810" s="2">
        <v>1</v>
      </c>
      <c r="I1810" s="6"/>
      <c r="J1810" s="6"/>
      <c r="K1810" s="7">
        <v>0.25</v>
      </c>
      <c r="L1810" s="7">
        <v>21.33</v>
      </c>
      <c r="M1810" t="s">
        <v>17</v>
      </c>
      <c r="N1810" s="16">
        <f>POWER(SQRT(WorkOrders279[[#This Row],[WorkDate]]-WorkOrders279[[#This Row],[ReqDate]]),2)</f>
        <v>37.999999999999993</v>
      </c>
      <c r="O1810" s="8">
        <f t="array" ref="O1810">INDEX(TechRate,MATCH(H1810,TechNum,0))</f>
        <v>80</v>
      </c>
      <c r="P1810" s="10">
        <f>WorkOrders279[[#This Row],[Techs]]*(WorkOrders279[[#This Row],[PartsCost]]*WorkOrders279[[#This Row],[LbrHrs]])</f>
        <v>5.3324999999999996</v>
      </c>
      <c r="Q1810" s="10">
        <f t="shared" si="161"/>
        <v>5.3324999999999996</v>
      </c>
      <c r="R1810" s="10">
        <f t="shared" si="162"/>
        <v>21.33</v>
      </c>
      <c r="S1810" s="10">
        <f t="shared" si="163"/>
        <v>26.662499999999998</v>
      </c>
      <c r="T1810" s="10">
        <f t="shared" si="164"/>
        <v>26.662499999999998</v>
      </c>
      <c r="U1810" s="8" t="str">
        <f t="shared" si="165"/>
        <v>Mon</v>
      </c>
      <c r="V1810" s="8" t="str">
        <f t="shared" si="166"/>
        <v>Thu</v>
      </c>
    </row>
    <row r="1811" spans="1:22" hidden="1" x14ac:dyDescent="0.25">
      <c r="A1811" t="s">
        <v>353</v>
      </c>
      <c r="B1811" t="s">
        <v>36</v>
      </c>
      <c r="C1811" t="s">
        <v>7</v>
      </c>
      <c r="D1811" t="s">
        <v>12</v>
      </c>
      <c r="F1811" s="5">
        <v>44229</v>
      </c>
      <c r="G1811" s="5">
        <v>44229</v>
      </c>
      <c r="H1811" s="2">
        <v>2</v>
      </c>
      <c r="I1811" s="6"/>
      <c r="J1811" s="6"/>
      <c r="K1811" s="7">
        <v>0.5</v>
      </c>
      <c r="L1811" s="7">
        <v>21.33</v>
      </c>
      <c r="M1811" t="s">
        <v>17</v>
      </c>
      <c r="N1811" s="16">
        <f>POWER(SQRT(WorkOrders279[[#This Row],[WorkDate]]-WorkOrders279[[#This Row],[ReqDate]]),2)</f>
        <v>0</v>
      </c>
      <c r="O1811" s="8">
        <f t="array" ref="O1811">INDEX(TechRate,MATCH(H1811,TechNum,0))</f>
        <v>140</v>
      </c>
      <c r="P1811" s="10">
        <f>WorkOrders279[[#This Row],[Techs]]*(WorkOrders279[[#This Row],[PartsCost]]*WorkOrders279[[#This Row],[LbrHrs]])</f>
        <v>21.33</v>
      </c>
      <c r="Q1811" s="10">
        <f t="shared" si="161"/>
        <v>21.33</v>
      </c>
      <c r="R1811" s="10">
        <f t="shared" si="162"/>
        <v>21.33</v>
      </c>
      <c r="S1811" s="10">
        <f t="shared" si="163"/>
        <v>42.66</v>
      </c>
      <c r="T1811" s="10">
        <f t="shared" si="164"/>
        <v>42.66</v>
      </c>
      <c r="U1811" s="8" t="str">
        <f t="shared" si="165"/>
        <v>Tue</v>
      </c>
      <c r="V1811" s="8" t="str">
        <f t="shared" si="166"/>
        <v>Tue</v>
      </c>
    </row>
    <row r="1812" spans="1:22" hidden="1" x14ac:dyDescent="0.25">
      <c r="A1812" t="s">
        <v>354</v>
      </c>
      <c r="B1812" t="s">
        <v>40</v>
      </c>
      <c r="C1812" t="s">
        <v>7</v>
      </c>
      <c r="D1812" t="s">
        <v>13</v>
      </c>
      <c r="F1812" s="5">
        <v>44229</v>
      </c>
      <c r="G1812" s="5">
        <v>44236</v>
      </c>
      <c r="H1812" s="2">
        <v>2</v>
      </c>
      <c r="I1812" s="6"/>
      <c r="J1812" s="6"/>
      <c r="K1812" s="7">
        <v>0.5</v>
      </c>
      <c r="L1812" s="7">
        <v>1231.2</v>
      </c>
      <c r="M1812" t="s">
        <v>18</v>
      </c>
      <c r="N1812" s="16">
        <f>POWER(SQRT(WorkOrders279[[#This Row],[WorkDate]]-WorkOrders279[[#This Row],[ReqDate]]),2)</f>
        <v>7.0000000000000009</v>
      </c>
      <c r="O1812" s="8">
        <f t="array" ref="O1812">INDEX(TechRate,MATCH(H1812,TechNum,0))</f>
        <v>140</v>
      </c>
      <c r="P1812" s="10">
        <f>WorkOrders279[[#This Row],[Techs]]*(WorkOrders279[[#This Row],[PartsCost]]*WorkOrders279[[#This Row],[LbrHrs]])</f>
        <v>1231.2</v>
      </c>
      <c r="Q1812" s="10">
        <f t="shared" si="161"/>
        <v>1231.2</v>
      </c>
      <c r="R1812" s="10">
        <f t="shared" si="162"/>
        <v>1231.2</v>
      </c>
      <c r="S1812" s="10">
        <f t="shared" si="163"/>
        <v>2462.4</v>
      </c>
      <c r="T1812" s="10">
        <f t="shared" si="164"/>
        <v>2462.4</v>
      </c>
      <c r="U1812" s="8" t="str">
        <f t="shared" si="165"/>
        <v>Tue</v>
      </c>
      <c r="V1812" s="8" t="str">
        <f t="shared" si="166"/>
        <v>Tue</v>
      </c>
    </row>
    <row r="1813" spans="1:22" hidden="1" x14ac:dyDescent="0.25">
      <c r="A1813" t="s">
        <v>355</v>
      </c>
      <c r="B1813" t="s">
        <v>36</v>
      </c>
      <c r="C1813" t="s">
        <v>7</v>
      </c>
      <c r="D1813" t="s">
        <v>13</v>
      </c>
      <c r="F1813" s="5">
        <v>44229</v>
      </c>
      <c r="G1813" s="5">
        <v>44244</v>
      </c>
      <c r="H1813" s="2">
        <v>2</v>
      </c>
      <c r="I1813" s="6"/>
      <c r="J1813" s="6"/>
      <c r="K1813" s="7">
        <v>0.5</v>
      </c>
      <c r="L1813" s="7">
        <v>56.496899999999997</v>
      </c>
      <c r="M1813" t="s">
        <v>18</v>
      </c>
      <c r="N1813" s="16">
        <f>POWER(SQRT(WorkOrders279[[#This Row],[WorkDate]]-WorkOrders279[[#This Row],[ReqDate]]),2)</f>
        <v>15.000000000000002</v>
      </c>
      <c r="O1813" s="8">
        <f t="array" ref="O1813">INDEX(TechRate,MATCH(H1813,TechNum,0))</f>
        <v>140</v>
      </c>
      <c r="P1813" s="10">
        <f>WorkOrders279[[#This Row],[Techs]]*(WorkOrders279[[#This Row],[PartsCost]]*WorkOrders279[[#This Row],[LbrHrs]])</f>
        <v>56.496899999999997</v>
      </c>
      <c r="Q1813" s="10">
        <f t="shared" si="161"/>
        <v>56.496899999999997</v>
      </c>
      <c r="R1813" s="10">
        <f t="shared" si="162"/>
        <v>56.496899999999997</v>
      </c>
      <c r="S1813" s="10">
        <f t="shared" si="163"/>
        <v>112.99379999999999</v>
      </c>
      <c r="T1813" s="10">
        <f t="shared" si="164"/>
        <v>112.99379999999999</v>
      </c>
      <c r="U1813" s="8" t="str">
        <f t="shared" si="165"/>
        <v>Tue</v>
      </c>
      <c r="V1813" s="8" t="str">
        <f t="shared" si="166"/>
        <v>Wed</v>
      </c>
    </row>
    <row r="1814" spans="1:22" hidden="1" x14ac:dyDescent="0.25">
      <c r="A1814" t="s">
        <v>356</v>
      </c>
      <c r="B1814" t="s">
        <v>36</v>
      </c>
      <c r="C1814" t="s">
        <v>7</v>
      </c>
      <c r="D1814" t="s">
        <v>13</v>
      </c>
      <c r="F1814" s="5">
        <v>44229</v>
      </c>
      <c r="G1814" s="5">
        <v>44245</v>
      </c>
      <c r="H1814" s="2">
        <v>2</v>
      </c>
      <c r="I1814" s="6"/>
      <c r="J1814" s="6"/>
      <c r="K1814" s="7">
        <v>0.5</v>
      </c>
      <c r="L1814" s="7">
        <v>269.95400000000001</v>
      </c>
      <c r="M1814" t="s">
        <v>17</v>
      </c>
      <c r="N1814" s="16">
        <f>POWER(SQRT(WorkOrders279[[#This Row],[WorkDate]]-WorkOrders279[[#This Row],[ReqDate]]),2)</f>
        <v>16</v>
      </c>
      <c r="O1814" s="8">
        <f t="array" ref="O1814">INDEX(TechRate,MATCH(H1814,TechNum,0))</f>
        <v>140</v>
      </c>
      <c r="P1814" s="10">
        <f>WorkOrders279[[#This Row],[Techs]]*(WorkOrders279[[#This Row],[PartsCost]]*WorkOrders279[[#This Row],[LbrHrs]])</f>
        <v>269.95400000000001</v>
      </c>
      <c r="Q1814" s="10">
        <f t="shared" si="161"/>
        <v>269.95400000000001</v>
      </c>
      <c r="R1814" s="10">
        <f t="shared" si="162"/>
        <v>269.95400000000001</v>
      </c>
      <c r="S1814" s="10">
        <f t="shared" si="163"/>
        <v>539.90800000000002</v>
      </c>
      <c r="T1814" s="10">
        <f t="shared" si="164"/>
        <v>539.90800000000002</v>
      </c>
      <c r="U1814" s="8" t="str">
        <f t="shared" si="165"/>
        <v>Tue</v>
      </c>
      <c r="V1814" s="8" t="str">
        <f t="shared" si="166"/>
        <v>Thu</v>
      </c>
    </row>
    <row r="1815" spans="1:22" hidden="1" x14ac:dyDescent="0.25">
      <c r="A1815" t="s">
        <v>357</v>
      </c>
      <c r="B1815" t="s">
        <v>40</v>
      </c>
      <c r="C1815" t="s">
        <v>7</v>
      </c>
      <c r="D1815" t="s">
        <v>13</v>
      </c>
      <c r="F1815" s="5">
        <v>44229</v>
      </c>
      <c r="G1815" s="5">
        <v>44258</v>
      </c>
      <c r="H1815" s="2">
        <v>2</v>
      </c>
      <c r="I1815" s="6"/>
      <c r="J1815" s="6"/>
      <c r="K1815" s="7">
        <v>0.5</v>
      </c>
      <c r="L1815" s="7">
        <v>83.231700000000004</v>
      </c>
      <c r="M1815" t="s">
        <v>17</v>
      </c>
      <c r="N1815" s="16">
        <f>POWER(SQRT(WorkOrders279[[#This Row],[WorkDate]]-WorkOrders279[[#This Row],[ReqDate]]),2)</f>
        <v>28.999999999999996</v>
      </c>
      <c r="O1815" s="8">
        <f t="array" ref="O1815">INDEX(TechRate,MATCH(H1815,TechNum,0))</f>
        <v>140</v>
      </c>
      <c r="P1815" s="10">
        <f>WorkOrders279[[#This Row],[Techs]]*(WorkOrders279[[#This Row],[PartsCost]]*WorkOrders279[[#This Row],[LbrHrs]])</f>
        <v>83.231700000000004</v>
      </c>
      <c r="Q1815" s="10">
        <f t="shared" si="161"/>
        <v>83.231700000000004</v>
      </c>
      <c r="R1815" s="10">
        <f t="shared" si="162"/>
        <v>83.231700000000004</v>
      </c>
      <c r="S1815" s="10">
        <f t="shared" si="163"/>
        <v>166.46340000000001</v>
      </c>
      <c r="T1815" s="10">
        <f t="shared" si="164"/>
        <v>166.46340000000001</v>
      </c>
      <c r="U1815" s="8" t="str">
        <f t="shared" si="165"/>
        <v>Tue</v>
      </c>
      <c r="V1815" s="8" t="str">
        <f t="shared" si="166"/>
        <v>Wed</v>
      </c>
    </row>
    <row r="1816" spans="1:22" hidden="1" x14ac:dyDescent="0.25">
      <c r="A1816" t="s">
        <v>358</v>
      </c>
      <c r="B1816" t="s">
        <v>39</v>
      </c>
      <c r="C1816" t="s">
        <v>9</v>
      </c>
      <c r="D1816" t="s">
        <v>11</v>
      </c>
      <c r="F1816" s="5">
        <v>44229</v>
      </c>
      <c r="G1816" s="5">
        <v>44273</v>
      </c>
      <c r="H1816" s="2">
        <v>1</v>
      </c>
      <c r="I1816" s="6"/>
      <c r="J1816" s="6"/>
      <c r="K1816" s="7">
        <v>0.25</v>
      </c>
      <c r="L1816" s="7">
        <v>88.624799999999993</v>
      </c>
      <c r="M1816" t="s">
        <v>17</v>
      </c>
      <c r="N1816" s="16">
        <f>POWER(SQRT(WorkOrders279[[#This Row],[WorkDate]]-WorkOrders279[[#This Row],[ReqDate]]),2)</f>
        <v>44</v>
      </c>
      <c r="O1816" s="8">
        <f t="array" ref="O1816">INDEX(TechRate,MATCH(H1816,TechNum,0))</f>
        <v>80</v>
      </c>
      <c r="P1816" s="10">
        <f>WorkOrders279[[#This Row],[Techs]]*(WorkOrders279[[#This Row],[PartsCost]]*WorkOrders279[[#This Row],[LbrHrs]])</f>
        <v>22.156199999999998</v>
      </c>
      <c r="Q1816" s="10">
        <f t="shared" si="161"/>
        <v>22.156199999999998</v>
      </c>
      <c r="R1816" s="10">
        <f t="shared" si="162"/>
        <v>88.624799999999993</v>
      </c>
      <c r="S1816" s="10">
        <f t="shared" si="163"/>
        <v>110.78099999999999</v>
      </c>
      <c r="T1816" s="10">
        <f t="shared" si="164"/>
        <v>110.78099999999999</v>
      </c>
      <c r="U1816" s="8" t="str">
        <f t="shared" si="165"/>
        <v>Tue</v>
      </c>
      <c r="V1816" s="8" t="str">
        <f t="shared" si="166"/>
        <v>Thu</v>
      </c>
    </row>
    <row r="1817" spans="1:22" hidden="1" x14ac:dyDescent="0.25">
      <c r="A1817" t="s">
        <v>359</v>
      </c>
      <c r="B1817" t="s">
        <v>38</v>
      </c>
      <c r="C1817" t="s">
        <v>8</v>
      </c>
      <c r="D1817" t="s">
        <v>11</v>
      </c>
      <c r="F1817" s="5">
        <v>44229</v>
      </c>
      <c r="G1817" s="5">
        <v>44341</v>
      </c>
      <c r="H1817" s="2">
        <v>1</v>
      </c>
      <c r="I1817" s="6"/>
      <c r="J1817" s="6"/>
      <c r="K1817" s="7">
        <v>0.25</v>
      </c>
      <c r="L1817" s="7">
        <v>40</v>
      </c>
      <c r="M1817" t="s">
        <v>19</v>
      </c>
      <c r="N1817" s="16">
        <f>POWER(SQRT(WorkOrders279[[#This Row],[WorkDate]]-WorkOrders279[[#This Row],[ReqDate]]),2)</f>
        <v>112.00000000000001</v>
      </c>
      <c r="O1817" s="8">
        <f t="array" ref="O1817">INDEX(TechRate,MATCH(H1817,TechNum,0))</f>
        <v>80</v>
      </c>
      <c r="P1817" s="10">
        <f>WorkOrders279[[#This Row],[Techs]]*(WorkOrders279[[#This Row],[PartsCost]]*WorkOrders279[[#This Row],[LbrHrs]])</f>
        <v>10</v>
      </c>
      <c r="Q1817" s="10">
        <f t="shared" si="161"/>
        <v>10</v>
      </c>
      <c r="R1817" s="10">
        <f t="shared" si="162"/>
        <v>40</v>
      </c>
      <c r="S1817" s="10">
        <f t="shared" si="163"/>
        <v>50</v>
      </c>
      <c r="T1817" s="10">
        <f t="shared" si="164"/>
        <v>50</v>
      </c>
      <c r="U1817" s="8" t="str">
        <f t="shared" si="165"/>
        <v>Tue</v>
      </c>
      <c r="V1817" s="8" t="str">
        <f t="shared" si="166"/>
        <v>Tue</v>
      </c>
    </row>
    <row r="1818" spans="1:22" hidden="1" x14ac:dyDescent="0.25">
      <c r="A1818" t="s">
        <v>360</v>
      </c>
      <c r="B1818" t="s">
        <v>37</v>
      </c>
      <c r="C1818" t="s">
        <v>43</v>
      </c>
      <c r="D1818" t="s">
        <v>12</v>
      </c>
      <c r="F1818" s="5">
        <v>44231</v>
      </c>
      <c r="G1818" s="5">
        <v>44242</v>
      </c>
      <c r="H1818" s="2">
        <v>1</v>
      </c>
      <c r="I1818" s="6"/>
      <c r="J1818" s="6"/>
      <c r="K1818" s="7">
        <v>1.5</v>
      </c>
      <c r="L1818" s="7">
        <v>33.475000000000001</v>
      </c>
      <c r="M1818" t="s">
        <v>19</v>
      </c>
      <c r="N1818" s="16">
        <f>POWER(SQRT(WorkOrders279[[#This Row],[WorkDate]]-WorkOrders279[[#This Row],[ReqDate]]),2)</f>
        <v>11</v>
      </c>
      <c r="O1818" s="8">
        <f t="array" ref="O1818">INDEX(TechRate,MATCH(H1818,TechNum,0))</f>
        <v>80</v>
      </c>
      <c r="P1818" s="10">
        <f>WorkOrders279[[#This Row],[Techs]]*(WorkOrders279[[#This Row],[PartsCost]]*WorkOrders279[[#This Row],[LbrHrs]])</f>
        <v>50.212500000000006</v>
      </c>
      <c r="Q1818" s="10">
        <f t="shared" si="161"/>
        <v>50.212500000000006</v>
      </c>
      <c r="R1818" s="10">
        <f t="shared" si="162"/>
        <v>33.475000000000001</v>
      </c>
      <c r="S1818" s="10">
        <f t="shared" si="163"/>
        <v>83.6875</v>
      </c>
      <c r="T1818" s="10">
        <f t="shared" si="164"/>
        <v>83.6875</v>
      </c>
      <c r="U1818" s="8" t="str">
        <f t="shared" si="165"/>
        <v>Thu</v>
      </c>
      <c r="V1818" s="8" t="str">
        <f t="shared" si="166"/>
        <v>Mon</v>
      </c>
    </row>
    <row r="1819" spans="1:22" hidden="1" x14ac:dyDescent="0.25">
      <c r="A1819" t="s">
        <v>361</v>
      </c>
      <c r="B1819" t="s">
        <v>38</v>
      </c>
      <c r="C1819" t="s">
        <v>9</v>
      </c>
      <c r="D1819" t="s">
        <v>12</v>
      </c>
      <c r="F1819" s="5">
        <v>44231</v>
      </c>
      <c r="G1819" s="5">
        <v>44247</v>
      </c>
      <c r="H1819" s="2">
        <v>2</v>
      </c>
      <c r="I1819" s="6"/>
      <c r="J1819" s="6"/>
      <c r="K1819" s="7">
        <v>0.25</v>
      </c>
      <c r="L1819" s="7">
        <v>33.8611</v>
      </c>
      <c r="M1819" t="s">
        <v>17</v>
      </c>
      <c r="N1819" s="16">
        <f>POWER(SQRT(WorkOrders279[[#This Row],[WorkDate]]-WorkOrders279[[#This Row],[ReqDate]]),2)</f>
        <v>16</v>
      </c>
      <c r="O1819" s="8">
        <f t="array" ref="O1819">INDEX(TechRate,MATCH(H1819,TechNum,0))</f>
        <v>140</v>
      </c>
      <c r="P1819" s="10">
        <f>WorkOrders279[[#This Row],[Techs]]*(WorkOrders279[[#This Row],[PartsCost]]*WorkOrders279[[#This Row],[LbrHrs]])</f>
        <v>16.93055</v>
      </c>
      <c r="Q1819" s="10">
        <f t="shared" si="161"/>
        <v>16.93055</v>
      </c>
      <c r="R1819" s="10">
        <f t="shared" si="162"/>
        <v>33.8611</v>
      </c>
      <c r="S1819" s="10">
        <f t="shared" si="163"/>
        <v>50.791650000000004</v>
      </c>
      <c r="T1819" s="10">
        <f t="shared" si="164"/>
        <v>50.791650000000004</v>
      </c>
      <c r="U1819" s="8" t="str">
        <f t="shared" si="165"/>
        <v>Thu</v>
      </c>
      <c r="V1819" s="8" t="str">
        <f t="shared" si="166"/>
        <v>Sat</v>
      </c>
    </row>
    <row r="1820" spans="1:22" hidden="1" x14ac:dyDescent="0.25">
      <c r="A1820" t="s">
        <v>362</v>
      </c>
      <c r="B1820" t="s">
        <v>37</v>
      </c>
      <c r="C1820" t="s">
        <v>43</v>
      </c>
      <c r="D1820" t="s">
        <v>11</v>
      </c>
      <c r="F1820" s="5">
        <v>44231</v>
      </c>
      <c r="G1820" s="5">
        <v>44250</v>
      </c>
      <c r="H1820" s="2">
        <v>1</v>
      </c>
      <c r="I1820" s="6"/>
      <c r="J1820" s="6"/>
      <c r="K1820" s="7">
        <v>0.25</v>
      </c>
      <c r="L1820" s="7">
        <v>33.957900000000002</v>
      </c>
      <c r="M1820" t="s">
        <v>17</v>
      </c>
      <c r="N1820" s="16">
        <f>POWER(SQRT(WorkOrders279[[#This Row],[WorkDate]]-WorkOrders279[[#This Row],[ReqDate]]),2)</f>
        <v>19.000000000000004</v>
      </c>
      <c r="O1820" s="8">
        <f t="array" ref="O1820">INDEX(TechRate,MATCH(H1820,TechNum,0))</f>
        <v>80</v>
      </c>
      <c r="P1820" s="10">
        <f>WorkOrders279[[#This Row],[Techs]]*(WorkOrders279[[#This Row],[PartsCost]]*WorkOrders279[[#This Row],[LbrHrs]])</f>
        <v>8.4894750000000005</v>
      </c>
      <c r="Q1820" s="10">
        <f t="shared" si="161"/>
        <v>8.4894750000000005</v>
      </c>
      <c r="R1820" s="10">
        <f t="shared" si="162"/>
        <v>33.957900000000002</v>
      </c>
      <c r="S1820" s="10">
        <f t="shared" si="163"/>
        <v>42.447375000000001</v>
      </c>
      <c r="T1820" s="10">
        <f t="shared" si="164"/>
        <v>42.447375000000001</v>
      </c>
      <c r="U1820" s="8" t="str">
        <f t="shared" si="165"/>
        <v>Thu</v>
      </c>
      <c r="V1820" s="8" t="str">
        <f t="shared" si="166"/>
        <v>Tue</v>
      </c>
    </row>
    <row r="1821" spans="1:22" hidden="1" x14ac:dyDescent="0.25">
      <c r="A1821" t="s">
        <v>363</v>
      </c>
      <c r="B1821" t="s">
        <v>38</v>
      </c>
      <c r="C1821" t="s">
        <v>8</v>
      </c>
      <c r="D1821" t="s">
        <v>12</v>
      </c>
      <c r="F1821" s="5">
        <v>44231</v>
      </c>
      <c r="G1821" s="5">
        <v>44260</v>
      </c>
      <c r="H1821" s="2">
        <v>1</v>
      </c>
      <c r="I1821" s="6"/>
      <c r="J1821" s="6"/>
      <c r="K1821" s="7">
        <v>0.5</v>
      </c>
      <c r="L1821" s="7">
        <v>36.890099999999997</v>
      </c>
      <c r="M1821" t="s">
        <v>18</v>
      </c>
      <c r="N1821" s="16">
        <f>POWER(SQRT(WorkOrders279[[#This Row],[WorkDate]]-WorkOrders279[[#This Row],[ReqDate]]),2)</f>
        <v>28.999999999999996</v>
      </c>
      <c r="O1821" s="8">
        <f t="array" ref="O1821">INDEX(TechRate,MATCH(H1821,TechNum,0))</f>
        <v>80</v>
      </c>
      <c r="P1821" s="10">
        <f>WorkOrders279[[#This Row],[Techs]]*(WorkOrders279[[#This Row],[PartsCost]]*WorkOrders279[[#This Row],[LbrHrs]])</f>
        <v>18.445049999999998</v>
      </c>
      <c r="Q1821" s="10">
        <f t="shared" si="161"/>
        <v>18.445049999999998</v>
      </c>
      <c r="R1821" s="10">
        <f t="shared" si="162"/>
        <v>36.890099999999997</v>
      </c>
      <c r="S1821" s="10">
        <f t="shared" si="163"/>
        <v>55.335149999999999</v>
      </c>
      <c r="T1821" s="10">
        <f t="shared" si="164"/>
        <v>55.335149999999999</v>
      </c>
      <c r="U1821" s="8" t="str">
        <f t="shared" si="165"/>
        <v>Thu</v>
      </c>
      <c r="V1821" s="8" t="str">
        <f t="shared" si="166"/>
        <v>Fri</v>
      </c>
    </row>
    <row r="1822" spans="1:22" hidden="1" x14ac:dyDescent="0.25">
      <c r="A1822" t="s">
        <v>364</v>
      </c>
      <c r="B1822" t="s">
        <v>39</v>
      </c>
      <c r="C1822" t="s">
        <v>8</v>
      </c>
      <c r="D1822" t="s">
        <v>12</v>
      </c>
      <c r="F1822" s="5">
        <v>44231</v>
      </c>
      <c r="G1822" s="5">
        <v>44264</v>
      </c>
      <c r="H1822" s="2">
        <v>1</v>
      </c>
      <c r="I1822" s="6"/>
      <c r="J1822" s="6"/>
      <c r="K1822" s="7">
        <v>0.5</v>
      </c>
      <c r="L1822" s="7">
        <v>25.339500000000001</v>
      </c>
      <c r="M1822" t="s">
        <v>18</v>
      </c>
      <c r="N1822" s="16">
        <f>POWER(SQRT(WorkOrders279[[#This Row],[WorkDate]]-WorkOrders279[[#This Row],[ReqDate]]),2)</f>
        <v>33</v>
      </c>
      <c r="O1822" s="8">
        <f t="array" ref="O1822">INDEX(TechRate,MATCH(H1822,TechNum,0))</f>
        <v>80</v>
      </c>
      <c r="P1822" s="10">
        <f>WorkOrders279[[#This Row],[Techs]]*(WorkOrders279[[#This Row],[PartsCost]]*WorkOrders279[[#This Row],[LbrHrs]])</f>
        <v>12.669750000000001</v>
      </c>
      <c r="Q1822" s="10">
        <f t="shared" si="161"/>
        <v>12.669750000000001</v>
      </c>
      <c r="R1822" s="10">
        <f t="shared" si="162"/>
        <v>25.339500000000001</v>
      </c>
      <c r="S1822" s="10">
        <f t="shared" si="163"/>
        <v>38.009250000000002</v>
      </c>
      <c r="T1822" s="10">
        <f t="shared" si="164"/>
        <v>38.009250000000002</v>
      </c>
      <c r="U1822" s="8" t="str">
        <f t="shared" si="165"/>
        <v>Thu</v>
      </c>
      <c r="V1822" s="8" t="str">
        <f t="shared" si="166"/>
        <v>Tue</v>
      </c>
    </row>
    <row r="1823" spans="1:22" hidden="1" x14ac:dyDescent="0.25">
      <c r="A1823" t="s">
        <v>365</v>
      </c>
      <c r="B1823" t="s">
        <v>41</v>
      </c>
      <c r="C1823" t="s">
        <v>7</v>
      </c>
      <c r="D1823" t="s">
        <v>11</v>
      </c>
      <c r="F1823" s="5">
        <v>44231</v>
      </c>
      <c r="G1823" s="5">
        <v>44270</v>
      </c>
      <c r="H1823" s="2">
        <v>1</v>
      </c>
      <c r="I1823" s="6"/>
      <c r="J1823" s="6"/>
      <c r="K1823" s="7">
        <v>0.25</v>
      </c>
      <c r="L1823" s="7">
        <v>30</v>
      </c>
      <c r="M1823" t="s">
        <v>17</v>
      </c>
      <c r="N1823" s="16">
        <f>POWER(SQRT(WorkOrders279[[#This Row],[WorkDate]]-WorkOrders279[[#This Row],[ReqDate]]),2)</f>
        <v>39</v>
      </c>
      <c r="O1823" s="8">
        <f t="array" ref="O1823">INDEX(TechRate,MATCH(H1823,TechNum,0))</f>
        <v>80</v>
      </c>
      <c r="P1823" s="10">
        <f>WorkOrders279[[#This Row],[Techs]]*(WorkOrders279[[#This Row],[PartsCost]]*WorkOrders279[[#This Row],[LbrHrs]])</f>
        <v>7.5</v>
      </c>
      <c r="Q1823" s="10">
        <f t="shared" si="161"/>
        <v>7.5</v>
      </c>
      <c r="R1823" s="10">
        <f t="shared" si="162"/>
        <v>30</v>
      </c>
      <c r="S1823" s="10">
        <f t="shared" si="163"/>
        <v>37.5</v>
      </c>
      <c r="T1823" s="10">
        <f t="shared" si="164"/>
        <v>37.5</v>
      </c>
      <c r="U1823" s="8" t="str">
        <f t="shared" si="165"/>
        <v>Thu</v>
      </c>
      <c r="V1823" s="8" t="str">
        <f t="shared" si="166"/>
        <v>Mon</v>
      </c>
    </row>
    <row r="1824" spans="1:22" hidden="1" x14ac:dyDescent="0.25">
      <c r="A1824" t="s">
        <v>366</v>
      </c>
      <c r="B1824" t="s">
        <v>39</v>
      </c>
      <c r="C1824" t="s">
        <v>9</v>
      </c>
      <c r="D1824" t="s">
        <v>12</v>
      </c>
      <c r="E1824" t="s">
        <v>3</v>
      </c>
      <c r="F1824" s="5">
        <v>44232</v>
      </c>
      <c r="G1824" s="5">
        <v>44268</v>
      </c>
      <c r="H1824" s="2">
        <v>1</v>
      </c>
      <c r="I1824" s="6"/>
      <c r="J1824" s="6"/>
      <c r="K1824" s="7">
        <v>0.5</v>
      </c>
      <c r="L1824" s="7">
        <v>31.807600000000001</v>
      </c>
      <c r="M1824" t="s">
        <v>17</v>
      </c>
      <c r="N1824" s="16">
        <f>POWER(SQRT(WorkOrders279[[#This Row],[WorkDate]]-WorkOrders279[[#This Row],[ReqDate]]),2)</f>
        <v>36</v>
      </c>
      <c r="O1824" s="8">
        <f t="array" ref="O1824">INDEX(TechRate,MATCH(H1824,TechNum,0))</f>
        <v>80</v>
      </c>
      <c r="P1824" s="10">
        <f>WorkOrders279[[#This Row],[Techs]]*(WorkOrders279[[#This Row],[PartsCost]]*WorkOrders279[[#This Row],[LbrHrs]])</f>
        <v>15.9038</v>
      </c>
      <c r="Q1824" s="10">
        <f t="shared" si="161"/>
        <v>15.9038</v>
      </c>
      <c r="R1824" s="10">
        <f t="shared" si="162"/>
        <v>31.807600000000001</v>
      </c>
      <c r="S1824" s="10">
        <f t="shared" si="163"/>
        <v>47.711399999999998</v>
      </c>
      <c r="T1824" s="10">
        <f t="shared" si="164"/>
        <v>47.711399999999998</v>
      </c>
      <c r="U1824" s="8" t="str">
        <f t="shared" si="165"/>
        <v>Fri</v>
      </c>
      <c r="V1824" s="8" t="str">
        <f t="shared" si="166"/>
        <v>Sat</v>
      </c>
    </row>
    <row r="1825" spans="1:22" hidden="1" x14ac:dyDescent="0.25">
      <c r="A1825" t="s">
        <v>367</v>
      </c>
      <c r="B1825" t="s">
        <v>35</v>
      </c>
      <c r="C1825" t="s">
        <v>8</v>
      </c>
      <c r="D1825" t="s">
        <v>13</v>
      </c>
      <c r="E1825" t="s">
        <v>3</v>
      </c>
      <c r="F1825" s="5">
        <v>44232</v>
      </c>
      <c r="G1825" s="5">
        <v>44377</v>
      </c>
      <c r="H1825" s="2">
        <v>1</v>
      </c>
      <c r="I1825" s="6"/>
      <c r="J1825" s="6"/>
      <c r="K1825" s="7">
        <v>0.5</v>
      </c>
      <c r="L1825" s="7">
        <v>61.17</v>
      </c>
      <c r="M1825" t="s">
        <v>19</v>
      </c>
      <c r="N1825" s="16">
        <f>POWER(SQRT(WorkOrders279[[#This Row],[WorkDate]]-WorkOrders279[[#This Row],[ReqDate]]),2)</f>
        <v>145</v>
      </c>
      <c r="O1825" s="8">
        <f t="array" ref="O1825">INDEX(TechRate,MATCH(H1825,TechNum,0))</f>
        <v>80</v>
      </c>
      <c r="P1825" s="10">
        <f>WorkOrders279[[#This Row],[Techs]]*(WorkOrders279[[#This Row],[PartsCost]]*WorkOrders279[[#This Row],[LbrHrs]])</f>
        <v>30.585000000000001</v>
      </c>
      <c r="Q1825" s="10">
        <f t="shared" ref="Q1825:Q1888" si="167">IF(I1825="Yes",0,P1825)</f>
        <v>30.585000000000001</v>
      </c>
      <c r="R1825" s="10">
        <f t="shared" ref="R1825:R1888" si="168">IF(J1825="Yes",0,L1825)</f>
        <v>61.17</v>
      </c>
      <c r="S1825" s="10">
        <f t="shared" ref="S1825:S1888" si="169">SUM(L1825,P1825)</f>
        <v>91.754999999999995</v>
      </c>
      <c r="T1825" s="10">
        <f t="shared" ref="T1825:T1888" si="170">SUM(Q1825,R1825)</f>
        <v>91.754999999999995</v>
      </c>
      <c r="U1825" s="8" t="str">
        <f t="shared" ref="U1825:U1888" si="171">TEXT(F1825,"ddd")</f>
        <v>Fri</v>
      </c>
      <c r="V1825" s="8" t="str">
        <f t="shared" ref="V1825:V1888" si="172">TEXT(G1825,"ddd")</f>
        <v>Wed</v>
      </c>
    </row>
    <row r="1826" spans="1:22" hidden="1" x14ac:dyDescent="0.25">
      <c r="A1826" t="s">
        <v>368</v>
      </c>
      <c r="B1826" t="s">
        <v>38</v>
      </c>
      <c r="C1826" t="s">
        <v>8</v>
      </c>
      <c r="D1826" t="s">
        <v>12</v>
      </c>
      <c r="F1826" s="5">
        <v>44233</v>
      </c>
      <c r="G1826" s="5">
        <v>44278</v>
      </c>
      <c r="H1826" s="2">
        <v>1</v>
      </c>
      <c r="I1826" s="6"/>
      <c r="J1826" s="6"/>
      <c r="K1826" s="7">
        <v>0.5</v>
      </c>
      <c r="L1826" s="7">
        <v>15.542999999999999</v>
      </c>
      <c r="M1826" t="s">
        <v>19</v>
      </c>
      <c r="N1826" s="16">
        <f>POWER(SQRT(WorkOrders279[[#This Row],[WorkDate]]-WorkOrders279[[#This Row],[ReqDate]]),2)</f>
        <v>45.000000000000007</v>
      </c>
      <c r="O1826" s="8">
        <f t="array" ref="O1826">INDEX(TechRate,MATCH(H1826,TechNum,0))</f>
        <v>80</v>
      </c>
      <c r="P1826" s="10">
        <f>WorkOrders279[[#This Row],[Techs]]*(WorkOrders279[[#This Row],[PartsCost]]*WorkOrders279[[#This Row],[LbrHrs]])</f>
        <v>7.7714999999999996</v>
      </c>
      <c r="Q1826" s="10">
        <f t="shared" si="167"/>
        <v>7.7714999999999996</v>
      </c>
      <c r="R1826" s="10">
        <f t="shared" si="168"/>
        <v>15.542999999999999</v>
      </c>
      <c r="S1826" s="10">
        <f t="shared" si="169"/>
        <v>23.314499999999999</v>
      </c>
      <c r="T1826" s="10">
        <f t="shared" si="170"/>
        <v>23.314499999999999</v>
      </c>
      <c r="U1826" s="8" t="str">
        <f t="shared" si="171"/>
        <v>Sat</v>
      </c>
      <c r="V1826" s="8" t="str">
        <f t="shared" si="172"/>
        <v>Tue</v>
      </c>
    </row>
    <row r="1827" spans="1:22" hidden="1" x14ac:dyDescent="0.25">
      <c r="A1827" t="s">
        <v>369</v>
      </c>
      <c r="B1827" t="s">
        <v>38</v>
      </c>
      <c r="C1827" t="s">
        <v>8</v>
      </c>
      <c r="D1827" t="s">
        <v>11</v>
      </c>
      <c r="F1827" s="5">
        <v>44233</v>
      </c>
      <c r="G1827" s="5">
        <v>44286</v>
      </c>
      <c r="H1827" s="2">
        <v>1</v>
      </c>
      <c r="I1827" s="6"/>
      <c r="J1827" s="6"/>
      <c r="K1827" s="7">
        <v>0.25</v>
      </c>
      <c r="L1827" s="7">
        <v>72.350099999999998</v>
      </c>
      <c r="M1827" t="s">
        <v>17</v>
      </c>
      <c r="N1827" s="16">
        <f>POWER(SQRT(WorkOrders279[[#This Row],[WorkDate]]-WorkOrders279[[#This Row],[ReqDate]]),2)</f>
        <v>53</v>
      </c>
      <c r="O1827" s="8">
        <f t="array" ref="O1827">INDEX(TechRate,MATCH(H1827,TechNum,0))</f>
        <v>80</v>
      </c>
      <c r="P1827" s="10">
        <f>WorkOrders279[[#This Row],[Techs]]*(WorkOrders279[[#This Row],[PartsCost]]*WorkOrders279[[#This Row],[LbrHrs]])</f>
        <v>18.087524999999999</v>
      </c>
      <c r="Q1827" s="10">
        <f t="shared" si="167"/>
        <v>18.087524999999999</v>
      </c>
      <c r="R1827" s="10">
        <f t="shared" si="168"/>
        <v>72.350099999999998</v>
      </c>
      <c r="S1827" s="10">
        <f t="shared" si="169"/>
        <v>90.437624999999997</v>
      </c>
      <c r="T1827" s="10">
        <f t="shared" si="170"/>
        <v>90.437624999999997</v>
      </c>
      <c r="U1827" s="8" t="str">
        <f t="shared" si="171"/>
        <v>Sat</v>
      </c>
      <c r="V1827" s="8" t="str">
        <f t="shared" si="172"/>
        <v>Wed</v>
      </c>
    </row>
    <row r="1828" spans="1:22" hidden="1" x14ac:dyDescent="0.25">
      <c r="A1828" t="s">
        <v>370</v>
      </c>
      <c r="B1828" t="s">
        <v>36</v>
      </c>
      <c r="C1828" t="s">
        <v>7</v>
      </c>
      <c r="D1828" t="s">
        <v>11</v>
      </c>
      <c r="E1828" t="s">
        <v>3</v>
      </c>
      <c r="F1828" s="5">
        <v>44235</v>
      </c>
      <c r="G1828" s="5">
        <v>44246</v>
      </c>
      <c r="H1828" s="2">
        <v>1</v>
      </c>
      <c r="I1828" s="6"/>
      <c r="J1828" s="6"/>
      <c r="K1828" s="7">
        <v>0.25</v>
      </c>
      <c r="L1828" s="7">
        <v>96.714699999999993</v>
      </c>
      <c r="M1828" t="s">
        <v>17</v>
      </c>
      <c r="N1828" s="16">
        <f>POWER(SQRT(WorkOrders279[[#This Row],[WorkDate]]-WorkOrders279[[#This Row],[ReqDate]]),2)</f>
        <v>11</v>
      </c>
      <c r="O1828" s="8">
        <f t="array" ref="O1828">INDEX(TechRate,MATCH(H1828,TechNum,0))</f>
        <v>80</v>
      </c>
      <c r="P1828" s="10">
        <f>WorkOrders279[[#This Row],[Techs]]*(WorkOrders279[[#This Row],[PartsCost]]*WorkOrders279[[#This Row],[LbrHrs]])</f>
        <v>24.178674999999998</v>
      </c>
      <c r="Q1828" s="10">
        <f t="shared" si="167"/>
        <v>24.178674999999998</v>
      </c>
      <c r="R1828" s="10">
        <f t="shared" si="168"/>
        <v>96.714699999999993</v>
      </c>
      <c r="S1828" s="10">
        <f t="shared" si="169"/>
        <v>120.89337499999999</v>
      </c>
      <c r="T1828" s="10">
        <f t="shared" si="170"/>
        <v>120.89337499999999</v>
      </c>
      <c r="U1828" s="8" t="str">
        <f t="shared" si="171"/>
        <v>Mon</v>
      </c>
      <c r="V1828" s="8" t="str">
        <f t="shared" si="172"/>
        <v>Fri</v>
      </c>
    </row>
    <row r="1829" spans="1:22" hidden="1" x14ac:dyDescent="0.25">
      <c r="A1829" t="s">
        <v>371</v>
      </c>
      <c r="B1829" t="s">
        <v>35</v>
      </c>
      <c r="C1829" t="s">
        <v>44</v>
      </c>
      <c r="D1829" t="s">
        <v>13</v>
      </c>
      <c r="F1829" s="5">
        <v>44235</v>
      </c>
      <c r="G1829" s="5">
        <v>44243</v>
      </c>
      <c r="H1829" s="2">
        <v>1</v>
      </c>
      <c r="I1829" s="6"/>
      <c r="J1829" s="6"/>
      <c r="K1829" s="7">
        <v>0.5</v>
      </c>
      <c r="L1829" s="7">
        <v>207.89859999999999</v>
      </c>
      <c r="M1829" t="s">
        <v>18</v>
      </c>
      <c r="N1829" s="16">
        <f>POWER(SQRT(WorkOrders279[[#This Row],[WorkDate]]-WorkOrders279[[#This Row],[ReqDate]]),2)</f>
        <v>8.0000000000000018</v>
      </c>
      <c r="O1829" s="8">
        <f t="array" ref="O1829">INDEX(TechRate,MATCH(H1829,TechNum,0))</f>
        <v>80</v>
      </c>
      <c r="P1829" s="10">
        <f>WorkOrders279[[#This Row],[Techs]]*(WorkOrders279[[#This Row],[PartsCost]]*WorkOrders279[[#This Row],[LbrHrs]])</f>
        <v>103.94929999999999</v>
      </c>
      <c r="Q1829" s="10">
        <f t="shared" si="167"/>
        <v>103.94929999999999</v>
      </c>
      <c r="R1829" s="10">
        <f t="shared" si="168"/>
        <v>207.89859999999999</v>
      </c>
      <c r="S1829" s="10">
        <f t="shared" si="169"/>
        <v>311.84789999999998</v>
      </c>
      <c r="T1829" s="10">
        <f t="shared" si="170"/>
        <v>311.84789999999998</v>
      </c>
      <c r="U1829" s="8" t="str">
        <f t="shared" si="171"/>
        <v>Mon</v>
      </c>
      <c r="V1829" s="8" t="str">
        <f t="shared" si="172"/>
        <v>Tue</v>
      </c>
    </row>
    <row r="1830" spans="1:22" hidden="1" x14ac:dyDescent="0.25">
      <c r="A1830" t="s">
        <v>372</v>
      </c>
      <c r="B1830" t="s">
        <v>37</v>
      </c>
      <c r="C1830" t="s">
        <v>43</v>
      </c>
      <c r="D1830" t="s">
        <v>1</v>
      </c>
      <c r="F1830" s="5">
        <v>44235</v>
      </c>
      <c r="G1830" s="5">
        <v>44245</v>
      </c>
      <c r="H1830" s="2">
        <v>3</v>
      </c>
      <c r="I1830" s="6"/>
      <c r="J1830" s="6"/>
      <c r="K1830" s="7">
        <v>3.5</v>
      </c>
      <c r="L1830" s="7">
        <v>821.87300000000005</v>
      </c>
      <c r="M1830" t="s">
        <v>17</v>
      </c>
      <c r="N1830" s="16">
        <f>POWER(SQRT(WorkOrders279[[#This Row],[WorkDate]]-WorkOrders279[[#This Row],[ReqDate]]),2)</f>
        <v>10.000000000000002</v>
      </c>
      <c r="O1830" s="8">
        <f t="array" ref="O1830">INDEX(TechRate,MATCH(H1830,TechNum,0))</f>
        <v>195</v>
      </c>
      <c r="P1830" s="10">
        <f>WorkOrders279[[#This Row],[Techs]]*(WorkOrders279[[#This Row],[PartsCost]]*WorkOrders279[[#This Row],[LbrHrs]])</f>
        <v>8629.6665000000012</v>
      </c>
      <c r="Q1830" s="10">
        <f t="shared" si="167"/>
        <v>8629.6665000000012</v>
      </c>
      <c r="R1830" s="10">
        <f t="shared" si="168"/>
        <v>821.87300000000005</v>
      </c>
      <c r="S1830" s="10">
        <f t="shared" si="169"/>
        <v>9451.5395000000008</v>
      </c>
      <c r="T1830" s="10">
        <f t="shared" si="170"/>
        <v>9451.5395000000008</v>
      </c>
      <c r="U1830" s="8" t="str">
        <f t="shared" si="171"/>
        <v>Mon</v>
      </c>
      <c r="V1830" s="8" t="str">
        <f t="shared" si="172"/>
        <v>Thu</v>
      </c>
    </row>
    <row r="1831" spans="1:22" hidden="1" x14ac:dyDescent="0.25">
      <c r="A1831" t="s">
        <v>373</v>
      </c>
      <c r="B1831" t="s">
        <v>36</v>
      </c>
      <c r="C1831" t="s">
        <v>7</v>
      </c>
      <c r="D1831" t="s">
        <v>2</v>
      </c>
      <c r="F1831" s="5">
        <v>44235</v>
      </c>
      <c r="G1831" s="5">
        <v>44249</v>
      </c>
      <c r="H1831" s="2">
        <v>2</v>
      </c>
      <c r="I1831" s="6"/>
      <c r="J1831" s="6"/>
      <c r="K1831" s="7">
        <v>1</v>
      </c>
      <c r="L1831" s="7">
        <v>118.55840000000001</v>
      </c>
      <c r="M1831" t="s">
        <v>17</v>
      </c>
      <c r="N1831" s="16">
        <f>POWER(SQRT(WorkOrders279[[#This Row],[WorkDate]]-WorkOrders279[[#This Row],[ReqDate]]),2)</f>
        <v>14</v>
      </c>
      <c r="O1831" s="8">
        <f t="array" ref="O1831">INDEX(TechRate,MATCH(H1831,TechNum,0))</f>
        <v>140</v>
      </c>
      <c r="P1831" s="10">
        <f>WorkOrders279[[#This Row],[Techs]]*(WorkOrders279[[#This Row],[PartsCost]]*WorkOrders279[[#This Row],[LbrHrs]])</f>
        <v>237.11680000000001</v>
      </c>
      <c r="Q1831" s="10">
        <f t="shared" si="167"/>
        <v>237.11680000000001</v>
      </c>
      <c r="R1831" s="10">
        <f t="shared" si="168"/>
        <v>118.55840000000001</v>
      </c>
      <c r="S1831" s="10">
        <f t="shared" si="169"/>
        <v>355.67520000000002</v>
      </c>
      <c r="T1831" s="10">
        <f t="shared" si="170"/>
        <v>355.67520000000002</v>
      </c>
      <c r="U1831" s="8" t="str">
        <f t="shared" si="171"/>
        <v>Mon</v>
      </c>
      <c r="V1831" s="8" t="str">
        <f t="shared" si="172"/>
        <v>Mon</v>
      </c>
    </row>
    <row r="1832" spans="1:22" hidden="1" x14ac:dyDescent="0.25">
      <c r="A1832" t="s">
        <v>374</v>
      </c>
      <c r="B1832" t="s">
        <v>35</v>
      </c>
      <c r="C1832" t="s">
        <v>44</v>
      </c>
      <c r="D1832" t="s">
        <v>12</v>
      </c>
      <c r="E1832" t="s">
        <v>3</v>
      </c>
      <c r="F1832" s="5">
        <v>44236</v>
      </c>
      <c r="G1832" s="5">
        <v>44237</v>
      </c>
      <c r="H1832" s="2">
        <v>1</v>
      </c>
      <c r="I1832" s="6"/>
      <c r="J1832" s="6"/>
      <c r="K1832" s="7">
        <v>0.25</v>
      </c>
      <c r="L1832" s="7">
        <v>54.463700000000003</v>
      </c>
      <c r="M1832" t="s">
        <v>19</v>
      </c>
      <c r="N1832" s="16">
        <f>POWER(SQRT(WorkOrders279[[#This Row],[WorkDate]]-WorkOrders279[[#This Row],[ReqDate]]),2)</f>
        <v>1</v>
      </c>
      <c r="O1832" s="8">
        <f t="array" ref="O1832">INDEX(TechRate,MATCH(H1832,TechNum,0))</f>
        <v>80</v>
      </c>
      <c r="P1832" s="10">
        <f>WorkOrders279[[#This Row],[Techs]]*(WorkOrders279[[#This Row],[PartsCost]]*WorkOrders279[[#This Row],[LbrHrs]])</f>
        <v>13.615925000000001</v>
      </c>
      <c r="Q1832" s="10">
        <f t="shared" si="167"/>
        <v>13.615925000000001</v>
      </c>
      <c r="R1832" s="10">
        <f t="shared" si="168"/>
        <v>54.463700000000003</v>
      </c>
      <c r="S1832" s="10">
        <f t="shared" si="169"/>
        <v>68.079625000000007</v>
      </c>
      <c r="T1832" s="10">
        <f t="shared" si="170"/>
        <v>68.079625000000007</v>
      </c>
      <c r="U1832" s="8" t="str">
        <f t="shared" si="171"/>
        <v>Tue</v>
      </c>
      <c r="V1832" s="8" t="str">
        <f t="shared" si="172"/>
        <v>Wed</v>
      </c>
    </row>
    <row r="1833" spans="1:22" hidden="1" x14ac:dyDescent="0.25">
      <c r="A1833" t="s">
        <v>375</v>
      </c>
      <c r="B1833" t="s">
        <v>36</v>
      </c>
      <c r="C1833" t="s">
        <v>7</v>
      </c>
      <c r="D1833" t="s">
        <v>12</v>
      </c>
      <c r="F1833" s="5">
        <v>44236</v>
      </c>
      <c r="G1833" s="5">
        <v>44249</v>
      </c>
      <c r="H1833" s="2">
        <v>2</v>
      </c>
      <c r="I1833" s="6"/>
      <c r="J1833" s="6"/>
      <c r="K1833" s="7">
        <v>0.25</v>
      </c>
      <c r="L1833" s="7">
        <v>83.441299999999998</v>
      </c>
      <c r="M1833" t="s">
        <v>17</v>
      </c>
      <c r="N1833" s="16">
        <f>POWER(SQRT(WorkOrders279[[#This Row],[WorkDate]]-WorkOrders279[[#This Row],[ReqDate]]),2)</f>
        <v>12.999999999999998</v>
      </c>
      <c r="O1833" s="8">
        <f t="array" ref="O1833">INDEX(TechRate,MATCH(H1833,TechNum,0))</f>
        <v>140</v>
      </c>
      <c r="P1833" s="10">
        <f>WorkOrders279[[#This Row],[Techs]]*(WorkOrders279[[#This Row],[PartsCost]]*WorkOrders279[[#This Row],[LbrHrs]])</f>
        <v>41.720649999999999</v>
      </c>
      <c r="Q1833" s="10">
        <f t="shared" si="167"/>
        <v>41.720649999999999</v>
      </c>
      <c r="R1833" s="10">
        <f t="shared" si="168"/>
        <v>83.441299999999998</v>
      </c>
      <c r="S1833" s="10">
        <f t="shared" si="169"/>
        <v>125.16194999999999</v>
      </c>
      <c r="T1833" s="10">
        <f t="shared" si="170"/>
        <v>125.16194999999999</v>
      </c>
      <c r="U1833" s="8" t="str">
        <f t="shared" si="171"/>
        <v>Tue</v>
      </c>
      <c r="V1833" s="8" t="str">
        <f t="shared" si="172"/>
        <v>Mon</v>
      </c>
    </row>
    <row r="1834" spans="1:22" hidden="1" x14ac:dyDescent="0.25">
      <c r="A1834" t="s">
        <v>376</v>
      </c>
      <c r="B1834" t="s">
        <v>36</v>
      </c>
      <c r="C1834" t="s">
        <v>7</v>
      </c>
      <c r="D1834" t="s">
        <v>12</v>
      </c>
      <c r="F1834" s="5">
        <v>44236</v>
      </c>
      <c r="G1834" s="5">
        <v>44251</v>
      </c>
      <c r="H1834" s="2">
        <v>2</v>
      </c>
      <c r="I1834" s="6"/>
      <c r="J1834" s="6"/>
      <c r="K1834" s="7">
        <v>0.75</v>
      </c>
      <c r="L1834" s="7">
        <v>36</v>
      </c>
      <c r="M1834" t="s">
        <v>17</v>
      </c>
      <c r="N1834" s="16">
        <f>POWER(SQRT(WorkOrders279[[#This Row],[WorkDate]]-WorkOrders279[[#This Row],[ReqDate]]),2)</f>
        <v>15.000000000000002</v>
      </c>
      <c r="O1834" s="8">
        <f t="array" ref="O1834">INDEX(TechRate,MATCH(H1834,TechNum,0))</f>
        <v>140</v>
      </c>
      <c r="P1834" s="10">
        <f>WorkOrders279[[#This Row],[Techs]]*(WorkOrders279[[#This Row],[PartsCost]]*WorkOrders279[[#This Row],[LbrHrs]])</f>
        <v>54</v>
      </c>
      <c r="Q1834" s="10">
        <f t="shared" si="167"/>
        <v>54</v>
      </c>
      <c r="R1834" s="10">
        <f t="shared" si="168"/>
        <v>36</v>
      </c>
      <c r="S1834" s="10">
        <f t="shared" si="169"/>
        <v>90</v>
      </c>
      <c r="T1834" s="10">
        <f t="shared" si="170"/>
        <v>90</v>
      </c>
      <c r="U1834" s="8" t="str">
        <f t="shared" si="171"/>
        <v>Tue</v>
      </c>
      <c r="V1834" s="8" t="str">
        <f t="shared" si="172"/>
        <v>Wed</v>
      </c>
    </row>
    <row r="1835" spans="1:22" hidden="1" x14ac:dyDescent="0.25">
      <c r="A1835" t="s">
        <v>377</v>
      </c>
      <c r="B1835" t="s">
        <v>37</v>
      </c>
      <c r="C1835" t="s">
        <v>43</v>
      </c>
      <c r="D1835" t="s">
        <v>13</v>
      </c>
      <c r="F1835" s="5">
        <v>44236</v>
      </c>
      <c r="G1835" s="5">
        <v>44299</v>
      </c>
      <c r="H1835" s="2">
        <v>1</v>
      </c>
      <c r="I1835" s="6"/>
      <c r="J1835" s="6"/>
      <c r="K1835" s="7">
        <v>0.5</v>
      </c>
      <c r="L1835" s="7">
        <v>53.43</v>
      </c>
      <c r="M1835" t="s">
        <v>17</v>
      </c>
      <c r="N1835" s="16">
        <f>POWER(SQRT(WorkOrders279[[#This Row],[WorkDate]]-WorkOrders279[[#This Row],[ReqDate]]),2)</f>
        <v>63.000000000000007</v>
      </c>
      <c r="O1835" s="8">
        <f t="array" ref="O1835">INDEX(TechRate,MATCH(H1835,TechNum,0))</f>
        <v>80</v>
      </c>
      <c r="P1835" s="10">
        <f>WorkOrders279[[#This Row],[Techs]]*(WorkOrders279[[#This Row],[PartsCost]]*WorkOrders279[[#This Row],[LbrHrs]])</f>
        <v>26.715</v>
      </c>
      <c r="Q1835" s="10">
        <f t="shared" si="167"/>
        <v>26.715</v>
      </c>
      <c r="R1835" s="10">
        <f t="shared" si="168"/>
        <v>53.43</v>
      </c>
      <c r="S1835" s="10">
        <f t="shared" si="169"/>
        <v>80.144999999999996</v>
      </c>
      <c r="T1835" s="10">
        <f t="shared" si="170"/>
        <v>80.144999999999996</v>
      </c>
      <c r="U1835" s="8" t="str">
        <f t="shared" si="171"/>
        <v>Tue</v>
      </c>
      <c r="V1835" s="8" t="str">
        <f t="shared" si="172"/>
        <v>Tue</v>
      </c>
    </row>
    <row r="1836" spans="1:22" hidden="1" x14ac:dyDescent="0.25">
      <c r="A1836" t="s">
        <v>378</v>
      </c>
      <c r="B1836" t="s">
        <v>36</v>
      </c>
      <c r="C1836" t="s">
        <v>7</v>
      </c>
      <c r="D1836" t="s">
        <v>12</v>
      </c>
      <c r="F1836" s="5">
        <v>44237</v>
      </c>
      <c r="G1836" s="5">
        <v>44244</v>
      </c>
      <c r="H1836" s="2">
        <v>1</v>
      </c>
      <c r="I1836" s="6"/>
      <c r="J1836" s="6"/>
      <c r="K1836" s="7">
        <v>0.5</v>
      </c>
      <c r="L1836" s="7">
        <v>76.787999999999997</v>
      </c>
      <c r="M1836" t="s">
        <v>17</v>
      </c>
      <c r="N1836" s="16">
        <f>POWER(SQRT(WorkOrders279[[#This Row],[WorkDate]]-WorkOrders279[[#This Row],[ReqDate]]),2)</f>
        <v>7.0000000000000009</v>
      </c>
      <c r="O1836" s="8">
        <f t="array" ref="O1836">INDEX(TechRate,MATCH(H1836,TechNum,0))</f>
        <v>80</v>
      </c>
      <c r="P1836" s="10">
        <f>WorkOrders279[[#This Row],[Techs]]*(WorkOrders279[[#This Row],[PartsCost]]*WorkOrders279[[#This Row],[LbrHrs]])</f>
        <v>38.393999999999998</v>
      </c>
      <c r="Q1836" s="10">
        <f t="shared" si="167"/>
        <v>38.393999999999998</v>
      </c>
      <c r="R1836" s="10">
        <f t="shared" si="168"/>
        <v>76.787999999999997</v>
      </c>
      <c r="S1836" s="10">
        <f t="shared" si="169"/>
        <v>115.18199999999999</v>
      </c>
      <c r="T1836" s="10">
        <f t="shared" si="170"/>
        <v>115.18199999999999</v>
      </c>
      <c r="U1836" s="8" t="str">
        <f t="shared" si="171"/>
        <v>Wed</v>
      </c>
      <c r="V1836" s="8" t="str">
        <f t="shared" si="172"/>
        <v>Wed</v>
      </c>
    </row>
    <row r="1837" spans="1:22" hidden="1" x14ac:dyDescent="0.25">
      <c r="A1837" t="s">
        <v>379</v>
      </c>
      <c r="B1837" t="s">
        <v>39</v>
      </c>
      <c r="C1837" t="s">
        <v>9</v>
      </c>
      <c r="D1837" t="s">
        <v>12</v>
      </c>
      <c r="F1837" s="5">
        <v>44237</v>
      </c>
      <c r="G1837" s="5">
        <v>44249</v>
      </c>
      <c r="H1837" s="2">
        <v>1</v>
      </c>
      <c r="I1837" s="6" t="s">
        <v>3</v>
      </c>
      <c r="J1837" s="6" t="s">
        <v>3</v>
      </c>
      <c r="K1837" s="7">
        <v>0.25</v>
      </c>
      <c r="L1837" s="7">
        <v>78</v>
      </c>
      <c r="M1837" t="s">
        <v>20</v>
      </c>
      <c r="N1837" s="16">
        <f>POWER(SQRT(WorkOrders279[[#This Row],[WorkDate]]-WorkOrders279[[#This Row],[ReqDate]]),2)</f>
        <v>11.999999999999998</v>
      </c>
      <c r="O1837" s="8">
        <f t="array" ref="O1837">INDEX(TechRate,MATCH(H1837,TechNum,0))</f>
        <v>80</v>
      </c>
      <c r="P1837" s="10">
        <f>WorkOrders279[[#This Row],[Techs]]*(WorkOrders279[[#This Row],[PartsCost]]*WorkOrders279[[#This Row],[LbrHrs]])</f>
        <v>19.5</v>
      </c>
      <c r="Q1837" s="10">
        <f t="shared" si="167"/>
        <v>0</v>
      </c>
      <c r="R1837" s="10">
        <f t="shared" si="168"/>
        <v>0</v>
      </c>
      <c r="S1837" s="10">
        <f t="shared" si="169"/>
        <v>97.5</v>
      </c>
      <c r="T1837" s="10">
        <f t="shared" si="170"/>
        <v>0</v>
      </c>
      <c r="U1837" s="8" t="str">
        <f t="shared" si="171"/>
        <v>Wed</v>
      </c>
      <c r="V1837" s="8" t="str">
        <f t="shared" si="172"/>
        <v>Mon</v>
      </c>
    </row>
    <row r="1838" spans="1:22" hidden="1" x14ac:dyDescent="0.25">
      <c r="A1838" t="s">
        <v>380</v>
      </c>
      <c r="B1838" t="s">
        <v>35</v>
      </c>
      <c r="C1838" t="s">
        <v>9</v>
      </c>
      <c r="D1838" t="s">
        <v>13</v>
      </c>
      <c r="F1838" s="5">
        <v>44237</v>
      </c>
      <c r="G1838" s="5">
        <v>44252</v>
      </c>
      <c r="H1838" s="2">
        <v>2</v>
      </c>
      <c r="I1838" s="6"/>
      <c r="J1838" s="6"/>
      <c r="K1838" s="7">
        <v>2.75</v>
      </c>
      <c r="L1838" s="7">
        <v>666.4434</v>
      </c>
      <c r="M1838" t="s">
        <v>18</v>
      </c>
      <c r="N1838" s="16">
        <f>POWER(SQRT(WorkOrders279[[#This Row],[WorkDate]]-WorkOrders279[[#This Row],[ReqDate]]),2)</f>
        <v>15.000000000000002</v>
      </c>
      <c r="O1838" s="8">
        <f t="array" ref="O1838">INDEX(TechRate,MATCH(H1838,TechNum,0))</f>
        <v>140</v>
      </c>
      <c r="P1838" s="10">
        <f>WorkOrders279[[#This Row],[Techs]]*(WorkOrders279[[#This Row],[PartsCost]]*WorkOrders279[[#This Row],[LbrHrs]])</f>
        <v>3665.4387000000002</v>
      </c>
      <c r="Q1838" s="10">
        <f t="shared" si="167"/>
        <v>3665.4387000000002</v>
      </c>
      <c r="R1838" s="10">
        <f t="shared" si="168"/>
        <v>666.4434</v>
      </c>
      <c r="S1838" s="10">
        <f t="shared" si="169"/>
        <v>4331.8820999999998</v>
      </c>
      <c r="T1838" s="10">
        <f t="shared" si="170"/>
        <v>4331.8820999999998</v>
      </c>
      <c r="U1838" s="8" t="str">
        <f t="shared" si="171"/>
        <v>Wed</v>
      </c>
      <c r="V1838" s="8" t="str">
        <f t="shared" si="172"/>
        <v>Thu</v>
      </c>
    </row>
    <row r="1839" spans="1:22" hidden="1" x14ac:dyDescent="0.25">
      <c r="A1839" t="s">
        <v>381</v>
      </c>
      <c r="B1839" t="s">
        <v>35</v>
      </c>
      <c r="C1839" t="s">
        <v>9</v>
      </c>
      <c r="D1839" t="s">
        <v>11</v>
      </c>
      <c r="E1839" t="s">
        <v>3</v>
      </c>
      <c r="F1839" s="5">
        <v>44238</v>
      </c>
      <c r="G1839" s="5">
        <v>44254</v>
      </c>
      <c r="H1839" s="2">
        <v>1</v>
      </c>
      <c r="I1839" s="6"/>
      <c r="J1839" s="6"/>
      <c r="K1839" s="7">
        <v>0.25</v>
      </c>
      <c r="L1839" s="7">
        <v>19.196999999999999</v>
      </c>
      <c r="M1839" t="s">
        <v>18</v>
      </c>
      <c r="N1839" s="16">
        <f>POWER(SQRT(WorkOrders279[[#This Row],[WorkDate]]-WorkOrders279[[#This Row],[ReqDate]]),2)</f>
        <v>16</v>
      </c>
      <c r="O1839" s="8">
        <f t="array" ref="O1839">INDEX(TechRate,MATCH(H1839,TechNum,0))</f>
        <v>80</v>
      </c>
      <c r="P1839" s="10">
        <f>WorkOrders279[[#This Row],[Techs]]*(WorkOrders279[[#This Row],[PartsCost]]*WorkOrders279[[#This Row],[LbrHrs]])</f>
        <v>4.7992499999999998</v>
      </c>
      <c r="Q1839" s="10">
        <f t="shared" si="167"/>
        <v>4.7992499999999998</v>
      </c>
      <c r="R1839" s="10">
        <f t="shared" si="168"/>
        <v>19.196999999999999</v>
      </c>
      <c r="S1839" s="10">
        <f t="shared" si="169"/>
        <v>23.99625</v>
      </c>
      <c r="T1839" s="10">
        <f t="shared" si="170"/>
        <v>23.99625</v>
      </c>
      <c r="U1839" s="8" t="str">
        <f t="shared" si="171"/>
        <v>Thu</v>
      </c>
      <c r="V1839" s="8" t="str">
        <f t="shared" si="172"/>
        <v>Sat</v>
      </c>
    </row>
    <row r="1840" spans="1:22" hidden="1" x14ac:dyDescent="0.25">
      <c r="A1840" t="s">
        <v>382</v>
      </c>
      <c r="B1840" t="s">
        <v>37</v>
      </c>
      <c r="C1840" t="s">
        <v>43</v>
      </c>
      <c r="D1840" t="s">
        <v>12</v>
      </c>
      <c r="F1840" s="5">
        <v>44238</v>
      </c>
      <c r="G1840" s="5">
        <v>44266</v>
      </c>
      <c r="H1840" s="2">
        <v>1</v>
      </c>
      <c r="I1840" s="6"/>
      <c r="J1840" s="6"/>
      <c r="K1840" s="7">
        <v>0.75</v>
      </c>
      <c r="L1840" s="7">
        <v>414.53649999999999</v>
      </c>
      <c r="M1840" t="s">
        <v>19</v>
      </c>
      <c r="N1840" s="16">
        <f>POWER(SQRT(WorkOrders279[[#This Row],[WorkDate]]-WorkOrders279[[#This Row],[ReqDate]]),2)</f>
        <v>28.000000000000004</v>
      </c>
      <c r="O1840" s="8">
        <f t="array" ref="O1840">INDEX(TechRate,MATCH(H1840,TechNum,0))</f>
        <v>80</v>
      </c>
      <c r="P1840" s="10">
        <f>WorkOrders279[[#This Row],[Techs]]*(WorkOrders279[[#This Row],[PartsCost]]*WorkOrders279[[#This Row],[LbrHrs]])</f>
        <v>310.90237500000001</v>
      </c>
      <c r="Q1840" s="10">
        <f t="shared" si="167"/>
        <v>310.90237500000001</v>
      </c>
      <c r="R1840" s="10">
        <f t="shared" si="168"/>
        <v>414.53649999999999</v>
      </c>
      <c r="S1840" s="10">
        <f t="shared" si="169"/>
        <v>725.43887500000005</v>
      </c>
      <c r="T1840" s="10">
        <f t="shared" si="170"/>
        <v>725.43887500000005</v>
      </c>
      <c r="U1840" s="8" t="str">
        <f t="shared" si="171"/>
        <v>Thu</v>
      </c>
      <c r="V1840" s="8" t="str">
        <f t="shared" si="172"/>
        <v>Thu</v>
      </c>
    </row>
    <row r="1841" spans="1:22" hidden="1" x14ac:dyDescent="0.25">
      <c r="A1841" t="s">
        <v>383</v>
      </c>
      <c r="B1841" t="s">
        <v>39</v>
      </c>
      <c r="C1841" t="s">
        <v>8</v>
      </c>
      <c r="D1841" t="s">
        <v>2</v>
      </c>
      <c r="F1841" s="5">
        <v>44240</v>
      </c>
      <c r="G1841" s="5">
        <v>44294</v>
      </c>
      <c r="H1841" s="2">
        <v>1</v>
      </c>
      <c r="I1841" s="6"/>
      <c r="J1841" s="6"/>
      <c r="K1841" s="7">
        <v>1</v>
      </c>
      <c r="L1841" s="7">
        <v>19.196999999999999</v>
      </c>
      <c r="M1841" t="s">
        <v>17</v>
      </c>
      <c r="N1841" s="16">
        <f>POWER(SQRT(WorkOrders279[[#This Row],[WorkDate]]-WorkOrders279[[#This Row],[ReqDate]]),2)</f>
        <v>54</v>
      </c>
      <c r="O1841" s="8">
        <f t="array" ref="O1841">INDEX(TechRate,MATCH(H1841,TechNum,0))</f>
        <v>80</v>
      </c>
      <c r="P1841" s="10">
        <f>WorkOrders279[[#This Row],[Techs]]*(WorkOrders279[[#This Row],[PartsCost]]*WorkOrders279[[#This Row],[LbrHrs]])</f>
        <v>19.196999999999999</v>
      </c>
      <c r="Q1841" s="10">
        <f t="shared" si="167"/>
        <v>19.196999999999999</v>
      </c>
      <c r="R1841" s="10">
        <f t="shared" si="168"/>
        <v>19.196999999999999</v>
      </c>
      <c r="S1841" s="10">
        <f t="shared" si="169"/>
        <v>38.393999999999998</v>
      </c>
      <c r="T1841" s="10">
        <f t="shared" si="170"/>
        <v>38.393999999999998</v>
      </c>
      <c r="U1841" s="8" t="str">
        <f t="shared" si="171"/>
        <v>Sat</v>
      </c>
      <c r="V1841" s="8" t="str">
        <f t="shared" si="172"/>
        <v>Thu</v>
      </c>
    </row>
    <row r="1842" spans="1:22" hidden="1" x14ac:dyDescent="0.25">
      <c r="A1842" t="s">
        <v>384</v>
      </c>
      <c r="B1842" t="s">
        <v>36</v>
      </c>
      <c r="C1842" t="s">
        <v>7</v>
      </c>
      <c r="D1842" t="s">
        <v>1</v>
      </c>
      <c r="F1842" s="5">
        <v>44242</v>
      </c>
      <c r="G1842" s="5">
        <v>44245</v>
      </c>
      <c r="H1842" s="2">
        <v>2</v>
      </c>
      <c r="I1842" s="6"/>
      <c r="J1842" s="6"/>
      <c r="K1842" s="7">
        <v>1</v>
      </c>
      <c r="L1842" s="7">
        <v>157.86000000000001</v>
      </c>
      <c r="M1842" t="s">
        <v>17</v>
      </c>
      <c r="N1842" s="16">
        <f>POWER(SQRT(WorkOrders279[[#This Row],[WorkDate]]-WorkOrders279[[#This Row],[ReqDate]]),2)</f>
        <v>2.9999999999999996</v>
      </c>
      <c r="O1842" s="8">
        <f t="array" ref="O1842">INDEX(TechRate,MATCH(H1842,TechNum,0))</f>
        <v>140</v>
      </c>
      <c r="P1842" s="10">
        <f>WorkOrders279[[#This Row],[Techs]]*(WorkOrders279[[#This Row],[PartsCost]]*WorkOrders279[[#This Row],[LbrHrs]])</f>
        <v>315.72000000000003</v>
      </c>
      <c r="Q1842" s="10">
        <f t="shared" si="167"/>
        <v>315.72000000000003</v>
      </c>
      <c r="R1842" s="10">
        <f t="shared" si="168"/>
        <v>157.86000000000001</v>
      </c>
      <c r="S1842" s="10">
        <f t="shared" si="169"/>
        <v>473.58000000000004</v>
      </c>
      <c r="T1842" s="10">
        <f t="shared" si="170"/>
        <v>473.58000000000004</v>
      </c>
      <c r="U1842" s="8" t="str">
        <f t="shared" si="171"/>
        <v>Mon</v>
      </c>
      <c r="V1842" s="8" t="str">
        <f t="shared" si="172"/>
        <v>Thu</v>
      </c>
    </row>
    <row r="1843" spans="1:22" hidden="1" x14ac:dyDescent="0.25">
      <c r="A1843" t="s">
        <v>385</v>
      </c>
      <c r="B1843" t="s">
        <v>36</v>
      </c>
      <c r="C1843" t="s">
        <v>7</v>
      </c>
      <c r="D1843" t="s">
        <v>12</v>
      </c>
      <c r="F1843" s="5">
        <v>44242</v>
      </c>
      <c r="G1843" s="5">
        <v>44251</v>
      </c>
      <c r="H1843" s="2">
        <v>2</v>
      </c>
      <c r="I1843" s="6"/>
      <c r="J1843" s="6"/>
      <c r="K1843" s="7">
        <v>0.25</v>
      </c>
      <c r="L1843" s="7">
        <v>160.39080000000001</v>
      </c>
      <c r="M1843" t="s">
        <v>17</v>
      </c>
      <c r="N1843" s="16">
        <f>POWER(SQRT(WorkOrders279[[#This Row],[WorkDate]]-WorkOrders279[[#This Row],[ReqDate]]),2)</f>
        <v>9</v>
      </c>
      <c r="O1843" s="8">
        <f t="array" ref="O1843">INDEX(TechRate,MATCH(H1843,TechNum,0))</f>
        <v>140</v>
      </c>
      <c r="P1843" s="10">
        <f>WorkOrders279[[#This Row],[Techs]]*(WorkOrders279[[#This Row],[PartsCost]]*WorkOrders279[[#This Row],[LbrHrs]])</f>
        <v>80.195400000000006</v>
      </c>
      <c r="Q1843" s="10">
        <f t="shared" si="167"/>
        <v>80.195400000000006</v>
      </c>
      <c r="R1843" s="10">
        <f t="shared" si="168"/>
        <v>160.39080000000001</v>
      </c>
      <c r="S1843" s="10">
        <f t="shared" si="169"/>
        <v>240.58620000000002</v>
      </c>
      <c r="T1843" s="10">
        <f t="shared" si="170"/>
        <v>240.58620000000002</v>
      </c>
      <c r="U1843" s="8" t="str">
        <f t="shared" si="171"/>
        <v>Mon</v>
      </c>
      <c r="V1843" s="8" t="str">
        <f t="shared" si="172"/>
        <v>Wed</v>
      </c>
    </row>
    <row r="1844" spans="1:22" hidden="1" x14ac:dyDescent="0.25">
      <c r="A1844" t="s">
        <v>386</v>
      </c>
      <c r="B1844" t="s">
        <v>36</v>
      </c>
      <c r="C1844" t="s">
        <v>7</v>
      </c>
      <c r="D1844" t="s">
        <v>12</v>
      </c>
      <c r="F1844" s="5">
        <v>44242</v>
      </c>
      <c r="G1844" s="5">
        <v>44252</v>
      </c>
      <c r="H1844" s="2">
        <v>2</v>
      </c>
      <c r="I1844" s="6"/>
      <c r="J1844" s="6"/>
      <c r="K1844" s="7">
        <v>0.25</v>
      </c>
      <c r="L1844" s="7">
        <v>46.845300000000002</v>
      </c>
      <c r="M1844" t="s">
        <v>17</v>
      </c>
      <c r="N1844" s="16">
        <f>POWER(SQRT(WorkOrders279[[#This Row],[WorkDate]]-WorkOrders279[[#This Row],[ReqDate]]),2)</f>
        <v>10.000000000000002</v>
      </c>
      <c r="O1844" s="8">
        <f t="array" ref="O1844">INDEX(TechRate,MATCH(H1844,TechNum,0))</f>
        <v>140</v>
      </c>
      <c r="P1844" s="10">
        <f>WorkOrders279[[#This Row],[Techs]]*(WorkOrders279[[#This Row],[PartsCost]]*WorkOrders279[[#This Row],[LbrHrs]])</f>
        <v>23.422650000000001</v>
      </c>
      <c r="Q1844" s="10">
        <f t="shared" si="167"/>
        <v>23.422650000000001</v>
      </c>
      <c r="R1844" s="10">
        <f t="shared" si="168"/>
        <v>46.845300000000002</v>
      </c>
      <c r="S1844" s="10">
        <f t="shared" si="169"/>
        <v>70.267949999999999</v>
      </c>
      <c r="T1844" s="10">
        <f t="shared" si="170"/>
        <v>70.267949999999999</v>
      </c>
      <c r="U1844" s="8" t="str">
        <f t="shared" si="171"/>
        <v>Mon</v>
      </c>
      <c r="V1844" s="8" t="str">
        <f t="shared" si="172"/>
        <v>Thu</v>
      </c>
    </row>
    <row r="1845" spans="1:22" hidden="1" x14ac:dyDescent="0.25">
      <c r="A1845" t="s">
        <v>387</v>
      </c>
      <c r="B1845" t="s">
        <v>42</v>
      </c>
      <c r="C1845" t="s">
        <v>44</v>
      </c>
      <c r="D1845" t="s">
        <v>13</v>
      </c>
      <c r="E1845" t="s">
        <v>3</v>
      </c>
      <c r="F1845" s="5">
        <v>44242</v>
      </c>
      <c r="G1845" s="5">
        <v>44256</v>
      </c>
      <c r="H1845" s="2">
        <v>2</v>
      </c>
      <c r="I1845" s="6"/>
      <c r="J1845" s="6"/>
      <c r="K1845" s="7">
        <v>1.25</v>
      </c>
      <c r="L1845" s="7">
        <v>952.06380000000001</v>
      </c>
      <c r="M1845" t="s">
        <v>18</v>
      </c>
      <c r="N1845" s="16">
        <f>POWER(SQRT(WorkOrders279[[#This Row],[WorkDate]]-WorkOrders279[[#This Row],[ReqDate]]),2)</f>
        <v>14</v>
      </c>
      <c r="O1845" s="8">
        <f t="array" ref="O1845">INDEX(TechRate,MATCH(H1845,TechNum,0))</f>
        <v>140</v>
      </c>
      <c r="P1845" s="10">
        <f>WorkOrders279[[#This Row],[Techs]]*(WorkOrders279[[#This Row],[PartsCost]]*WorkOrders279[[#This Row],[LbrHrs]])</f>
        <v>2380.1595000000002</v>
      </c>
      <c r="Q1845" s="10">
        <f t="shared" si="167"/>
        <v>2380.1595000000002</v>
      </c>
      <c r="R1845" s="10">
        <f t="shared" si="168"/>
        <v>952.06380000000001</v>
      </c>
      <c r="S1845" s="10">
        <f t="shared" si="169"/>
        <v>3332.2233000000001</v>
      </c>
      <c r="T1845" s="10">
        <f t="shared" si="170"/>
        <v>3332.2233000000001</v>
      </c>
      <c r="U1845" s="8" t="str">
        <f t="shared" si="171"/>
        <v>Mon</v>
      </c>
      <c r="V1845" s="8" t="str">
        <f t="shared" si="172"/>
        <v>Mon</v>
      </c>
    </row>
    <row r="1846" spans="1:22" hidden="1" x14ac:dyDescent="0.25">
      <c r="A1846" t="s">
        <v>388</v>
      </c>
      <c r="B1846" t="s">
        <v>38</v>
      </c>
      <c r="C1846" t="s">
        <v>8</v>
      </c>
      <c r="D1846" t="s">
        <v>11</v>
      </c>
      <c r="F1846" s="5">
        <v>44243</v>
      </c>
      <c r="G1846" s="5">
        <v>44258</v>
      </c>
      <c r="H1846" s="2">
        <v>1</v>
      </c>
      <c r="I1846" s="6"/>
      <c r="J1846" s="6"/>
      <c r="K1846" s="7">
        <v>0.25</v>
      </c>
      <c r="L1846" s="7">
        <v>17.420000000000002</v>
      </c>
      <c r="M1846" t="s">
        <v>17</v>
      </c>
      <c r="N1846" s="16">
        <f>POWER(SQRT(WorkOrders279[[#This Row],[WorkDate]]-WorkOrders279[[#This Row],[ReqDate]]),2)</f>
        <v>15.000000000000002</v>
      </c>
      <c r="O1846" s="8">
        <f t="array" ref="O1846">INDEX(TechRate,MATCH(H1846,TechNum,0))</f>
        <v>80</v>
      </c>
      <c r="P1846" s="10">
        <f>WorkOrders279[[#This Row],[Techs]]*(WorkOrders279[[#This Row],[PartsCost]]*WorkOrders279[[#This Row],[LbrHrs]])</f>
        <v>4.3550000000000004</v>
      </c>
      <c r="Q1846" s="10">
        <f t="shared" si="167"/>
        <v>4.3550000000000004</v>
      </c>
      <c r="R1846" s="10">
        <f t="shared" si="168"/>
        <v>17.420000000000002</v>
      </c>
      <c r="S1846" s="10">
        <f t="shared" si="169"/>
        <v>21.775000000000002</v>
      </c>
      <c r="T1846" s="10">
        <f t="shared" si="170"/>
        <v>21.775000000000002</v>
      </c>
      <c r="U1846" s="8" t="str">
        <f t="shared" si="171"/>
        <v>Tue</v>
      </c>
      <c r="V1846" s="8" t="str">
        <f t="shared" si="172"/>
        <v>Wed</v>
      </c>
    </row>
    <row r="1847" spans="1:22" hidden="1" x14ac:dyDescent="0.25">
      <c r="A1847" t="s">
        <v>389</v>
      </c>
      <c r="B1847" t="s">
        <v>35</v>
      </c>
      <c r="C1847" t="s">
        <v>44</v>
      </c>
      <c r="D1847" t="s">
        <v>13</v>
      </c>
      <c r="F1847" s="5">
        <v>44243</v>
      </c>
      <c r="G1847" s="5">
        <v>44263</v>
      </c>
      <c r="H1847" s="2">
        <v>2</v>
      </c>
      <c r="I1847" s="6"/>
      <c r="J1847" s="6"/>
      <c r="K1847" s="7">
        <v>0.5</v>
      </c>
      <c r="L1847" s="7">
        <v>202</v>
      </c>
      <c r="M1847" t="s">
        <v>18</v>
      </c>
      <c r="N1847" s="16">
        <f>POWER(SQRT(WorkOrders279[[#This Row],[WorkDate]]-WorkOrders279[[#This Row],[ReqDate]]),2)</f>
        <v>20.000000000000004</v>
      </c>
      <c r="O1847" s="8">
        <f t="array" ref="O1847">INDEX(TechRate,MATCH(H1847,TechNum,0))</f>
        <v>140</v>
      </c>
      <c r="P1847" s="10">
        <f>WorkOrders279[[#This Row],[Techs]]*(WorkOrders279[[#This Row],[PartsCost]]*WorkOrders279[[#This Row],[LbrHrs]])</f>
        <v>202</v>
      </c>
      <c r="Q1847" s="10">
        <f t="shared" si="167"/>
        <v>202</v>
      </c>
      <c r="R1847" s="10">
        <f t="shared" si="168"/>
        <v>202</v>
      </c>
      <c r="S1847" s="10">
        <f t="shared" si="169"/>
        <v>404</v>
      </c>
      <c r="T1847" s="10">
        <f t="shared" si="170"/>
        <v>404</v>
      </c>
      <c r="U1847" s="8" t="str">
        <f t="shared" si="171"/>
        <v>Tue</v>
      </c>
      <c r="V1847" s="8" t="str">
        <f t="shared" si="172"/>
        <v>Mon</v>
      </c>
    </row>
    <row r="1848" spans="1:22" hidden="1" x14ac:dyDescent="0.25">
      <c r="A1848" t="s">
        <v>390</v>
      </c>
      <c r="B1848" t="s">
        <v>39</v>
      </c>
      <c r="C1848" t="s">
        <v>9</v>
      </c>
      <c r="D1848" t="s">
        <v>12</v>
      </c>
      <c r="F1848" s="5">
        <v>44244</v>
      </c>
      <c r="G1848" s="5">
        <v>44249</v>
      </c>
      <c r="H1848" s="2">
        <v>1</v>
      </c>
      <c r="I1848" s="6"/>
      <c r="J1848" s="6"/>
      <c r="K1848" s="7">
        <v>0.75</v>
      </c>
      <c r="L1848" s="7">
        <v>137.13</v>
      </c>
      <c r="M1848" t="s">
        <v>17</v>
      </c>
      <c r="N1848" s="16">
        <f>POWER(SQRT(WorkOrders279[[#This Row],[WorkDate]]-WorkOrders279[[#This Row],[ReqDate]]),2)</f>
        <v>5.0000000000000009</v>
      </c>
      <c r="O1848" s="8">
        <f t="array" ref="O1848">INDEX(TechRate,MATCH(H1848,TechNum,0))</f>
        <v>80</v>
      </c>
      <c r="P1848" s="10">
        <f>WorkOrders279[[#This Row],[Techs]]*(WorkOrders279[[#This Row],[PartsCost]]*WorkOrders279[[#This Row],[LbrHrs]])</f>
        <v>102.8475</v>
      </c>
      <c r="Q1848" s="10">
        <f t="shared" si="167"/>
        <v>102.8475</v>
      </c>
      <c r="R1848" s="10">
        <f t="shared" si="168"/>
        <v>137.13</v>
      </c>
      <c r="S1848" s="10">
        <f t="shared" si="169"/>
        <v>239.97749999999999</v>
      </c>
      <c r="T1848" s="10">
        <f t="shared" si="170"/>
        <v>239.97749999999999</v>
      </c>
      <c r="U1848" s="8" t="str">
        <f t="shared" si="171"/>
        <v>Wed</v>
      </c>
      <c r="V1848" s="8" t="str">
        <f t="shared" si="172"/>
        <v>Mon</v>
      </c>
    </row>
    <row r="1849" spans="1:22" hidden="1" x14ac:dyDescent="0.25">
      <c r="A1849" t="s">
        <v>391</v>
      </c>
      <c r="B1849" t="s">
        <v>38</v>
      </c>
      <c r="C1849" t="s">
        <v>8</v>
      </c>
      <c r="D1849" t="s">
        <v>12</v>
      </c>
      <c r="F1849" s="5">
        <v>44244</v>
      </c>
      <c r="G1849" s="5">
        <v>44256</v>
      </c>
      <c r="H1849" s="2">
        <v>1</v>
      </c>
      <c r="I1849" s="6"/>
      <c r="J1849" s="6"/>
      <c r="K1849" s="7">
        <v>0.5</v>
      </c>
      <c r="L1849" s="7">
        <v>180</v>
      </c>
      <c r="M1849" t="s">
        <v>18</v>
      </c>
      <c r="N1849" s="16">
        <f>POWER(SQRT(WorkOrders279[[#This Row],[WorkDate]]-WorkOrders279[[#This Row],[ReqDate]]),2)</f>
        <v>11.999999999999998</v>
      </c>
      <c r="O1849" s="8">
        <f t="array" ref="O1849">INDEX(TechRate,MATCH(H1849,TechNum,0))</f>
        <v>80</v>
      </c>
      <c r="P1849" s="10">
        <f>WorkOrders279[[#This Row],[Techs]]*(WorkOrders279[[#This Row],[PartsCost]]*WorkOrders279[[#This Row],[LbrHrs]])</f>
        <v>90</v>
      </c>
      <c r="Q1849" s="10">
        <f t="shared" si="167"/>
        <v>90</v>
      </c>
      <c r="R1849" s="10">
        <f t="shared" si="168"/>
        <v>180</v>
      </c>
      <c r="S1849" s="10">
        <f t="shared" si="169"/>
        <v>270</v>
      </c>
      <c r="T1849" s="10">
        <f t="shared" si="170"/>
        <v>270</v>
      </c>
      <c r="U1849" s="8" t="str">
        <f t="shared" si="171"/>
        <v>Wed</v>
      </c>
      <c r="V1849" s="8" t="str">
        <f t="shared" si="172"/>
        <v>Mon</v>
      </c>
    </row>
    <row r="1850" spans="1:22" hidden="1" x14ac:dyDescent="0.25">
      <c r="A1850" t="s">
        <v>392</v>
      </c>
      <c r="B1850" t="s">
        <v>34</v>
      </c>
      <c r="C1850" t="s">
        <v>8</v>
      </c>
      <c r="D1850" t="s">
        <v>12</v>
      </c>
      <c r="F1850" s="5">
        <v>44244</v>
      </c>
      <c r="G1850" s="5">
        <v>44256</v>
      </c>
      <c r="H1850" s="2">
        <v>1</v>
      </c>
      <c r="I1850" s="6"/>
      <c r="J1850" s="6"/>
      <c r="K1850" s="7">
        <v>0.25</v>
      </c>
      <c r="L1850" s="7">
        <v>255.3433</v>
      </c>
      <c r="M1850" t="s">
        <v>18</v>
      </c>
      <c r="N1850" s="16">
        <f>POWER(SQRT(WorkOrders279[[#This Row],[WorkDate]]-WorkOrders279[[#This Row],[ReqDate]]),2)</f>
        <v>11.999999999999998</v>
      </c>
      <c r="O1850" s="8">
        <f t="array" ref="O1850">INDEX(TechRate,MATCH(H1850,TechNum,0))</f>
        <v>80</v>
      </c>
      <c r="P1850" s="10">
        <f>WorkOrders279[[#This Row],[Techs]]*(WorkOrders279[[#This Row],[PartsCost]]*WorkOrders279[[#This Row],[LbrHrs]])</f>
        <v>63.835825</v>
      </c>
      <c r="Q1850" s="10">
        <f t="shared" si="167"/>
        <v>63.835825</v>
      </c>
      <c r="R1850" s="10">
        <f t="shared" si="168"/>
        <v>255.3433</v>
      </c>
      <c r="S1850" s="10">
        <f t="shared" si="169"/>
        <v>319.179125</v>
      </c>
      <c r="T1850" s="10">
        <f t="shared" si="170"/>
        <v>319.179125</v>
      </c>
      <c r="U1850" s="8" t="str">
        <f t="shared" si="171"/>
        <v>Wed</v>
      </c>
      <c r="V1850" s="8" t="str">
        <f t="shared" si="172"/>
        <v>Mon</v>
      </c>
    </row>
    <row r="1851" spans="1:22" hidden="1" x14ac:dyDescent="0.25">
      <c r="A1851" t="s">
        <v>393</v>
      </c>
      <c r="B1851" t="s">
        <v>35</v>
      </c>
      <c r="C1851" t="s">
        <v>8</v>
      </c>
      <c r="D1851" t="s">
        <v>11</v>
      </c>
      <c r="F1851" s="5">
        <v>44244</v>
      </c>
      <c r="G1851" s="5">
        <v>44257</v>
      </c>
      <c r="H1851" s="2">
        <v>1</v>
      </c>
      <c r="I1851" s="6"/>
      <c r="J1851" s="6"/>
      <c r="K1851" s="7">
        <v>0.25</v>
      </c>
      <c r="L1851" s="7">
        <v>48.372999999999998</v>
      </c>
      <c r="M1851" t="s">
        <v>19</v>
      </c>
      <c r="N1851" s="16">
        <f>POWER(SQRT(WorkOrders279[[#This Row],[WorkDate]]-WorkOrders279[[#This Row],[ReqDate]]),2)</f>
        <v>12.999999999999998</v>
      </c>
      <c r="O1851" s="8">
        <f t="array" ref="O1851">INDEX(TechRate,MATCH(H1851,TechNum,0))</f>
        <v>80</v>
      </c>
      <c r="P1851" s="10">
        <f>WorkOrders279[[#This Row],[Techs]]*(WorkOrders279[[#This Row],[PartsCost]]*WorkOrders279[[#This Row],[LbrHrs]])</f>
        <v>12.093249999999999</v>
      </c>
      <c r="Q1851" s="10">
        <f t="shared" si="167"/>
        <v>12.093249999999999</v>
      </c>
      <c r="R1851" s="10">
        <f t="shared" si="168"/>
        <v>48.372999999999998</v>
      </c>
      <c r="S1851" s="10">
        <f t="shared" si="169"/>
        <v>60.466249999999995</v>
      </c>
      <c r="T1851" s="10">
        <f t="shared" si="170"/>
        <v>60.466249999999995</v>
      </c>
      <c r="U1851" s="8" t="str">
        <f t="shared" si="171"/>
        <v>Wed</v>
      </c>
      <c r="V1851" s="8" t="str">
        <f t="shared" si="172"/>
        <v>Tue</v>
      </c>
    </row>
    <row r="1852" spans="1:22" hidden="1" x14ac:dyDescent="0.25">
      <c r="A1852" t="s">
        <v>394</v>
      </c>
      <c r="B1852" t="s">
        <v>36</v>
      </c>
      <c r="C1852" t="s">
        <v>7</v>
      </c>
      <c r="D1852" t="s">
        <v>11</v>
      </c>
      <c r="F1852" s="5">
        <v>44244</v>
      </c>
      <c r="G1852" s="5">
        <v>44263</v>
      </c>
      <c r="H1852" s="2">
        <v>1</v>
      </c>
      <c r="I1852" s="6"/>
      <c r="J1852" s="6"/>
      <c r="K1852" s="7">
        <v>0.25</v>
      </c>
      <c r="L1852" s="7">
        <v>40.200000000000003</v>
      </c>
      <c r="M1852" t="s">
        <v>17</v>
      </c>
      <c r="N1852" s="16">
        <f>POWER(SQRT(WorkOrders279[[#This Row],[WorkDate]]-WorkOrders279[[#This Row],[ReqDate]]),2)</f>
        <v>19.000000000000004</v>
      </c>
      <c r="O1852" s="8">
        <f t="array" ref="O1852">INDEX(TechRate,MATCH(H1852,TechNum,0))</f>
        <v>80</v>
      </c>
      <c r="P1852" s="10">
        <f>WorkOrders279[[#This Row],[Techs]]*(WorkOrders279[[#This Row],[PartsCost]]*WorkOrders279[[#This Row],[LbrHrs]])</f>
        <v>10.050000000000001</v>
      </c>
      <c r="Q1852" s="10">
        <f t="shared" si="167"/>
        <v>10.050000000000001</v>
      </c>
      <c r="R1852" s="10">
        <f t="shared" si="168"/>
        <v>40.200000000000003</v>
      </c>
      <c r="S1852" s="10">
        <f t="shared" si="169"/>
        <v>50.25</v>
      </c>
      <c r="T1852" s="10">
        <f t="shared" si="170"/>
        <v>50.25</v>
      </c>
      <c r="U1852" s="8" t="str">
        <f t="shared" si="171"/>
        <v>Wed</v>
      </c>
      <c r="V1852" s="8" t="str">
        <f t="shared" si="172"/>
        <v>Mon</v>
      </c>
    </row>
    <row r="1853" spans="1:22" hidden="1" x14ac:dyDescent="0.25">
      <c r="A1853" t="s">
        <v>395</v>
      </c>
      <c r="B1853" t="s">
        <v>34</v>
      </c>
      <c r="C1853" t="s">
        <v>44</v>
      </c>
      <c r="D1853" t="s">
        <v>11</v>
      </c>
      <c r="F1853" s="5">
        <v>44245</v>
      </c>
      <c r="G1853" s="5">
        <v>44261</v>
      </c>
      <c r="H1853" s="2">
        <v>1</v>
      </c>
      <c r="I1853" s="6"/>
      <c r="J1853" s="6"/>
      <c r="K1853" s="7">
        <v>0.25</v>
      </c>
      <c r="L1853" s="7">
        <v>61.4985</v>
      </c>
      <c r="M1853" t="s">
        <v>17</v>
      </c>
      <c r="N1853" s="16">
        <f>POWER(SQRT(WorkOrders279[[#This Row],[WorkDate]]-WorkOrders279[[#This Row],[ReqDate]]),2)</f>
        <v>16</v>
      </c>
      <c r="O1853" s="8">
        <f t="array" ref="O1853">INDEX(TechRate,MATCH(H1853,TechNum,0))</f>
        <v>80</v>
      </c>
      <c r="P1853" s="10">
        <f>WorkOrders279[[#This Row],[Techs]]*(WorkOrders279[[#This Row],[PartsCost]]*WorkOrders279[[#This Row],[LbrHrs]])</f>
        <v>15.374625</v>
      </c>
      <c r="Q1853" s="10">
        <f t="shared" si="167"/>
        <v>15.374625</v>
      </c>
      <c r="R1853" s="10">
        <f t="shared" si="168"/>
        <v>61.4985</v>
      </c>
      <c r="S1853" s="10">
        <f t="shared" si="169"/>
        <v>76.873125000000002</v>
      </c>
      <c r="T1853" s="10">
        <f t="shared" si="170"/>
        <v>76.873125000000002</v>
      </c>
      <c r="U1853" s="8" t="str">
        <f t="shared" si="171"/>
        <v>Thu</v>
      </c>
      <c r="V1853" s="8" t="str">
        <f t="shared" si="172"/>
        <v>Sat</v>
      </c>
    </row>
    <row r="1854" spans="1:22" hidden="1" x14ac:dyDescent="0.25">
      <c r="A1854" t="s">
        <v>396</v>
      </c>
      <c r="B1854" t="s">
        <v>35</v>
      </c>
      <c r="C1854" t="s">
        <v>8</v>
      </c>
      <c r="D1854" t="s">
        <v>13</v>
      </c>
      <c r="F1854" s="5">
        <v>44245</v>
      </c>
      <c r="G1854" s="5">
        <v>44257</v>
      </c>
      <c r="H1854" s="2">
        <v>1</v>
      </c>
      <c r="I1854" s="6"/>
      <c r="J1854" s="6"/>
      <c r="K1854" s="7">
        <v>0.5</v>
      </c>
      <c r="L1854" s="7">
        <v>42.66</v>
      </c>
      <c r="M1854" t="s">
        <v>17</v>
      </c>
      <c r="N1854" s="16">
        <f>POWER(SQRT(WorkOrders279[[#This Row],[WorkDate]]-WorkOrders279[[#This Row],[ReqDate]]),2)</f>
        <v>11.999999999999998</v>
      </c>
      <c r="O1854" s="8">
        <f t="array" ref="O1854">INDEX(TechRate,MATCH(H1854,TechNum,0))</f>
        <v>80</v>
      </c>
      <c r="P1854" s="10">
        <f>WorkOrders279[[#This Row],[Techs]]*(WorkOrders279[[#This Row],[PartsCost]]*WorkOrders279[[#This Row],[LbrHrs]])</f>
        <v>21.33</v>
      </c>
      <c r="Q1854" s="10">
        <f t="shared" si="167"/>
        <v>21.33</v>
      </c>
      <c r="R1854" s="10">
        <f t="shared" si="168"/>
        <v>42.66</v>
      </c>
      <c r="S1854" s="10">
        <f t="shared" si="169"/>
        <v>63.989999999999995</v>
      </c>
      <c r="T1854" s="10">
        <f t="shared" si="170"/>
        <v>63.989999999999995</v>
      </c>
      <c r="U1854" s="8" t="str">
        <f t="shared" si="171"/>
        <v>Thu</v>
      </c>
      <c r="V1854" s="8" t="str">
        <f t="shared" si="172"/>
        <v>Tue</v>
      </c>
    </row>
    <row r="1855" spans="1:22" hidden="1" x14ac:dyDescent="0.25">
      <c r="A1855" t="s">
        <v>397</v>
      </c>
      <c r="B1855" t="s">
        <v>36</v>
      </c>
      <c r="C1855" t="s">
        <v>7</v>
      </c>
      <c r="D1855" t="s">
        <v>13</v>
      </c>
      <c r="F1855" s="5">
        <v>44245</v>
      </c>
      <c r="G1855" s="5">
        <v>44265</v>
      </c>
      <c r="H1855" s="2">
        <v>1</v>
      </c>
      <c r="I1855" s="6"/>
      <c r="J1855" s="6"/>
      <c r="K1855" s="7">
        <v>0.5</v>
      </c>
      <c r="L1855" s="7">
        <v>16.420000000000002</v>
      </c>
      <c r="M1855" t="s">
        <v>21</v>
      </c>
      <c r="N1855" s="16">
        <f>POWER(SQRT(WorkOrders279[[#This Row],[WorkDate]]-WorkOrders279[[#This Row],[ReqDate]]),2)</f>
        <v>20.000000000000004</v>
      </c>
      <c r="O1855" s="8">
        <f t="array" ref="O1855">INDEX(TechRate,MATCH(H1855,TechNum,0))</f>
        <v>80</v>
      </c>
      <c r="P1855" s="10">
        <f>WorkOrders279[[#This Row],[Techs]]*(WorkOrders279[[#This Row],[PartsCost]]*WorkOrders279[[#This Row],[LbrHrs]])</f>
        <v>8.2100000000000009</v>
      </c>
      <c r="Q1855" s="10">
        <f t="shared" si="167"/>
        <v>8.2100000000000009</v>
      </c>
      <c r="R1855" s="10">
        <f t="shared" si="168"/>
        <v>16.420000000000002</v>
      </c>
      <c r="S1855" s="10">
        <f t="shared" si="169"/>
        <v>24.630000000000003</v>
      </c>
      <c r="T1855" s="10">
        <f t="shared" si="170"/>
        <v>24.630000000000003</v>
      </c>
      <c r="U1855" s="8" t="str">
        <f t="shared" si="171"/>
        <v>Thu</v>
      </c>
      <c r="V1855" s="8" t="str">
        <f t="shared" si="172"/>
        <v>Wed</v>
      </c>
    </row>
    <row r="1856" spans="1:22" hidden="1" x14ac:dyDescent="0.25">
      <c r="A1856" t="s">
        <v>398</v>
      </c>
      <c r="B1856" t="s">
        <v>39</v>
      </c>
      <c r="C1856" t="s">
        <v>9</v>
      </c>
      <c r="D1856" t="s">
        <v>12</v>
      </c>
      <c r="F1856" s="5">
        <v>44246</v>
      </c>
      <c r="G1856" s="5">
        <v>44264</v>
      </c>
      <c r="H1856" s="2">
        <v>2</v>
      </c>
      <c r="I1856" s="6"/>
      <c r="J1856" s="6"/>
      <c r="K1856" s="7">
        <v>0.5</v>
      </c>
      <c r="L1856" s="7">
        <v>31.807600000000001</v>
      </c>
      <c r="M1856" t="s">
        <v>17</v>
      </c>
      <c r="N1856" s="16">
        <f>POWER(SQRT(WorkOrders279[[#This Row],[WorkDate]]-WorkOrders279[[#This Row],[ReqDate]]),2)</f>
        <v>17.999999999999996</v>
      </c>
      <c r="O1856" s="8">
        <f t="array" ref="O1856">INDEX(TechRate,MATCH(H1856,TechNum,0))</f>
        <v>140</v>
      </c>
      <c r="P1856" s="10">
        <f>WorkOrders279[[#This Row],[Techs]]*(WorkOrders279[[#This Row],[PartsCost]]*WorkOrders279[[#This Row],[LbrHrs]])</f>
        <v>31.807600000000001</v>
      </c>
      <c r="Q1856" s="10">
        <f t="shared" si="167"/>
        <v>31.807600000000001</v>
      </c>
      <c r="R1856" s="10">
        <f t="shared" si="168"/>
        <v>31.807600000000001</v>
      </c>
      <c r="S1856" s="10">
        <f t="shared" si="169"/>
        <v>63.615200000000002</v>
      </c>
      <c r="T1856" s="10">
        <f t="shared" si="170"/>
        <v>63.615200000000002</v>
      </c>
      <c r="U1856" s="8" t="str">
        <f t="shared" si="171"/>
        <v>Fri</v>
      </c>
      <c r="V1856" s="8" t="str">
        <f t="shared" si="172"/>
        <v>Tue</v>
      </c>
    </row>
    <row r="1857" spans="1:22" hidden="1" x14ac:dyDescent="0.25">
      <c r="A1857" t="s">
        <v>399</v>
      </c>
      <c r="B1857" t="s">
        <v>36</v>
      </c>
      <c r="C1857" t="s">
        <v>7</v>
      </c>
      <c r="D1857" t="s">
        <v>12</v>
      </c>
      <c r="F1857" s="5">
        <v>44249</v>
      </c>
      <c r="G1857" s="5">
        <v>44284</v>
      </c>
      <c r="H1857" s="2">
        <v>2</v>
      </c>
      <c r="I1857" s="6"/>
      <c r="J1857" s="6"/>
      <c r="K1857" s="7">
        <v>0.5</v>
      </c>
      <c r="L1857" s="7">
        <v>239.96940000000001</v>
      </c>
      <c r="M1857" t="s">
        <v>17</v>
      </c>
      <c r="N1857" s="16">
        <f>POWER(SQRT(WorkOrders279[[#This Row],[WorkDate]]-WorkOrders279[[#This Row],[ReqDate]]),2)</f>
        <v>35</v>
      </c>
      <c r="O1857" s="8">
        <f t="array" ref="O1857">INDEX(TechRate,MATCH(H1857,TechNum,0))</f>
        <v>140</v>
      </c>
      <c r="P1857" s="10">
        <f>WorkOrders279[[#This Row],[Techs]]*(WorkOrders279[[#This Row],[PartsCost]]*WorkOrders279[[#This Row],[LbrHrs]])</f>
        <v>239.96940000000001</v>
      </c>
      <c r="Q1857" s="10">
        <f t="shared" si="167"/>
        <v>239.96940000000001</v>
      </c>
      <c r="R1857" s="10">
        <f t="shared" si="168"/>
        <v>239.96940000000001</v>
      </c>
      <c r="S1857" s="10">
        <f t="shared" si="169"/>
        <v>479.93880000000001</v>
      </c>
      <c r="T1857" s="10">
        <f t="shared" si="170"/>
        <v>479.93880000000001</v>
      </c>
      <c r="U1857" s="8" t="str">
        <f t="shared" si="171"/>
        <v>Mon</v>
      </c>
      <c r="V1857" s="8" t="str">
        <f t="shared" si="172"/>
        <v>Mon</v>
      </c>
    </row>
    <row r="1858" spans="1:22" hidden="1" x14ac:dyDescent="0.25">
      <c r="A1858" t="s">
        <v>400</v>
      </c>
      <c r="B1858" t="s">
        <v>34</v>
      </c>
      <c r="C1858" t="s">
        <v>9</v>
      </c>
      <c r="D1858" t="s">
        <v>2</v>
      </c>
      <c r="F1858" s="5">
        <v>44250</v>
      </c>
      <c r="G1858" s="5">
        <v>44257</v>
      </c>
      <c r="H1858" s="2">
        <v>1</v>
      </c>
      <c r="I1858" s="6"/>
      <c r="J1858" s="6"/>
      <c r="K1858" s="7">
        <v>1</v>
      </c>
      <c r="L1858" s="7">
        <v>90</v>
      </c>
      <c r="M1858" t="s">
        <v>18</v>
      </c>
      <c r="N1858" s="16">
        <f>POWER(SQRT(WorkOrders279[[#This Row],[WorkDate]]-WorkOrders279[[#This Row],[ReqDate]]),2)</f>
        <v>7.0000000000000009</v>
      </c>
      <c r="O1858" s="8">
        <f t="array" ref="O1858">INDEX(TechRate,MATCH(H1858,TechNum,0))</f>
        <v>80</v>
      </c>
      <c r="P1858" s="10">
        <f>WorkOrders279[[#This Row],[Techs]]*(WorkOrders279[[#This Row],[PartsCost]]*WorkOrders279[[#This Row],[LbrHrs]])</f>
        <v>90</v>
      </c>
      <c r="Q1858" s="10">
        <f t="shared" si="167"/>
        <v>90</v>
      </c>
      <c r="R1858" s="10">
        <f t="shared" si="168"/>
        <v>90</v>
      </c>
      <c r="S1858" s="10">
        <f t="shared" si="169"/>
        <v>180</v>
      </c>
      <c r="T1858" s="10">
        <f t="shared" si="170"/>
        <v>180</v>
      </c>
      <c r="U1858" s="8" t="str">
        <f t="shared" si="171"/>
        <v>Tue</v>
      </c>
      <c r="V1858" s="8" t="str">
        <f t="shared" si="172"/>
        <v>Tue</v>
      </c>
    </row>
    <row r="1859" spans="1:22" hidden="1" x14ac:dyDescent="0.25">
      <c r="A1859" t="s">
        <v>401</v>
      </c>
      <c r="B1859" t="s">
        <v>37</v>
      </c>
      <c r="C1859" t="s">
        <v>43</v>
      </c>
      <c r="D1859" t="s">
        <v>11</v>
      </c>
      <c r="F1859" s="5">
        <v>44250</v>
      </c>
      <c r="G1859" s="5">
        <v>44271</v>
      </c>
      <c r="H1859" s="2">
        <v>1</v>
      </c>
      <c r="I1859" s="6"/>
      <c r="J1859" s="6"/>
      <c r="K1859" s="7">
        <v>0.25</v>
      </c>
      <c r="L1859" s="7">
        <v>16.25</v>
      </c>
      <c r="M1859" t="s">
        <v>17</v>
      </c>
      <c r="N1859" s="16">
        <f>POWER(SQRT(WorkOrders279[[#This Row],[WorkDate]]-WorkOrders279[[#This Row],[ReqDate]]),2)</f>
        <v>21</v>
      </c>
      <c r="O1859" s="8">
        <f t="array" ref="O1859">INDEX(TechRate,MATCH(H1859,TechNum,0))</f>
        <v>80</v>
      </c>
      <c r="P1859" s="10">
        <f>WorkOrders279[[#This Row],[Techs]]*(WorkOrders279[[#This Row],[PartsCost]]*WorkOrders279[[#This Row],[LbrHrs]])</f>
        <v>4.0625</v>
      </c>
      <c r="Q1859" s="10">
        <f t="shared" si="167"/>
        <v>4.0625</v>
      </c>
      <c r="R1859" s="10">
        <f t="shared" si="168"/>
        <v>16.25</v>
      </c>
      <c r="S1859" s="10">
        <f t="shared" si="169"/>
        <v>20.3125</v>
      </c>
      <c r="T1859" s="10">
        <f t="shared" si="170"/>
        <v>20.3125</v>
      </c>
      <c r="U1859" s="8" t="str">
        <f t="shared" si="171"/>
        <v>Tue</v>
      </c>
      <c r="V1859" s="8" t="str">
        <f t="shared" si="172"/>
        <v>Tue</v>
      </c>
    </row>
    <row r="1860" spans="1:22" hidden="1" x14ac:dyDescent="0.25">
      <c r="A1860" t="s">
        <v>402</v>
      </c>
      <c r="B1860" t="s">
        <v>34</v>
      </c>
      <c r="C1860" t="s">
        <v>44</v>
      </c>
      <c r="D1860" t="s">
        <v>12</v>
      </c>
      <c r="F1860" s="5">
        <v>44250</v>
      </c>
      <c r="G1860" s="5">
        <v>44287</v>
      </c>
      <c r="H1860" s="2">
        <v>2</v>
      </c>
      <c r="I1860" s="6"/>
      <c r="J1860" s="6"/>
      <c r="K1860" s="7">
        <v>0.25</v>
      </c>
      <c r="L1860" s="7">
        <v>269.40269999999998</v>
      </c>
      <c r="M1860" t="s">
        <v>18</v>
      </c>
      <c r="N1860" s="16">
        <f>POWER(SQRT(WorkOrders279[[#This Row],[WorkDate]]-WorkOrders279[[#This Row],[ReqDate]]),2)</f>
        <v>36.999999999999993</v>
      </c>
      <c r="O1860" s="8">
        <f t="array" ref="O1860">INDEX(TechRate,MATCH(H1860,TechNum,0))</f>
        <v>140</v>
      </c>
      <c r="P1860" s="10">
        <f>WorkOrders279[[#This Row],[Techs]]*(WorkOrders279[[#This Row],[PartsCost]]*WorkOrders279[[#This Row],[LbrHrs]])</f>
        <v>134.70134999999999</v>
      </c>
      <c r="Q1860" s="10">
        <f t="shared" si="167"/>
        <v>134.70134999999999</v>
      </c>
      <c r="R1860" s="10">
        <f t="shared" si="168"/>
        <v>269.40269999999998</v>
      </c>
      <c r="S1860" s="10">
        <f t="shared" si="169"/>
        <v>404.10404999999997</v>
      </c>
      <c r="T1860" s="10">
        <f t="shared" si="170"/>
        <v>404.10404999999997</v>
      </c>
      <c r="U1860" s="8" t="str">
        <f t="shared" si="171"/>
        <v>Tue</v>
      </c>
      <c r="V1860" s="8" t="str">
        <f t="shared" si="172"/>
        <v>Thu</v>
      </c>
    </row>
    <row r="1861" spans="1:22" hidden="1" x14ac:dyDescent="0.25">
      <c r="A1861" t="s">
        <v>403</v>
      </c>
      <c r="B1861" t="s">
        <v>37</v>
      </c>
      <c r="C1861" t="s">
        <v>43</v>
      </c>
      <c r="D1861" t="s">
        <v>11</v>
      </c>
      <c r="F1861" s="5">
        <v>44251</v>
      </c>
      <c r="G1861" s="5">
        <v>44270</v>
      </c>
      <c r="H1861" s="2">
        <v>1</v>
      </c>
      <c r="I1861" s="6"/>
      <c r="J1861" s="6"/>
      <c r="K1861" s="7">
        <v>0.25</v>
      </c>
      <c r="L1861" s="7">
        <v>33.497100000000003</v>
      </c>
      <c r="M1861" t="s">
        <v>17</v>
      </c>
      <c r="N1861" s="16">
        <f>POWER(SQRT(WorkOrders279[[#This Row],[WorkDate]]-WorkOrders279[[#This Row],[ReqDate]]),2)</f>
        <v>19.000000000000004</v>
      </c>
      <c r="O1861" s="8">
        <f t="array" ref="O1861">INDEX(TechRate,MATCH(H1861,TechNum,0))</f>
        <v>80</v>
      </c>
      <c r="P1861" s="10">
        <f>WorkOrders279[[#This Row],[Techs]]*(WorkOrders279[[#This Row],[PartsCost]]*WorkOrders279[[#This Row],[LbrHrs]])</f>
        <v>8.3742750000000008</v>
      </c>
      <c r="Q1861" s="10">
        <f t="shared" si="167"/>
        <v>8.3742750000000008</v>
      </c>
      <c r="R1861" s="10">
        <f t="shared" si="168"/>
        <v>33.497100000000003</v>
      </c>
      <c r="S1861" s="10">
        <f t="shared" si="169"/>
        <v>41.871375</v>
      </c>
      <c r="T1861" s="10">
        <f t="shared" si="170"/>
        <v>41.871375</v>
      </c>
      <c r="U1861" s="8" t="str">
        <f t="shared" si="171"/>
        <v>Wed</v>
      </c>
      <c r="V1861" s="8" t="str">
        <f t="shared" si="172"/>
        <v>Mon</v>
      </c>
    </row>
    <row r="1862" spans="1:22" hidden="1" x14ac:dyDescent="0.25">
      <c r="A1862" t="s">
        <v>404</v>
      </c>
      <c r="B1862" t="s">
        <v>34</v>
      </c>
      <c r="C1862" t="s">
        <v>9</v>
      </c>
      <c r="D1862" t="s">
        <v>12</v>
      </c>
      <c r="F1862" s="5">
        <v>44252</v>
      </c>
      <c r="G1862" s="5">
        <v>44263</v>
      </c>
      <c r="H1862" s="2">
        <v>1</v>
      </c>
      <c r="I1862" s="6"/>
      <c r="J1862" s="6"/>
      <c r="K1862" s="7">
        <v>0.25</v>
      </c>
      <c r="L1862" s="7">
        <v>305.46260000000001</v>
      </c>
      <c r="M1862" t="s">
        <v>17</v>
      </c>
      <c r="N1862" s="16">
        <f>POWER(SQRT(WorkOrders279[[#This Row],[WorkDate]]-WorkOrders279[[#This Row],[ReqDate]]),2)</f>
        <v>11</v>
      </c>
      <c r="O1862" s="8">
        <f t="array" ref="O1862">INDEX(TechRate,MATCH(H1862,TechNum,0))</f>
        <v>80</v>
      </c>
      <c r="P1862" s="10">
        <f>WorkOrders279[[#This Row],[Techs]]*(WorkOrders279[[#This Row],[PartsCost]]*WorkOrders279[[#This Row],[LbrHrs]])</f>
        <v>76.365650000000002</v>
      </c>
      <c r="Q1862" s="10">
        <f t="shared" si="167"/>
        <v>76.365650000000002</v>
      </c>
      <c r="R1862" s="10">
        <f t="shared" si="168"/>
        <v>305.46260000000001</v>
      </c>
      <c r="S1862" s="10">
        <f t="shared" si="169"/>
        <v>381.82825000000003</v>
      </c>
      <c r="T1862" s="10">
        <f t="shared" si="170"/>
        <v>381.82825000000003</v>
      </c>
      <c r="U1862" s="8" t="str">
        <f t="shared" si="171"/>
        <v>Thu</v>
      </c>
      <c r="V1862" s="8" t="str">
        <f t="shared" si="172"/>
        <v>Mon</v>
      </c>
    </row>
    <row r="1863" spans="1:22" hidden="1" x14ac:dyDescent="0.25">
      <c r="A1863" t="s">
        <v>405</v>
      </c>
      <c r="B1863" t="s">
        <v>37</v>
      </c>
      <c r="C1863" t="s">
        <v>43</v>
      </c>
      <c r="D1863" t="s">
        <v>13</v>
      </c>
      <c r="F1863" s="5">
        <v>44252</v>
      </c>
      <c r="G1863" s="5">
        <v>44270</v>
      </c>
      <c r="H1863" s="2">
        <v>1</v>
      </c>
      <c r="I1863" s="6"/>
      <c r="J1863" s="6"/>
      <c r="K1863" s="7">
        <v>0.75</v>
      </c>
      <c r="L1863" s="7">
        <v>50.672400000000003</v>
      </c>
      <c r="M1863" t="s">
        <v>19</v>
      </c>
      <c r="N1863" s="16">
        <f>POWER(SQRT(WorkOrders279[[#This Row],[WorkDate]]-WorkOrders279[[#This Row],[ReqDate]]),2)</f>
        <v>17.999999999999996</v>
      </c>
      <c r="O1863" s="8">
        <f t="array" ref="O1863">INDEX(TechRate,MATCH(H1863,TechNum,0))</f>
        <v>80</v>
      </c>
      <c r="P1863" s="10">
        <f>WorkOrders279[[#This Row],[Techs]]*(WorkOrders279[[#This Row],[PartsCost]]*WorkOrders279[[#This Row],[LbrHrs]])</f>
        <v>38.004300000000001</v>
      </c>
      <c r="Q1863" s="10">
        <f t="shared" si="167"/>
        <v>38.004300000000001</v>
      </c>
      <c r="R1863" s="10">
        <f t="shared" si="168"/>
        <v>50.672400000000003</v>
      </c>
      <c r="S1863" s="10">
        <f t="shared" si="169"/>
        <v>88.676700000000011</v>
      </c>
      <c r="T1863" s="10">
        <f t="shared" si="170"/>
        <v>88.676700000000011</v>
      </c>
      <c r="U1863" s="8" t="str">
        <f t="shared" si="171"/>
        <v>Thu</v>
      </c>
      <c r="V1863" s="8" t="str">
        <f t="shared" si="172"/>
        <v>Mon</v>
      </c>
    </row>
    <row r="1864" spans="1:22" hidden="1" x14ac:dyDescent="0.25">
      <c r="A1864" t="s">
        <v>406</v>
      </c>
      <c r="B1864" t="s">
        <v>37</v>
      </c>
      <c r="C1864" t="s">
        <v>43</v>
      </c>
      <c r="D1864" t="s">
        <v>13</v>
      </c>
      <c r="F1864" s="5">
        <v>44252</v>
      </c>
      <c r="G1864" s="5">
        <v>44271</v>
      </c>
      <c r="H1864" s="2">
        <v>1</v>
      </c>
      <c r="I1864" s="6"/>
      <c r="J1864" s="6"/>
      <c r="K1864" s="7">
        <v>0.5</v>
      </c>
      <c r="L1864" s="7">
        <v>45.63</v>
      </c>
      <c r="M1864" t="s">
        <v>19</v>
      </c>
      <c r="N1864" s="16">
        <f>POWER(SQRT(WorkOrders279[[#This Row],[WorkDate]]-WorkOrders279[[#This Row],[ReqDate]]),2)</f>
        <v>19.000000000000004</v>
      </c>
      <c r="O1864" s="8">
        <f t="array" ref="O1864">INDEX(TechRate,MATCH(H1864,TechNum,0))</f>
        <v>80</v>
      </c>
      <c r="P1864" s="10">
        <f>WorkOrders279[[#This Row],[Techs]]*(WorkOrders279[[#This Row],[PartsCost]]*WorkOrders279[[#This Row],[LbrHrs]])</f>
        <v>22.815000000000001</v>
      </c>
      <c r="Q1864" s="10">
        <f t="shared" si="167"/>
        <v>22.815000000000001</v>
      </c>
      <c r="R1864" s="10">
        <f t="shared" si="168"/>
        <v>45.63</v>
      </c>
      <c r="S1864" s="10">
        <f t="shared" si="169"/>
        <v>68.445000000000007</v>
      </c>
      <c r="T1864" s="10">
        <f t="shared" si="170"/>
        <v>68.445000000000007</v>
      </c>
      <c r="U1864" s="8" t="str">
        <f t="shared" si="171"/>
        <v>Thu</v>
      </c>
      <c r="V1864" s="8" t="str">
        <f t="shared" si="172"/>
        <v>Tue</v>
      </c>
    </row>
    <row r="1865" spans="1:22" hidden="1" x14ac:dyDescent="0.25">
      <c r="A1865" t="s">
        <v>407</v>
      </c>
      <c r="B1865" t="s">
        <v>38</v>
      </c>
      <c r="C1865" t="s">
        <v>8</v>
      </c>
      <c r="D1865" t="s">
        <v>13</v>
      </c>
      <c r="F1865" s="5">
        <v>44252</v>
      </c>
      <c r="G1865" s="5">
        <v>44279</v>
      </c>
      <c r="H1865" s="2">
        <v>1</v>
      </c>
      <c r="I1865" s="6"/>
      <c r="J1865" s="6"/>
      <c r="K1865" s="7">
        <v>1</v>
      </c>
      <c r="L1865" s="7">
        <v>42.66</v>
      </c>
      <c r="M1865" t="s">
        <v>18</v>
      </c>
      <c r="N1865" s="16">
        <f>POWER(SQRT(WorkOrders279[[#This Row],[WorkDate]]-WorkOrders279[[#This Row],[ReqDate]]),2)</f>
        <v>27</v>
      </c>
      <c r="O1865" s="8">
        <f t="array" ref="O1865">INDEX(TechRate,MATCH(H1865,TechNum,0))</f>
        <v>80</v>
      </c>
      <c r="P1865" s="10">
        <f>WorkOrders279[[#This Row],[Techs]]*(WorkOrders279[[#This Row],[PartsCost]]*WorkOrders279[[#This Row],[LbrHrs]])</f>
        <v>42.66</v>
      </c>
      <c r="Q1865" s="10">
        <f t="shared" si="167"/>
        <v>42.66</v>
      </c>
      <c r="R1865" s="10">
        <f t="shared" si="168"/>
        <v>42.66</v>
      </c>
      <c r="S1865" s="10">
        <f t="shared" si="169"/>
        <v>85.32</v>
      </c>
      <c r="T1865" s="10">
        <f t="shared" si="170"/>
        <v>85.32</v>
      </c>
      <c r="U1865" s="8" t="str">
        <f t="shared" si="171"/>
        <v>Thu</v>
      </c>
      <c r="V1865" s="8" t="str">
        <f t="shared" si="172"/>
        <v>Wed</v>
      </c>
    </row>
    <row r="1866" spans="1:22" hidden="1" x14ac:dyDescent="0.25">
      <c r="A1866" t="s">
        <v>408</v>
      </c>
      <c r="B1866" t="s">
        <v>34</v>
      </c>
      <c r="C1866" t="s">
        <v>9</v>
      </c>
      <c r="D1866" t="s">
        <v>12</v>
      </c>
      <c r="F1866" s="5">
        <v>44252</v>
      </c>
      <c r="G1866" s="5">
        <v>44293</v>
      </c>
      <c r="H1866" s="2">
        <v>1</v>
      </c>
      <c r="I1866" s="6"/>
      <c r="J1866" s="6"/>
      <c r="K1866" s="7">
        <v>0.25</v>
      </c>
      <c r="L1866" s="7">
        <v>38.698399999999999</v>
      </c>
      <c r="M1866" t="s">
        <v>19</v>
      </c>
      <c r="N1866" s="16">
        <f>POWER(SQRT(WorkOrders279[[#This Row],[WorkDate]]-WorkOrders279[[#This Row],[ReqDate]]),2)</f>
        <v>41</v>
      </c>
      <c r="O1866" s="8">
        <f t="array" ref="O1866">INDEX(TechRate,MATCH(H1866,TechNum,0))</f>
        <v>80</v>
      </c>
      <c r="P1866" s="10">
        <f>WorkOrders279[[#This Row],[Techs]]*(WorkOrders279[[#This Row],[PartsCost]]*WorkOrders279[[#This Row],[LbrHrs]])</f>
        <v>9.6745999999999999</v>
      </c>
      <c r="Q1866" s="10">
        <f t="shared" si="167"/>
        <v>9.6745999999999999</v>
      </c>
      <c r="R1866" s="10">
        <f t="shared" si="168"/>
        <v>38.698399999999999</v>
      </c>
      <c r="S1866" s="10">
        <f t="shared" si="169"/>
        <v>48.372999999999998</v>
      </c>
      <c r="T1866" s="10">
        <f t="shared" si="170"/>
        <v>48.372999999999998</v>
      </c>
      <c r="U1866" s="8" t="str">
        <f t="shared" si="171"/>
        <v>Thu</v>
      </c>
      <c r="V1866" s="8" t="str">
        <f t="shared" si="172"/>
        <v>Wed</v>
      </c>
    </row>
    <row r="1867" spans="1:22" hidden="1" x14ac:dyDescent="0.25">
      <c r="A1867" t="s">
        <v>409</v>
      </c>
      <c r="B1867" t="s">
        <v>34</v>
      </c>
      <c r="C1867" t="s">
        <v>44</v>
      </c>
      <c r="D1867" t="s">
        <v>12</v>
      </c>
      <c r="F1867" s="5">
        <v>44256</v>
      </c>
      <c r="G1867" s="5">
        <v>44270</v>
      </c>
      <c r="H1867" s="2">
        <v>1</v>
      </c>
      <c r="I1867" s="6"/>
      <c r="J1867" s="6"/>
      <c r="K1867" s="7">
        <v>0.25</v>
      </c>
      <c r="L1867" s="7">
        <v>164.22120000000001</v>
      </c>
      <c r="M1867" t="s">
        <v>17</v>
      </c>
      <c r="N1867" s="16">
        <f>POWER(SQRT(WorkOrders279[[#This Row],[WorkDate]]-WorkOrders279[[#This Row],[ReqDate]]),2)</f>
        <v>14</v>
      </c>
      <c r="O1867" s="8">
        <f t="array" ref="O1867">INDEX(TechRate,MATCH(H1867,TechNum,0))</f>
        <v>80</v>
      </c>
      <c r="P1867" s="10">
        <f>WorkOrders279[[#This Row],[Techs]]*(WorkOrders279[[#This Row],[PartsCost]]*WorkOrders279[[#This Row],[LbrHrs]])</f>
        <v>41.055300000000003</v>
      </c>
      <c r="Q1867" s="10">
        <f t="shared" si="167"/>
        <v>41.055300000000003</v>
      </c>
      <c r="R1867" s="10">
        <f t="shared" si="168"/>
        <v>164.22120000000001</v>
      </c>
      <c r="S1867" s="10">
        <f t="shared" si="169"/>
        <v>205.2765</v>
      </c>
      <c r="T1867" s="10">
        <f t="shared" si="170"/>
        <v>205.2765</v>
      </c>
      <c r="U1867" s="8" t="str">
        <f t="shared" si="171"/>
        <v>Mon</v>
      </c>
      <c r="V1867" s="8" t="str">
        <f t="shared" si="172"/>
        <v>Mon</v>
      </c>
    </row>
    <row r="1868" spans="1:22" hidden="1" x14ac:dyDescent="0.25">
      <c r="A1868" t="s">
        <v>410</v>
      </c>
      <c r="B1868" t="s">
        <v>38</v>
      </c>
      <c r="C1868" t="s">
        <v>8</v>
      </c>
      <c r="D1868" t="s">
        <v>13</v>
      </c>
      <c r="F1868" s="5">
        <v>44256</v>
      </c>
      <c r="G1868" s="5">
        <v>44270</v>
      </c>
      <c r="H1868" s="2">
        <v>2</v>
      </c>
      <c r="I1868" s="6"/>
      <c r="J1868" s="6"/>
      <c r="K1868" s="7">
        <v>0.5</v>
      </c>
      <c r="L1868" s="7">
        <v>24.38</v>
      </c>
      <c r="M1868" t="s">
        <v>17</v>
      </c>
      <c r="N1868" s="16">
        <f>POWER(SQRT(WorkOrders279[[#This Row],[WorkDate]]-WorkOrders279[[#This Row],[ReqDate]]),2)</f>
        <v>14</v>
      </c>
      <c r="O1868" s="8">
        <f t="array" ref="O1868">INDEX(TechRate,MATCH(H1868,TechNum,0))</f>
        <v>140</v>
      </c>
      <c r="P1868" s="10">
        <f>WorkOrders279[[#This Row],[Techs]]*(WorkOrders279[[#This Row],[PartsCost]]*WorkOrders279[[#This Row],[LbrHrs]])</f>
        <v>24.38</v>
      </c>
      <c r="Q1868" s="10">
        <f t="shared" si="167"/>
        <v>24.38</v>
      </c>
      <c r="R1868" s="10">
        <f t="shared" si="168"/>
        <v>24.38</v>
      </c>
      <c r="S1868" s="10">
        <f t="shared" si="169"/>
        <v>48.76</v>
      </c>
      <c r="T1868" s="10">
        <f t="shared" si="170"/>
        <v>48.76</v>
      </c>
      <c r="U1868" s="8" t="str">
        <f t="shared" si="171"/>
        <v>Mon</v>
      </c>
      <c r="V1868" s="8" t="str">
        <f t="shared" si="172"/>
        <v>Mon</v>
      </c>
    </row>
    <row r="1869" spans="1:22" hidden="1" x14ac:dyDescent="0.25">
      <c r="A1869" t="s">
        <v>411</v>
      </c>
      <c r="B1869" t="s">
        <v>37</v>
      </c>
      <c r="C1869" t="s">
        <v>43</v>
      </c>
      <c r="D1869" t="s">
        <v>12</v>
      </c>
      <c r="F1869" s="5">
        <v>44256</v>
      </c>
      <c r="G1869" s="5">
        <v>44279</v>
      </c>
      <c r="H1869" s="2">
        <v>1</v>
      </c>
      <c r="I1869" s="6"/>
      <c r="J1869" s="6"/>
      <c r="K1869" s="7">
        <v>0.25</v>
      </c>
      <c r="L1869" s="7">
        <v>267.94040000000001</v>
      </c>
      <c r="M1869" t="s">
        <v>19</v>
      </c>
      <c r="N1869" s="16">
        <f>POWER(SQRT(WorkOrders279[[#This Row],[WorkDate]]-WorkOrders279[[#This Row],[ReqDate]]),2)</f>
        <v>22.999999999999996</v>
      </c>
      <c r="O1869" s="8">
        <f t="array" ref="O1869">INDEX(TechRate,MATCH(H1869,TechNum,0))</f>
        <v>80</v>
      </c>
      <c r="P1869" s="10">
        <f>WorkOrders279[[#This Row],[Techs]]*(WorkOrders279[[#This Row],[PartsCost]]*WorkOrders279[[#This Row],[LbrHrs]])</f>
        <v>66.985100000000003</v>
      </c>
      <c r="Q1869" s="10">
        <f t="shared" si="167"/>
        <v>66.985100000000003</v>
      </c>
      <c r="R1869" s="10">
        <f t="shared" si="168"/>
        <v>267.94040000000001</v>
      </c>
      <c r="S1869" s="10">
        <f t="shared" si="169"/>
        <v>334.9255</v>
      </c>
      <c r="T1869" s="10">
        <f t="shared" si="170"/>
        <v>334.9255</v>
      </c>
      <c r="U1869" s="8" t="str">
        <f t="shared" si="171"/>
        <v>Mon</v>
      </c>
      <c r="V1869" s="8" t="str">
        <f t="shared" si="172"/>
        <v>Wed</v>
      </c>
    </row>
    <row r="1870" spans="1:22" hidden="1" x14ac:dyDescent="0.25">
      <c r="A1870" t="s">
        <v>412</v>
      </c>
      <c r="B1870" t="s">
        <v>40</v>
      </c>
      <c r="C1870" t="s">
        <v>7</v>
      </c>
      <c r="D1870" t="s">
        <v>12</v>
      </c>
      <c r="F1870" s="5">
        <v>44256</v>
      </c>
      <c r="G1870" s="5">
        <v>44299</v>
      </c>
      <c r="H1870" s="2">
        <v>2</v>
      </c>
      <c r="I1870" s="6"/>
      <c r="J1870" s="6"/>
      <c r="K1870" s="7">
        <v>0.5</v>
      </c>
      <c r="L1870" s="7">
        <v>175.8682</v>
      </c>
      <c r="M1870" t="s">
        <v>17</v>
      </c>
      <c r="N1870" s="16">
        <f>POWER(SQRT(WorkOrders279[[#This Row],[WorkDate]]-WorkOrders279[[#This Row],[ReqDate]]),2)</f>
        <v>42.999999999999993</v>
      </c>
      <c r="O1870" s="8">
        <f t="array" ref="O1870">INDEX(TechRate,MATCH(H1870,TechNum,0))</f>
        <v>140</v>
      </c>
      <c r="P1870" s="10">
        <f>WorkOrders279[[#This Row],[Techs]]*(WorkOrders279[[#This Row],[PartsCost]]*WorkOrders279[[#This Row],[LbrHrs]])</f>
        <v>175.8682</v>
      </c>
      <c r="Q1870" s="10">
        <f t="shared" si="167"/>
        <v>175.8682</v>
      </c>
      <c r="R1870" s="10">
        <f t="shared" si="168"/>
        <v>175.8682</v>
      </c>
      <c r="S1870" s="10">
        <f t="shared" si="169"/>
        <v>351.7364</v>
      </c>
      <c r="T1870" s="10">
        <f t="shared" si="170"/>
        <v>351.7364</v>
      </c>
      <c r="U1870" s="8" t="str">
        <f t="shared" si="171"/>
        <v>Mon</v>
      </c>
      <c r="V1870" s="8" t="str">
        <f t="shared" si="172"/>
        <v>Tue</v>
      </c>
    </row>
    <row r="1871" spans="1:22" hidden="1" x14ac:dyDescent="0.25">
      <c r="A1871" t="s">
        <v>413</v>
      </c>
      <c r="B1871" t="s">
        <v>34</v>
      </c>
      <c r="C1871" t="s">
        <v>44</v>
      </c>
      <c r="D1871" t="s">
        <v>11</v>
      </c>
      <c r="F1871" s="5">
        <v>44256</v>
      </c>
      <c r="G1871" s="5">
        <v>44306</v>
      </c>
      <c r="H1871" s="2">
        <v>1</v>
      </c>
      <c r="I1871" s="6" t="s">
        <v>3</v>
      </c>
      <c r="J1871" s="6" t="s">
        <v>3</v>
      </c>
      <c r="K1871" s="7">
        <v>0.25</v>
      </c>
      <c r="L1871" s="7">
        <v>81.12</v>
      </c>
      <c r="M1871" t="s">
        <v>20</v>
      </c>
      <c r="N1871" s="16">
        <f>POWER(SQRT(WorkOrders279[[#This Row],[WorkDate]]-WorkOrders279[[#This Row],[ReqDate]]),2)</f>
        <v>50.000000000000007</v>
      </c>
      <c r="O1871" s="8">
        <f t="array" ref="O1871">INDEX(TechRate,MATCH(H1871,TechNum,0))</f>
        <v>80</v>
      </c>
      <c r="P1871" s="10">
        <f>WorkOrders279[[#This Row],[Techs]]*(WorkOrders279[[#This Row],[PartsCost]]*WorkOrders279[[#This Row],[LbrHrs]])</f>
        <v>20.28</v>
      </c>
      <c r="Q1871" s="10">
        <f t="shared" si="167"/>
        <v>0</v>
      </c>
      <c r="R1871" s="10">
        <f t="shared" si="168"/>
        <v>0</v>
      </c>
      <c r="S1871" s="10">
        <f t="shared" si="169"/>
        <v>101.4</v>
      </c>
      <c r="T1871" s="10">
        <f t="shared" si="170"/>
        <v>0</v>
      </c>
      <c r="U1871" s="8" t="str">
        <f t="shared" si="171"/>
        <v>Mon</v>
      </c>
      <c r="V1871" s="8" t="str">
        <f t="shared" si="172"/>
        <v>Tue</v>
      </c>
    </row>
    <row r="1872" spans="1:22" hidden="1" x14ac:dyDescent="0.25">
      <c r="A1872" t="s">
        <v>414</v>
      </c>
      <c r="B1872" t="s">
        <v>36</v>
      </c>
      <c r="C1872" t="s">
        <v>7</v>
      </c>
      <c r="D1872" t="s">
        <v>12</v>
      </c>
      <c r="F1872" s="5">
        <v>44256</v>
      </c>
      <c r="G1872" s="5">
        <v>44315</v>
      </c>
      <c r="H1872" s="2">
        <v>2</v>
      </c>
      <c r="I1872" s="6" t="s">
        <v>3</v>
      </c>
      <c r="J1872" s="6" t="s">
        <v>3</v>
      </c>
      <c r="K1872" s="7">
        <v>1</v>
      </c>
      <c r="L1872" s="7">
        <v>9.98</v>
      </c>
      <c r="M1872" t="s">
        <v>20</v>
      </c>
      <c r="N1872" s="16">
        <f>POWER(SQRT(WorkOrders279[[#This Row],[WorkDate]]-WorkOrders279[[#This Row],[ReqDate]]),2)</f>
        <v>58.999999999999993</v>
      </c>
      <c r="O1872" s="8">
        <f t="array" ref="O1872">INDEX(TechRate,MATCH(H1872,TechNum,0))</f>
        <v>140</v>
      </c>
      <c r="P1872" s="10">
        <f>WorkOrders279[[#This Row],[Techs]]*(WorkOrders279[[#This Row],[PartsCost]]*WorkOrders279[[#This Row],[LbrHrs]])</f>
        <v>19.96</v>
      </c>
      <c r="Q1872" s="10">
        <f t="shared" si="167"/>
        <v>0</v>
      </c>
      <c r="R1872" s="10">
        <f t="shared" si="168"/>
        <v>0</v>
      </c>
      <c r="S1872" s="10">
        <f t="shared" si="169"/>
        <v>29.94</v>
      </c>
      <c r="T1872" s="10">
        <f t="shared" si="170"/>
        <v>0</v>
      </c>
      <c r="U1872" s="8" t="str">
        <f t="shared" si="171"/>
        <v>Mon</v>
      </c>
      <c r="V1872" s="8" t="str">
        <f t="shared" si="172"/>
        <v>Thu</v>
      </c>
    </row>
    <row r="1873" spans="1:22" hidden="1" x14ac:dyDescent="0.25">
      <c r="A1873" t="s">
        <v>415</v>
      </c>
      <c r="B1873" t="s">
        <v>35</v>
      </c>
      <c r="C1873" t="s">
        <v>8</v>
      </c>
      <c r="D1873" t="s">
        <v>12</v>
      </c>
      <c r="F1873" s="5">
        <v>44257</v>
      </c>
      <c r="G1873" s="5">
        <v>44264</v>
      </c>
      <c r="H1873" s="2">
        <v>1</v>
      </c>
      <c r="I1873" s="6"/>
      <c r="J1873" s="6"/>
      <c r="K1873" s="7">
        <v>1.25</v>
      </c>
      <c r="L1873" s="7">
        <v>340.70060000000001</v>
      </c>
      <c r="M1873" t="s">
        <v>17</v>
      </c>
      <c r="N1873" s="16">
        <f>POWER(SQRT(WorkOrders279[[#This Row],[WorkDate]]-WorkOrders279[[#This Row],[ReqDate]]),2)</f>
        <v>7.0000000000000009</v>
      </c>
      <c r="O1873" s="8">
        <f t="array" ref="O1873">INDEX(TechRate,MATCH(H1873,TechNum,0))</f>
        <v>80</v>
      </c>
      <c r="P1873" s="10">
        <f>WorkOrders279[[#This Row],[Techs]]*(WorkOrders279[[#This Row],[PartsCost]]*WorkOrders279[[#This Row],[LbrHrs]])</f>
        <v>425.87575000000004</v>
      </c>
      <c r="Q1873" s="10">
        <f t="shared" si="167"/>
        <v>425.87575000000004</v>
      </c>
      <c r="R1873" s="10">
        <f t="shared" si="168"/>
        <v>340.70060000000001</v>
      </c>
      <c r="S1873" s="10">
        <f t="shared" si="169"/>
        <v>766.57635000000005</v>
      </c>
      <c r="T1873" s="10">
        <f t="shared" si="170"/>
        <v>766.57635000000005</v>
      </c>
      <c r="U1873" s="8" t="str">
        <f t="shared" si="171"/>
        <v>Tue</v>
      </c>
      <c r="V1873" s="8" t="str">
        <f t="shared" si="172"/>
        <v>Tue</v>
      </c>
    </row>
    <row r="1874" spans="1:22" hidden="1" x14ac:dyDescent="0.25">
      <c r="A1874" t="s">
        <v>416</v>
      </c>
      <c r="B1874" t="s">
        <v>35</v>
      </c>
      <c r="C1874" t="s">
        <v>8</v>
      </c>
      <c r="D1874" t="s">
        <v>13</v>
      </c>
      <c r="E1874" t="s">
        <v>3</v>
      </c>
      <c r="F1874" s="5">
        <v>44257</v>
      </c>
      <c r="G1874" s="5">
        <v>44265</v>
      </c>
      <c r="H1874" s="2">
        <v>1</v>
      </c>
      <c r="I1874" s="6"/>
      <c r="J1874" s="6"/>
      <c r="K1874" s="7">
        <v>0.75</v>
      </c>
      <c r="L1874" s="7">
        <v>22.84</v>
      </c>
      <c r="M1874" t="s">
        <v>19</v>
      </c>
      <c r="N1874" s="16">
        <f>POWER(SQRT(WorkOrders279[[#This Row],[WorkDate]]-WorkOrders279[[#This Row],[ReqDate]]),2)</f>
        <v>8.0000000000000018</v>
      </c>
      <c r="O1874" s="8">
        <f t="array" ref="O1874">INDEX(TechRate,MATCH(H1874,TechNum,0))</f>
        <v>80</v>
      </c>
      <c r="P1874" s="10">
        <f>WorkOrders279[[#This Row],[Techs]]*(WorkOrders279[[#This Row],[PartsCost]]*WorkOrders279[[#This Row],[LbrHrs]])</f>
        <v>17.13</v>
      </c>
      <c r="Q1874" s="10">
        <f t="shared" si="167"/>
        <v>17.13</v>
      </c>
      <c r="R1874" s="10">
        <f t="shared" si="168"/>
        <v>22.84</v>
      </c>
      <c r="S1874" s="10">
        <f t="shared" si="169"/>
        <v>39.97</v>
      </c>
      <c r="T1874" s="10">
        <f t="shared" si="170"/>
        <v>39.97</v>
      </c>
      <c r="U1874" s="8" t="str">
        <f t="shared" si="171"/>
        <v>Tue</v>
      </c>
      <c r="V1874" s="8" t="str">
        <f t="shared" si="172"/>
        <v>Wed</v>
      </c>
    </row>
    <row r="1875" spans="1:22" hidden="1" x14ac:dyDescent="0.25">
      <c r="A1875" t="s">
        <v>417</v>
      </c>
      <c r="B1875" t="s">
        <v>37</v>
      </c>
      <c r="C1875" t="s">
        <v>43</v>
      </c>
      <c r="D1875" t="s">
        <v>13</v>
      </c>
      <c r="F1875" s="5">
        <v>44257</v>
      </c>
      <c r="G1875" s="5">
        <v>44266</v>
      </c>
      <c r="H1875" s="2">
        <v>1</v>
      </c>
      <c r="I1875" s="6"/>
      <c r="J1875" s="6"/>
      <c r="K1875" s="7">
        <v>0.5</v>
      </c>
      <c r="L1875" s="7">
        <v>3.5750000000000002</v>
      </c>
      <c r="M1875" t="s">
        <v>17</v>
      </c>
      <c r="N1875" s="16">
        <f>POWER(SQRT(WorkOrders279[[#This Row],[WorkDate]]-WorkOrders279[[#This Row],[ReqDate]]),2)</f>
        <v>9</v>
      </c>
      <c r="O1875" s="8">
        <f t="array" ref="O1875">INDEX(TechRate,MATCH(H1875,TechNum,0))</f>
        <v>80</v>
      </c>
      <c r="P1875" s="10">
        <f>WorkOrders279[[#This Row],[Techs]]*(WorkOrders279[[#This Row],[PartsCost]]*WorkOrders279[[#This Row],[LbrHrs]])</f>
        <v>1.7875000000000001</v>
      </c>
      <c r="Q1875" s="10">
        <f t="shared" si="167"/>
        <v>1.7875000000000001</v>
      </c>
      <c r="R1875" s="10">
        <f t="shared" si="168"/>
        <v>3.5750000000000002</v>
      </c>
      <c r="S1875" s="10">
        <f t="shared" si="169"/>
        <v>5.3625000000000007</v>
      </c>
      <c r="T1875" s="10">
        <f t="shared" si="170"/>
        <v>5.3625000000000007</v>
      </c>
      <c r="U1875" s="8" t="str">
        <f t="shared" si="171"/>
        <v>Tue</v>
      </c>
      <c r="V1875" s="8" t="str">
        <f t="shared" si="172"/>
        <v>Thu</v>
      </c>
    </row>
    <row r="1876" spans="1:22" hidden="1" x14ac:dyDescent="0.25">
      <c r="A1876" t="s">
        <v>418</v>
      </c>
      <c r="B1876" t="s">
        <v>37</v>
      </c>
      <c r="C1876" t="s">
        <v>43</v>
      </c>
      <c r="D1876" t="s">
        <v>12</v>
      </c>
      <c r="F1876" s="5">
        <v>44257</v>
      </c>
      <c r="G1876" s="5">
        <v>44266</v>
      </c>
      <c r="H1876" s="2">
        <v>1</v>
      </c>
      <c r="I1876" s="6"/>
      <c r="J1876" s="6"/>
      <c r="K1876" s="7">
        <v>0.25</v>
      </c>
      <c r="L1876" s="7">
        <v>16.25</v>
      </c>
      <c r="M1876" t="s">
        <v>17</v>
      </c>
      <c r="N1876" s="16">
        <f>POWER(SQRT(WorkOrders279[[#This Row],[WorkDate]]-WorkOrders279[[#This Row],[ReqDate]]),2)</f>
        <v>9</v>
      </c>
      <c r="O1876" s="8">
        <f t="array" ref="O1876">INDEX(TechRate,MATCH(H1876,TechNum,0))</f>
        <v>80</v>
      </c>
      <c r="P1876" s="10">
        <f>WorkOrders279[[#This Row],[Techs]]*(WorkOrders279[[#This Row],[PartsCost]]*WorkOrders279[[#This Row],[LbrHrs]])</f>
        <v>4.0625</v>
      </c>
      <c r="Q1876" s="10">
        <f t="shared" si="167"/>
        <v>4.0625</v>
      </c>
      <c r="R1876" s="10">
        <f t="shared" si="168"/>
        <v>16.25</v>
      </c>
      <c r="S1876" s="10">
        <f t="shared" si="169"/>
        <v>20.3125</v>
      </c>
      <c r="T1876" s="10">
        <f t="shared" si="170"/>
        <v>20.3125</v>
      </c>
      <c r="U1876" s="8" t="str">
        <f t="shared" si="171"/>
        <v>Tue</v>
      </c>
      <c r="V1876" s="8" t="str">
        <f t="shared" si="172"/>
        <v>Thu</v>
      </c>
    </row>
    <row r="1877" spans="1:22" hidden="1" x14ac:dyDescent="0.25">
      <c r="A1877" t="s">
        <v>419</v>
      </c>
      <c r="B1877" t="s">
        <v>34</v>
      </c>
      <c r="C1877" t="s">
        <v>9</v>
      </c>
      <c r="D1877" t="s">
        <v>13</v>
      </c>
      <c r="F1877" s="5">
        <v>44257</v>
      </c>
      <c r="G1877" s="5">
        <v>44275</v>
      </c>
      <c r="H1877" s="2">
        <v>1</v>
      </c>
      <c r="I1877" s="6"/>
      <c r="J1877" s="6"/>
      <c r="K1877" s="7">
        <v>0.75</v>
      </c>
      <c r="L1877" s="7">
        <v>19.196999999999999</v>
      </c>
      <c r="M1877" t="s">
        <v>19</v>
      </c>
      <c r="N1877" s="16">
        <f>POWER(SQRT(WorkOrders279[[#This Row],[WorkDate]]-WorkOrders279[[#This Row],[ReqDate]]),2)</f>
        <v>17.999999999999996</v>
      </c>
      <c r="O1877" s="8">
        <f t="array" ref="O1877">INDEX(TechRate,MATCH(H1877,TechNum,0))</f>
        <v>80</v>
      </c>
      <c r="P1877" s="10">
        <f>WorkOrders279[[#This Row],[Techs]]*(WorkOrders279[[#This Row],[PartsCost]]*WorkOrders279[[#This Row],[LbrHrs]])</f>
        <v>14.397749999999998</v>
      </c>
      <c r="Q1877" s="10">
        <f t="shared" si="167"/>
        <v>14.397749999999998</v>
      </c>
      <c r="R1877" s="10">
        <f t="shared" si="168"/>
        <v>19.196999999999999</v>
      </c>
      <c r="S1877" s="10">
        <f t="shared" si="169"/>
        <v>33.594749999999998</v>
      </c>
      <c r="T1877" s="10">
        <f t="shared" si="170"/>
        <v>33.594749999999998</v>
      </c>
      <c r="U1877" s="8" t="str">
        <f t="shared" si="171"/>
        <v>Tue</v>
      </c>
      <c r="V1877" s="8" t="str">
        <f t="shared" si="172"/>
        <v>Sat</v>
      </c>
    </row>
    <row r="1878" spans="1:22" hidden="1" x14ac:dyDescent="0.25">
      <c r="A1878" t="s">
        <v>420</v>
      </c>
      <c r="B1878" t="s">
        <v>39</v>
      </c>
      <c r="C1878" t="s">
        <v>44</v>
      </c>
      <c r="D1878" t="s">
        <v>11</v>
      </c>
      <c r="F1878" s="5">
        <v>44257</v>
      </c>
      <c r="G1878" s="5">
        <v>44271</v>
      </c>
      <c r="H1878" s="2">
        <v>1</v>
      </c>
      <c r="I1878" s="6"/>
      <c r="J1878" s="6"/>
      <c r="K1878" s="7">
        <v>0.25</v>
      </c>
      <c r="L1878" s="7">
        <v>73.508899999999997</v>
      </c>
      <c r="M1878" t="s">
        <v>19</v>
      </c>
      <c r="N1878" s="16">
        <f>POWER(SQRT(WorkOrders279[[#This Row],[WorkDate]]-WorkOrders279[[#This Row],[ReqDate]]),2)</f>
        <v>14</v>
      </c>
      <c r="O1878" s="8">
        <f t="array" ref="O1878">INDEX(TechRate,MATCH(H1878,TechNum,0))</f>
        <v>80</v>
      </c>
      <c r="P1878" s="10">
        <f>WorkOrders279[[#This Row],[Techs]]*(WorkOrders279[[#This Row],[PartsCost]]*WorkOrders279[[#This Row],[LbrHrs]])</f>
        <v>18.377224999999999</v>
      </c>
      <c r="Q1878" s="10">
        <f t="shared" si="167"/>
        <v>18.377224999999999</v>
      </c>
      <c r="R1878" s="10">
        <f t="shared" si="168"/>
        <v>73.508899999999997</v>
      </c>
      <c r="S1878" s="10">
        <f t="shared" si="169"/>
        <v>91.886124999999993</v>
      </c>
      <c r="T1878" s="10">
        <f t="shared" si="170"/>
        <v>91.886124999999993</v>
      </c>
      <c r="U1878" s="8" t="str">
        <f t="shared" si="171"/>
        <v>Tue</v>
      </c>
      <c r="V1878" s="8" t="str">
        <f t="shared" si="172"/>
        <v>Tue</v>
      </c>
    </row>
    <row r="1879" spans="1:22" hidden="1" x14ac:dyDescent="0.25">
      <c r="A1879" t="s">
        <v>421</v>
      </c>
      <c r="B1879" t="s">
        <v>34</v>
      </c>
      <c r="C1879" t="s">
        <v>9</v>
      </c>
      <c r="D1879" t="s">
        <v>12</v>
      </c>
      <c r="F1879" s="5">
        <v>44257</v>
      </c>
      <c r="G1879" s="5">
        <v>44278</v>
      </c>
      <c r="H1879" s="2">
        <v>1</v>
      </c>
      <c r="I1879" s="6"/>
      <c r="J1879" s="6"/>
      <c r="K1879" s="7">
        <v>0.25</v>
      </c>
      <c r="L1879" s="7">
        <v>144</v>
      </c>
      <c r="M1879" t="s">
        <v>19</v>
      </c>
      <c r="N1879" s="16">
        <f>POWER(SQRT(WorkOrders279[[#This Row],[WorkDate]]-WorkOrders279[[#This Row],[ReqDate]]),2)</f>
        <v>21</v>
      </c>
      <c r="O1879" s="8">
        <f t="array" ref="O1879">INDEX(TechRate,MATCH(H1879,TechNum,0))</f>
        <v>80</v>
      </c>
      <c r="P1879" s="10">
        <f>WorkOrders279[[#This Row],[Techs]]*(WorkOrders279[[#This Row],[PartsCost]]*WorkOrders279[[#This Row],[LbrHrs]])</f>
        <v>36</v>
      </c>
      <c r="Q1879" s="10">
        <f t="shared" si="167"/>
        <v>36</v>
      </c>
      <c r="R1879" s="10">
        <f t="shared" si="168"/>
        <v>144</v>
      </c>
      <c r="S1879" s="10">
        <f t="shared" si="169"/>
        <v>180</v>
      </c>
      <c r="T1879" s="10">
        <f t="shared" si="170"/>
        <v>180</v>
      </c>
      <c r="U1879" s="8" t="str">
        <f t="shared" si="171"/>
        <v>Tue</v>
      </c>
      <c r="V1879" s="8" t="str">
        <f t="shared" si="172"/>
        <v>Tue</v>
      </c>
    </row>
    <row r="1880" spans="1:22" hidden="1" x14ac:dyDescent="0.25">
      <c r="A1880" t="s">
        <v>422</v>
      </c>
      <c r="B1880" t="s">
        <v>39</v>
      </c>
      <c r="C1880" t="s">
        <v>9</v>
      </c>
      <c r="D1880" t="s">
        <v>1</v>
      </c>
      <c r="F1880" s="5">
        <v>44257</v>
      </c>
      <c r="G1880" s="5">
        <v>44278</v>
      </c>
      <c r="H1880" s="2">
        <v>1</v>
      </c>
      <c r="I1880" s="6"/>
      <c r="J1880" s="6" t="s">
        <v>3</v>
      </c>
      <c r="K1880" s="7">
        <v>2</v>
      </c>
      <c r="L1880" s="7">
        <v>94.71</v>
      </c>
      <c r="M1880" t="s">
        <v>18</v>
      </c>
      <c r="N1880" s="16">
        <f>POWER(SQRT(WorkOrders279[[#This Row],[WorkDate]]-WorkOrders279[[#This Row],[ReqDate]]),2)</f>
        <v>21</v>
      </c>
      <c r="O1880" s="8">
        <f t="array" ref="O1880">INDEX(TechRate,MATCH(H1880,TechNum,0))</f>
        <v>80</v>
      </c>
      <c r="P1880" s="10">
        <f>WorkOrders279[[#This Row],[Techs]]*(WorkOrders279[[#This Row],[PartsCost]]*WorkOrders279[[#This Row],[LbrHrs]])</f>
        <v>189.42</v>
      </c>
      <c r="Q1880" s="10">
        <f t="shared" si="167"/>
        <v>189.42</v>
      </c>
      <c r="R1880" s="10">
        <f t="shared" si="168"/>
        <v>0</v>
      </c>
      <c r="S1880" s="10">
        <f t="shared" si="169"/>
        <v>284.13</v>
      </c>
      <c r="T1880" s="10">
        <f t="shared" si="170"/>
        <v>189.42</v>
      </c>
      <c r="U1880" s="8" t="str">
        <f t="shared" si="171"/>
        <v>Tue</v>
      </c>
      <c r="V1880" s="8" t="str">
        <f t="shared" si="172"/>
        <v>Tue</v>
      </c>
    </row>
    <row r="1881" spans="1:22" hidden="1" x14ac:dyDescent="0.25">
      <c r="A1881" t="s">
        <v>423</v>
      </c>
      <c r="B1881" t="s">
        <v>34</v>
      </c>
      <c r="C1881" t="s">
        <v>9</v>
      </c>
      <c r="D1881" t="s">
        <v>12</v>
      </c>
      <c r="E1881" t="s">
        <v>3</v>
      </c>
      <c r="F1881" s="5">
        <v>44258</v>
      </c>
      <c r="G1881" s="5">
        <v>44264</v>
      </c>
      <c r="H1881" s="2">
        <v>2</v>
      </c>
      <c r="I1881" s="6"/>
      <c r="J1881" s="6"/>
      <c r="K1881" s="7">
        <v>0.25</v>
      </c>
      <c r="L1881" s="7">
        <v>41.153799999999997</v>
      </c>
      <c r="M1881" t="s">
        <v>18</v>
      </c>
      <c r="N1881" s="16">
        <f>POWER(SQRT(WorkOrders279[[#This Row],[WorkDate]]-WorkOrders279[[#This Row],[ReqDate]]),2)</f>
        <v>5.9999999999999991</v>
      </c>
      <c r="O1881" s="8">
        <f t="array" ref="O1881">INDEX(TechRate,MATCH(H1881,TechNum,0))</f>
        <v>140</v>
      </c>
      <c r="P1881" s="10">
        <f>WorkOrders279[[#This Row],[Techs]]*(WorkOrders279[[#This Row],[PartsCost]]*WorkOrders279[[#This Row],[LbrHrs]])</f>
        <v>20.576899999999998</v>
      </c>
      <c r="Q1881" s="10">
        <f t="shared" si="167"/>
        <v>20.576899999999998</v>
      </c>
      <c r="R1881" s="10">
        <f t="shared" si="168"/>
        <v>41.153799999999997</v>
      </c>
      <c r="S1881" s="10">
        <f t="shared" si="169"/>
        <v>61.730699999999999</v>
      </c>
      <c r="T1881" s="10">
        <f t="shared" si="170"/>
        <v>61.730699999999999</v>
      </c>
      <c r="U1881" s="8" t="str">
        <f t="shared" si="171"/>
        <v>Wed</v>
      </c>
      <c r="V1881" s="8" t="str">
        <f t="shared" si="172"/>
        <v>Tue</v>
      </c>
    </row>
    <row r="1882" spans="1:22" hidden="1" x14ac:dyDescent="0.25">
      <c r="A1882" t="s">
        <v>424</v>
      </c>
      <c r="B1882" t="s">
        <v>40</v>
      </c>
      <c r="C1882" t="s">
        <v>7</v>
      </c>
      <c r="D1882" t="s">
        <v>13</v>
      </c>
      <c r="F1882" s="5">
        <v>44258</v>
      </c>
      <c r="G1882" s="5">
        <v>44292</v>
      </c>
      <c r="H1882" s="2">
        <v>2</v>
      </c>
      <c r="I1882" s="6"/>
      <c r="J1882" s="6"/>
      <c r="K1882" s="7">
        <v>0.5</v>
      </c>
      <c r="L1882" s="7">
        <v>76.9499</v>
      </c>
      <c r="M1882" t="s">
        <v>18</v>
      </c>
      <c r="N1882" s="16">
        <f>POWER(SQRT(WorkOrders279[[#This Row],[WorkDate]]-WorkOrders279[[#This Row],[ReqDate]]),2)</f>
        <v>34</v>
      </c>
      <c r="O1882" s="8">
        <f t="array" ref="O1882">INDEX(TechRate,MATCH(H1882,TechNum,0))</f>
        <v>140</v>
      </c>
      <c r="P1882" s="10">
        <f>WorkOrders279[[#This Row],[Techs]]*(WorkOrders279[[#This Row],[PartsCost]]*WorkOrders279[[#This Row],[LbrHrs]])</f>
        <v>76.9499</v>
      </c>
      <c r="Q1882" s="10">
        <f t="shared" si="167"/>
        <v>76.9499</v>
      </c>
      <c r="R1882" s="10">
        <f t="shared" si="168"/>
        <v>76.9499</v>
      </c>
      <c r="S1882" s="10">
        <f t="shared" si="169"/>
        <v>153.8998</v>
      </c>
      <c r="T1882" s="10">
        <f t="shared" si="170"/>
        <v>153.8998</v>
      </c>
      <c r="U1882" s="8" t="str">
        <f t="shared" si="171"/>
        <v>Wed</v>
      </c>
      <c r="V1882" s="8" t="str">
        <f t="shared" si="172"/>
        <v>Tue</v>
      </c>
    </row>
    <row r="1883" spans="1:22" hidden="1" x14ac:dyDescent="0.25">
      <c r="A1883" t="s">
        <v>425</v>
      </c>
      <c r="B1883" t="s">
        <v>38</v>
      </c>
      <c r="C1883" t="s">
        <v>8</v>
      </c>
      <c r="D1883" t="s">
        <v>12</v>
      </c>
      <c r="F1883" s="5">
        <v>44258</v>
      </c>
      <c r="G1883" s="5">
        <v>44312</v>
      </c>
      <c r="H1883" s="2">
        <v>1</v>
      </c>
      <c r="I1883" s="6"/>
      <c r="J1883" s="6"/>
      <c r="K1883" s="7">
        <v>0.5</v>
      </c>
      <c r="L1883" s="7">
        <v>25.24</v>
      </c>
      <c r="M1883" t="s">
        <v>19</v>
      </c>
      <c r="N1883" s="16">
        <f>POWER(SQRT(WorkOrders279[[#This Row],[WorkDate]]-WorkOrders279[[#This Row],[ReqDate]]),2)</f>
        <v>54</v>
      </c>
      <c r="O1883" s="8">
        <f t="array" ref="O1883">INDEX(TechRate,MATCH(H1883,TechNum,0))</f>
        <v>80</v>
      </c>
      <c r="P1883" s="10">
        <f>WorkOrders279[[#This Row],[Techs]]*(WorkOrders279[[#This Row],[PartsCost]]*WorkOrders279[[#This Row],[LbrHrs]])</f>
        <v>12.62</v>
      </c>
      <c r="Q1883" s="10">
        <f t="shared" si="167"/>
        <v>12.62</v>
      </c>
      <c r="R1883" s="10">
        <f t="shared" si="168"/>
        <v>25.24</v>
      </c>
      <c r="S1883" s="10">
        <f t="shared" si="169"/>
        <v>37.86</v>
      </c>
      <c r="T1883" s="10">
        <f t="shared" si="170"/>
        <v>37.86</v>
      </c>
      <c r="U1883" s="8" t="str">
        <f t="shared" si="171"/>
        <v>Wed</v>
      </c>
      <c r="V1883" s="8" t="str">
        <f t="shared" si="172"/>
        <v>Mon</v>
      </c>
    </row>
    <row r="1884" spans="1:22" hidden="1" x14ac:dyDescent="0.25">
      <c r="A1884" t="s">
        <v>426</v>
      </c>
      <c r="B1884" t="s">
        <v>35</v>
      </c>
      <c r="C1884" t="s">
        <v>9</v>
      </c>
      <c r="D1884" t="s">
        <v>12</v>
      </c>
      <c r="E1884" t="s">
        <v>3</v>
      </c>
      <c r="F1884" s="5">
        <v>44258</v>
      </c>
      <c r="G1884" s="5">
        <v>44329</v>
      </c>
      <c r="H1884" s="2">
        <v>2</v>
      </c>
      <c r="I1884" s="6"/>
      <c r="J1884" s="6"/>
      <c r="K1884" s="7">
        <v>0.75</v>
      </c>
      <c r="L1884" s="7">
        <v>572.62689999999998</v>
      </c>
      <c r="M1884" t="s">
        <v>18</v>
      </c>
      <c r="N1884" s="16">
        <f>POWER(SQRT(WorkOrders279[[#This Row],[WorkDate]]-WorkOrders279[[#This Row],[ReqDate]]),2)</f>
        <v>71</v>
      </c>
      <c r="O1884" s="8">
        <f t="array" ref="O1884">INDEX(TechRate,MATCH(H1884,TechNum,0))</f>
        <v>140</v>
      </c>
      <c r="P1884" s="10">
        <f>WorkOrders279[[#This Row],[Techs]]*(WorkOrders279[[#This Row],[PartsCost]]*WorkOrders279[[#This Row],[LbrHrs]])</f>
        <v>858.94034999999997</v>
      </c>
      <c r="Q1884" s="10">
        <f t="shared" si="167"/>
        <v>858.94034999999997</v>
      </c>
      <c r="R1884" s="10">
        <f t="shared" si="168"/>
        <v>572.62689999999998</v>
      </c>
      <c r="S1884" s="10">
        <f t="shared" si="169"/>
        <v>1431.5672500000001</v>
      </c>
      <c r="T1884" s="10">
        <f t="shared" si="170"/>
        <v>1431.5672500000001</v>
      </c>
      <c r="U1884" s="8" t="str">
        <f t="shared" si="171"/>
        <v>Wed</v>
      </c>
      <c r="V1884" s="8" t="str">
        <f t="shared" si="172"/>
        <v>Thu</v>
      </c>
    </row>
    <row r="1885" spans="1:22" hidden="1" x14ac:dyDescent="0.25">
      <c r="A1885" t="s">
        <v>427</v>
      </c>
      <c r="B1885" t="s">
        <v>37</v>
      </c>
      <c r="C1885" t="s">
        <v>9</v>
      </c>
      <c r="D1885" t="s">
        <v>13</v>
      </c>
      <c r="F1885" s="5">
        <v>44258</v>
      </c>
      <c r="G1885" s="5">
        <v>44389</v>
      </c>
      <c r="H1885" s="2">
        <v>2</v>
      </c>
      <c r="I1885" s="6"/>
      <c r="J1885" s="6"/>
      <c r="K1885" s="7">
        <v>1.25</v>
      </c>
      <c r="L1885" s="7">
        <v>361.90370000000001</v>
      </c>
      <c r="M1885" t="s">
        <v>17</v>
      </c>
      <c r="N1885" s="16">
        <f>POWER(SQRT(WorkOrders279[[#This Row],[WorkDate]]-WorkOrders279[[#This Row],[ReqDate]]),2)</f>
        <v>131</v>
      </c>
      <c r="O1885" s="8">
        <f t="array" ref="O1885">INDEX(TechRate,MATCH(H1885,TechNum,0))</f>
        <v>140</v>
      </c>
      <c r="P1885" s="10">
        <f>WorkOrders279[[#This Row],[Techs]]*(WorkOrders279[[#This Row],[PartsCost]]*WorkOrders279[[#This Row],[LbrHrs]])</f>
        <v>904.75925000000007</v>
      </c>
      <c r="Q1885" s="10">
        <f t="shared" si="167"/>
        <v>904.75925000000007</v>
      </c>
      <c r="R1885" s="10">
        <f t="shared" si="168"/>
        <v>361.90370000000001</v>
      </c>
      <c r="S1885" s="10">
        <f t="shared" si="169"/>
        <v>1266.6629500000001</v>
      </c>
      <c r="T1885" s="10">
        <f t="shared" si="170"/>
        <v>1266.6629500000001</v>
      </c>
      <c r="U1885" s="8" t="str">
        <f t="shared" si="171"/>
        <v>Wed</v>
      </c>
      <c r="V1885" s="8" t="str">
        <f t="shared" si="172"/>
        <v>Mon</v>
      </c>
    </row>
    <row r="1886" spans="1:22" hidden="1" x14ac:dyDescent="0.25">
      <c r="A1886" t="s">
        <v>428</v>
      </c>
      <c r="B1886" t="s">
        <v>35</v>
      </c>
      <c r="C1886" t="s">
        <v>44</v>
      </c>
      <c r="D1886" t="s">
        <v>12</v>
      </c>
      <c r="F1886" s="5">
        <v>44259</v>
      </c>
      <c r="G1886" s="5">
        <v>44263</v>
      </c>
      <c r="H1886" s="2">
        <v>1</v>
      </c>
      <c r="I1886" s="6"/>
      <c r="J1886" s="6"/>
      <c r="K1886" s="7">
        <v>0.25</v>
      </c>
      <c r="L1886" s="7">
        <v>110.2272</v>
      </c>
      <c r="M1886" t="s">
        <v>17</v>
      </c>
      <c r="N1886" s="16">
        <f>POWER(SQRT(WorkOrders279[[#This Row],[WorkDate]]-WorkOrders279[[#This Row],[ReqDate]]),2)</f>
        <v>4</v>
      </c>
      <c r="O1886" s="8">
        <f t="array" ref="O1886">INDEX(TechRate,MATCH(H1886,TechNum,0))</f>
        <v>80</v>
      </c>
      <c r="P1886" s="10">
        <f>WorkOrders279[[#This Row],[Techs]]*(WorkOrders279[[#This Row],[PartsCost]]*WorkOrders279[[#This Row],[LbrHrs]])</f>
        <v>27.556799999999999</v>
      </c>
      <c r="Q1886" s="10">
        <f t="shared" si="167"/>
        <v>27.556799999999999</v>
      </c>
      <c r="R1886" s="10">
        <f t="shared" si="168"/>
        <v>110.2272</v>
      </c>
      <c r="S1886" s="10">
        <f t="shared" si="169"/>
        <v>137.78399999999999</v>
      </c>
      <c r="T1886" s="10">
        <f t="shared" si="170"/>
        <v>137.78399999999999</v>
      </c>
      <c r="U1886" s="8" t="str">
        <f t="shared" si="171"/>
        <v>Thu</v>
      </c>
      <c r="V1886" s="8" t="str">
        <f t="shared" si="172"/>
        <v>Mon</v>
      </c>
    </row>
    <row r="1887" spans="1:22" hidden="1" x14ac:dyDescent="0.25">
      <c r="A1887" t="s">
        <v>429</v>
      </c>
      <c r="B1887" t="s">
        <v>37</v>
      </c>
      <c r="C1887" t="s">
        <v>43</v>
      </c>
      <c r="D1887" t="s">
        <v>12</v>
      </c>
      <c r="F1887" s="5">
        <v>44259</v>
      </c>
      <c r="G1887" s="5">
        <v>44270</v>
      </c>
      <c r="H1887" s="2">
        <v>1</v>
      </c>
      <c r="I1887" s="6"/>
      <c r="J1887" s="6"/>
      <c r="K1887" s="7">
        <v>0.25</v>
      </c>
      <c r="L1887" s="7">
        <v>33.910499999999999</v>
      </c>
      <c r="M1887" t="s">
        <v>17</v>
      </c>
      <c r="N1887" s="16">
        <f>POWER(SQRT(WorkOrders279[[#This Row],[WorkDate]]-WorkOrders279[[#This Row],[ReqDate]]),2)</f>
        <v>11</v>
      </c>
      <c r="O1887" s="8">
        <f t="array" ref="O1887">INDEX(TechRate,MATCH(H1887,TechNum,0))</f>
        <v>80</v>
      </c>
      <c r="P1887" s="10">
        <f>WorkOrders279[[#This Row],[Techs]]*(WorkOrders279[[#This Row],[PartsCost]]*WorkOrders279[[#This Row],[LbrHrs]])</f>
        <v>8.4776249999999997</v>
      </c>
      <c r="Q1887" s="10">
        <f t="shared" si="167"/>
        <v>8.4776249999999997</v>
      </c>
      <c r="R1887" s="10">
        <f t="shared" si="168"/>
        <v>33.910499999999999</v>
      </c>
      <c r="S1887" s="10">
        <f t="shared" si="169"/>
        <v>42.388125000000002</v>
      </c>
      <c r="T1887" s="10">
        <f t="shared" si="170"/>
        <v>42.388125000000002</v>
      </c>
      <c r="U1887" s="8" t="str">
        <f t="shared" si="171"/>
        <v>Thu</v>
      </c>
      <c r="V1887" s="8" t="str">
        <f t="shared" si="172"/>
        <v>Mon</v>
      </c>
    </row>
    <row r="1888" spans="1:22" hidden="1" x14ac:dyDescent="0.25">
      <c r="A1888" t="s">
        <v>430</v>
      </c>
      <c r="B1888" t="s">
        <v>36</v>
      </c>
      <c r="C1888" t="s">
        <v>7</v>
      </c>
      <c r="D1888" t="s">
        <v>12</v>
      </c>
      <c r="F1888" s="5">
        <v>44259</v>
      </c>
      <c r="G1888" s="5">
        <v>44279</v>
      </c>
      <c r="H1888" s="2">
        <v>2</v>
      </c>
      <c r="I1888" s="6"/>
      <c r="J1888" s="6"/>
      <c r="K1888" s="7">
        <v>0.25</v>
      </c>
      <c r="L1888" s="7">
        <v>19</v>
      </c>
      <c r="M1888" t="s">
        <v>17</v>
      </c>
      <c r="N1888" s="16">
        <f>POWER(SQRT(WorkOrders279[[#This Row],[WorkDate]]-WorkOrders279[[#This Row],[ReqDate]]),2)</f>
        <v>20.000000000000004</v>
      </c>
      <c r="O1888" s="8">
        <f t="array" ref="O1888">INDEX(TechRate,MATCH(H1888,TechNum,0))</f>
        <v>140</v>
      </c>
      <c r="P1888" s="10">
        <f>WorkOrders279[[#This Row],[Techs]]*(WorkOrders279[[#This Row],[PartsCost]]*WorkOrders279[[#This Row],[LbrHrs]])</f>
        <v>9.5</v>
      </c>
      <c r="Q1888" s="10">
        <f t="shared" si="167"/>
        <v>9.5</v>
      </c>
      <c r="R1888" s="10">
        <f t="shared" si="168"/>
        <v>19</v>
      </c>
      <c r="S1888" s="10">
        <f t="shared" si="169"/>
        <v>28.5</v>
      </c>
      <c r="T1888" s="10">
        <f t="shared" si="170"/>
        <v>28.5</v>
      </c>
      <c r="U1888" s="8" t="str">
        <f t="shared" si="171"/>
        <v>Thu</v>
      </c>
      <c r="V1888" s="8" t="str">
        <f t="shared" si="172"/>
        <v>Wed</v>
      </c>
    </row>
    <row r="1889" spans="1:22" hidden="1" x14ac:dyDescent="0.25">
      <c r="A1889" t="s">
        <v>431</v>
      </c>
      <c r="B1889" t="s">
        <v>38</v>
      </c>
      <c r="C1889" t="s">
        <v>8</v>
      </c>
      <c r="D1889" t="s">
        <v>1</v>
      </c>
      <c r="F1889" s="5">
        <v>44259</v>
      </c>
      <c r="G1889" s="5">
        <v>44279</v>
      </c>
      <c r="H1889" s="2">
        <v>1</v>
      </c>
      <c r="I1889" s="6"/>
      <c r="J1889" s="6"/>
      <c r="K1889" s="7">
        <v>1.25</v>
      </c>
      <c r="L1889" s="7">
        <v>294.77999999999997</v>
      </c>
      <c r="M1889" t="s">
        <v>19</v>
      </c>
      <c r="N1889" s="16">
        <f>POWER(SQRT(WorkOrders279[[#This Row],[WorkDate]]-WorkOrders279[[#This Row],[ReqDate]]),2)</f>
        <v>20.000000000000004</v>
      </c>
      <c r="O1889" s="8">
        <f t="array" ref="O1889">INDEX(TechRate,MATCH(H1889,TechNum,0))</f>
        <v>80</v>
      </c>
      <c r="P1889" s="10">
        <f>WorkOrders279[[#This Row],[Techs]]*(WorkOrders279[[#This Row],[PartsCost]]*WorkOrders279[[#This Row],[LbrHrs]])</f>
        <v>368.47499999999997</v>
      </c>
      <c r="Q1889" s="10">
        <f t="shared" ref="Q1889:Q1952" si="173">IF(I1889="Yes",0,P1889)</f>
        <v>368.47499999999997</v>
      </c>
      <c r="R1889" s="10">
        <f t="shared" ref="R1889:R1952" si="174">IF(J1889="Yes",0,L1889)</f>
        <v>294.77999999999997</v>
      </c>
      <c r="S1889" s="10">
        <f t="shared" ref="S1889:S1952" si="175">SUM(L1889,P1889)</f>
        <v>663.25499999999988</v>
      </c>
      <c r="T1889" s="10">
        <f t="shared" ref="T1889:T1952" si="176">SUM(Q1889,R1889)</f>
        <v>663.25499999999988</v>
      </c>
      <c r="U1889" s="8" t="str">
        <f t="shared" ref="U1889:U1952" si="177">TEXT(F1889,"ddd")</f>
        <v>Thu</v>
      </c>
      <c r="V1889" s="8" t="str">
        <f t="shared" ref="V1889:V1952" si="178">TEXT(G1889,"ddd")</f>
        <v>Wed</v>
      </c>
    </row>
    <row r="1890" spans="1:22" hidden="1" x14ac:dyDescent="0.25">
      <c r="A1890" t="s">
        <v>432</v>
      </c>
      <c r="B1890" t="s">
        <v>40</v>
      </c>
      <c r="C1890" t="s">
        <v>7</v>
      </c>
      <c r="D1890" t="s">
        <v>12</v>
      </c>
      <c r="F1890" s="5">
        <v>44259</v>
      </c>
      <c r="G1890" s="5">
        <v>44312</v>
      </c>
      <c r="H1890" s="2">
        <v>2</v>
      </c>
      <c r="I1890" s="6"/>
      <c r="J1890" s="6"/>
      <c r="K1890" s="7">
        <v>0.25</v>
      </c>
      <c r="L1890" s="7">
        <v>83.231700000000004</v>
      </c>
      <c r="M1890" t="s">
        <v>17</v>
      </c>
      <c r="N1890" s="16">
        <f>POWER(SQRT(WorkOrders279[[#This Row],[WorkDate]]-WorkOrders279[[#This Row],[ReqDate]]),2)</f>
        <v>53</v>
      </c>
      <c r="O1890" s="8">
        <f t="array" ref="O1890">INDEX(TechRate,MATCH(H1890,TechNum,0))</f>
        <v>140</v>
      </c>
      <c r="P1890" s="10">
        <f>WorkOrders279[[#This Row],[Techs]]*(WorkOrders279[[#This Row],[PartsCost]]*WorkOrders279[[#This Row],[LbrHrs]])</f>
        <v>41.615850000000002</v>
      </c>
      <c r="Q1890" s="10">
        <f t="shared" si="173"/>
        <v>41.615850000000002</v>
      </c>
      <c r="R1890" s="10">
        <f t="shared" si="174"/>
        <v>83.231700000000004</v>
      </c>
      <c r="S1890" s="10">
        <f t="shared" si="175"/>
        <v>124.84755000000001</v>
      </c>
      <c r="T1890" s="10">
        <f t="shared" si="176"/>
        <v>124.84755000000001</v>
      </c>
      <c r="U1890" s="8" t="str">
        <f t="shared" si="177"/>
        <v>Thu</v>
      </c>
      <c r="V1890" s="8" t="str">
        <f t="shared" si="178"/>
        <v>Mon</v>
      </c>
    </row>
    <row r="1891" spans="1:22" hidden="1" x14ac:dyDescent="0.25">
      <c r="A1891" t="s">
        <v>433</v>
      </c>
      <c r="B1891" t="s">
        <v>37</v>
      </c>
      <c r="C1891" t="s">
        <v>43</v>
      </c>
      <c r="D1891" t="s">
        <v>12</v>
      </c>
      <c r="F1891" s="5">
        <v>44263</v>
      </c>
      <c r="G1891" s="5">
        <v>44271</v>
      </c>
      <c r="H1891" s="2">
        <v>1</v>
      </c>
      <c r="I1891" s="6"/>
      <c r="J1891" s="6"/>
      <c r="K1891" s="7">
        <v>0.75</v>
      </c>
      <c r="L1891" s="7">
        <v>103.0842</v>
      </c>
      <c r="M1891" t="s">
        <v>17</v>
      </c>
      <c r="N1891" s="16">
        <f>POWER(SQRT(WorkOrders279[[#This Row],[WorkDate]]-WorkOrders279[[#This Row],[ReqDate]]),2)</f>
        <v>8.0000000000000018</v>
      </c>
      <c r="O1891" s="8">
        <f t="array" ref="O1891">INDEX(TechRate,MATCH(H1891,TechNum,0))</f>
        <v>80</v>
      </c>
      <c r="P1891" s="10">
        <f>WorkOrders279[[#This Row],[Techs]]*(WorkOrders279[[#This Row],[PartsCost]]*WorkOrders279[[#This Row],[LbrHrs]])</f>
        <v>77.313149999999993</v>
      </c>
      <c r="Q1891" s="10">
        <f t="shared" si="173"/>
        <v>77.313149999999993</v>
      </c>
      <c r="R1891" s="10">
        <f t="shared" si="174"/>
        <v>103.0842</v>
      </c>
      <c r="S1891" s="10">
        <f t="shared" si="175"/>
        <v>180.39734999999999</v>
      </c>
      <c r="T1891" s="10">
        <f t="shared" si="176"/>
        <v>180.39734999999999</v>
      </c>
      <c r="U1891" s="8" t="str">
        <f t="shared" si="177"/>
        <v>Mon</v>
      </c>
      <c r="V1891" s="8" t="str">
        <f t="shared" si="178"/>
        <v>Tue</v>
      </c>
    </row>
    <row r="1892" spans="1:22" hidden="1" x14ac:dyDescent="0.25">
      <c r="A1892" t="s">
        <v>434</v>
      </c>
      <c r="B1892" t="s">
        <v>34</v>
      </c>
      <c r="C1892" t="s">
        <v>44</v>
      </c>
      <c r="D1892" t="s">
        <v>13</v>
      </c>
      <c r="F1892" s="5">
        <v>44263</v>
      </c>
      <c r="G1892" s="5">
        <v>44271</v>
      </c>
      <c r="H1892" s="2">
        <v>2</v>
      </c>
      <c r="I1892" s="6"/>
      <c r="J1892" s="6"/>
      <c r="K1892" s="7">
        <v>0.5</v>
      </c>
      <c r="L1892" s="7">
        <v>144.30529999999999</v>
      </c>
      <c r="M1892" t="s">
        <v>18</v>
      </c>
      <c r="N1892" s="16">
        <f>POWER(SQRT(WorkOrders279[[#This Row],[WorkDate]]-WorkOrders279[[#This Row],[ReqDate]]),2)</f>
        <v>8.0000000000000018</v>
      </c>
      <c r="O1892" s="8">
        <f t="array" ref="O1892">INDEX(TechRate,MATCH(H1892,TechNum,0))</f>
        <v>140</v>
      </c>
      <c r="P1892" s="10">
        <f>WorkOrders279[[#This Row],[Techs]]*(WorkOrders279[[#This Row],[PartsCost]]*WorkOrders279[[#This Row],[LbrHrs]])</f>
        <v>144.30529999999999</v>
      </c>
      <c r="Q1892" s="10">
        <f t="shared" si="173"/>
        <v>144.30529999999999</v>
      </c>
      <c r="R1892" s="10">
        <f t="shared" si="174"/>
        <v>144.30529999999999</v>
      </c>
      <c r="S1892" s="10">
        <f t="shared" si="175"/>
        <v>288.61059999999998</v>
      </c>
      <c r="T1892" s="10">
        <f t="shared" si="176"/>
        <v>288.61059999999998</v>
      </c>
      <c r="U1892" s="8" t="str">
        <f t="shared" si="177"/>
        <v>Mon</v>
      </c>
      <c r="V1892" s="8" t="str">
        <f t="shared" si="178"/>
        <v>Tue</v>
      </c>
    </row>
    <row r="1893" spans="1:22" hidden="1" x14ac:dyDescent="0.25">
      <c r="A1893" t="s">
        <v>435</v>
      </c>
      <c r="B1893" t="s">
        <v>36</v>
      </c>
      <c r="C1893" t="s">
        <v>7</v>
      </c>
      <c r="D1893" t="s">
        <v>12</v>
      </c>
      <c r="F1893" s="5">
        <v>44263</v>
      </c>
      <c r="G1893" s="5">
        <v>44280</v>
      </c>
      <c r="H1893" s="2">
        <v>2</v>
      </c>
      <c r="I1893" s="6"/>
      <c r="J1893" s="6"/>
      <c r="K1893" s="7">
        <v>0.25</v>
      </c>
      <c r="L1893" s="7">
        <v>39</v>
      </c>
      <c r="M1893" t="s">
        <v>17</v>
      </c>
      <c r="N1893" s="16">
        <f>POWER(SQRT(WorkOrders279[[#This Row],[WorkDate]]-WorkOrders279[[#This Row],[ReqDate]]),2)</f>
        <v>17</v>
      </c>
      <c r="O1893" s="8">
        <f t="array" ref="O1893">INDEX(TechRate,MATCH(H1893,TechNum,0))</f>
        <v>140</v>
      </c>
      <c r="P1893" s="10">
        <f>WorkOrders279[[#This Row],[Techs]]*(WorkOrders279[[#This Row],[PartsCost]]*WorkOrders279[[#This Row],[LbrHrs]])</f>
        <v>19.5</v>
      </c>
      <c r="Q1893" s="10">
        <f t="shared" si="173"/>
        <v>19.5</v>
      </c>
      <c r="R1893" s="10">
        <f t="shared" si="174"/>
        <v>39</v>
      </c>
      <c r="S1893" s="10">
        <f t="shared" si="175"/>
        <v>58.5</v>
      </c>
      <c r="T1893" s="10">
        <f t="shared" si="176"/>
        <v>58.5</v>
      </c>
      <c r="U1893" s="8" t="str">
        <f t="shared" si="177"/>
        <v>Mon</v>
      </c>
      <c r="V1893" s="8" t="str">
        <f t="shared" si="178"/>
        <v>Thu</v>
      </c>
    </row>
    <row r="1894" spans="1:22" hidden="1" x14ac:dyDescent="0.25">
      <c r="A1894" t="s">
        <v>436</v>
      </c>
      <c r="B1894" t="s">
        <v>34</v>
      </c>
      <c r="C1894" t="s">
        <v>9</v>
      </c>
      <c r="D1894" t="s">
        <v>1</v>
      </c>
      <c r="F1894" s="5">
        <v>44263</v>
      </c>
      <c r="G1894" s="5">
        <v>44282</v>
      </c>
      <c r="H1894" s="2">
        <v>2</v>
      </c>
      <c r="I1894" s="6"/>
      <c r="J1894" s="6"/>
      <c r="K1894" s="7">
        <v>2.5</v>
      </c>
      <c r="L1894" s="7">
        <v>224</v>
      </c>
      <c r="M1894" t="s">
        <v>18</v>
      </c>
      <c r="N1894" s="16">
        <f>POWER(SQRT(WorkOrders279[[#This Row],[WorkDate]]-WorkOrders279[[#This Row],[ReqDate]]),2)</f>
        <v>19.000000000000004</v>
      </c>
      <c r="O1894" s="8">
        <f t="array" ref="O1894">INDEX(TechRate,MATCH(H1894,TechNum,0))</f>
        <v>140</v>
      </c>
      <c r="P1894" s="10">
        <f>WorkOrders279[[#This Row],[Techs]]*(WorkOrders279[[#This Row],[PartsCost]]*WorkOrders279[[#This Row],[LbrHrs]])</f>
        <v>1120</v>
      </c>
      <c r="Q1894" s="10">
        <f t="shared" si="173"/>
        <v>1120</v>
      </c>
      <c r="R1894" s="10">
        <f t="shared" si="174"/>
        <v>224</v>
      </c>
      <c r="S1894" s="10">
        <f t="shared" si="175"/>
        <v>1344</v>
      </c>
      <c r="T1894" s="10">
        <f t="shared" si="176"/>
        <v>1344</v>
      </c>
      <c r="U1894" s="8" t="str">
        <f t="shared" si="177"/>
        <v>Mon</v>
      </c>
      <c r="V1894" s="8" t="str">
        <f t="shared" si="178"/>
        <v>Sat</v>
      </c>
    </row>
    <row r="1895" spans="1:22" hidden="1" x14ac:dyDescent="0.25">
      <c r="A1895" t="s">
        <v>437</v>
      </c>
      <c r="B1895" t="s">
        <v>37</v>
      </c>
      <c r="C1895" t="s">
        <v>43</v>
      </c>
      <c r="D1895" t="s">
        <v>12</v>
      </c>
      <c r="F1895" s="5">
        <v>44263</v>
      </c>
      <c r="G1895" s="5">
        <v>44359</v>
      </c>
      <c r="H1895" s="2">
        <v>1</v>
      </c>
      <c r="I1895" s="6"/>
      <c r="J1895" s="6"/>
      <c r="K1895" s="7">
        <v>0.5</v>
      </c>
      <c r="L1895" s="7">
        <v>475.54</v>
      </c>
      <c r="M1895" t="s">
        <v>17</v>
      </c>
      <c r="N1895" s="16">
        <f>POWER(SQRT(WorkOrders279[[#This Row],[WorkDate]]-WorkOrders279[[#This Row],[ReqDate]]),2)</f>
        <v>95.999999999999986</v>
      </c>
      <c r="O1895" s="8">
        <f t="array" ref="O1895">INDEX(TechRate,MATCH(H1895,TechNum,0))</f>
        <v>80</v>
      </c>
      <c r="P1895" s="10">
        <f>WorkOrders279[[#This Row],[Techs]]*(WorkOrders279[[#This Row],[PartsCost]]*WorkOrders279[[#This Row],[LbrHrs]])</f>
        <v>237.77</v>
      </c>
      <c r="Q1895" s="10">
        <f t="shared" si="173"/>
        <v>237.77</v>
      </c>
      <c r="R1895" s="10">
        <f t="shared" si="174"/>
        <v>475.54</v>
      </c>
      <c r="S1895" s="10">
        <f t="shared" si="175"/>
        <v>713.31000000000006</v>
      </c>
      <c r="T1895" s="10">
        <f t="shared" si="176"/>
        <v>713.31000000000006</v>
      </c>
      <c r="U1895" s="8" t="str">
        <f t="shared" si="177"/>
        <v>Mon</v>
      </c>
      <c r="V1895" s="8" t="str">
        <f t="shared" si="178"/>
        <v>Sat</v>
      </c>
    </row>
    <row r="1896" spans="1:22" hidden="1" x14ac:dyDescent="0.25">
      <c r="A1896" t="s">
        <v>438</v>
      </c>
      <c r="B1896" t="s">
        <v>34</v>
      </c>
      <c r="C1896" t="s">
        <v>8</v>
      </c>
      <c r="D1896" t="s">
        <v>12</v>
      </c>
      <c r="F1896" s="5">
        <v>44264</v>
      </c>
      <c r="G1896" s="5">
        <v>44271</v>
      </c>
      <c r="H1896" s="2">
        <v>1</v>
      </c>
      <c r="I1896" s="6"/>
      <c r="J1896" s="6"/>
      <c r="K1896" s="7">
        <v>1</v>
      </c>
      <c r="L1896" s="7">
        <v>46.036799999999999</v>
      </c>
      <c r="M1896" t="s">
        <v>18</v>
      </c>
      <c r="N1896" s="16">
        <f>POWER(SQRT(WorkOrders279[[#This Row],[WorkDate]]-WorkOrders279[[#This Row],[ReqDate]]),2)</f>
        <v>7.0000000000000009</v>
      </c>
      <c r="O1896" s="8">
        <f t="array" ref="O1896">INDEX(TechRate,MATCH(H1896,TechNum,0))</f>
        <v>80</v>
      </c>
      <c r="P1896" s="10">
        <f>WorkOrders279[[#This Row],[Techs]]*(WorkOrders279[[#This Row],[PartsCost]]*WorkOrders279[[#This Row],[LbrHrs]])</f>
        <v>46.036799999999999</v>
      </c>
      <c r="Q1896" s="10">
        <f t="shared" si="173"/>
        <v>46.036799999999999</v>
      </c>
      <c r="R1896" s="10">
        <f t="shared" si="174"/>
        <v>46.036799999999999</v>
      </c>
      <c r="S1896" s="10">
        <f t="shared" si="175"/>
        <v>92.073599999999999</v>
      </c>
      <c r="T1896" s="10">
        <f t="shared" si="176"/>
        <v>92.073599999999999</v>
      </c>
      <c r="U1896" s="8" t="str">
        <f t="shared" si="177"/>
        <v>Tue</v>
      </c>
      <c r="V1896" s="8" t="str">
        <f t="shared" si="178"/>
        <v>Tue</v>
      </c>
    </row>
    <row r="1897" spans="1:22" hidden="1" x14ac:dyDescent="0.25">
      <c r="A1897" t="s">
        <v>439</v>
      </c>
      <c r="B1897" t="s">
        <v>37</v>
      </c>
      <c r="C1897" t="s">
        <v>43</v>
      </c>
      <c r="D1897" t="s">
        <v>12</v>
      </c>
      <c r="F1897" s="5">
        <v>44264</v>
      </c>
      <c r="G1897" s="5">
        <v>44271</v>
      </c>
      <c r="H1897" s="2">
        <v>1</v>
      </c>
      <c r="I1897" s="6"/>
      <c r="J1897" s="6"/>
      <c r="K1897" s="7">
        <v>0.75</v>
      </c>
      <c r="L1897" s="7">
        <v>294.5514</v>
      </c>
      <c r="M1897" t="s">
        <v>17</v>
      </c>
      <c r="N1897" s="16">
        <f>POWER(SQRT(WorkOrders279[[#This Row],[WorkDate]]-WorkOrders279[[#This Row],[ReqDate]]),2)</f>
        <v>7.0000000000000009</v>
      </c>
      <c r="O1897" s="8">
        <f t="array" ref="O1897">INDEX(TechRate,MATCH(H1897,TechNum,0))</f>
        <v>80</v>
      </c>
      <c r="P1897" s="10">
        <f>WorkOrders279[[#This Row],[Techs]]*(WorkOrders279[[#This Row],[PartsCost]]*WorkOrders279[[#This Row],[LbrHrs]])</f>
        <v>220.91354999999999</v>
      </c>
      <c r="Q1897" s="10">
        <f t="shared" si="173"/>
        <v>220.91354999999999</v>
      </c>
      <c r="R1897" s="10">
        <f t="shared" si="174"/>
        <v>294.5514</v>
      </c>
      <c r="S1897" s="10">
        <f t="shared" si="175"/>
        <v>515.46495000000004</v>
      </c>
      <c r="T1897" s="10">
        <f t="shared" si="176"/>
        <v>515.46495000000004</v>
      </c>
      <c r="U1897" s="8" t="str">
        <f t="shared" si="177"/>
        <v>Tue</v>
      </c>
      <c r="V1897" s="8" t="str">
        <f t="shared" si="178"/>
        <v>Tue</v>
      </c>
    </row>
    <row r="1898" spans="1:22" hidden="1" x14ac:dyDescent="0.25">
      <c r="A1898" t="s">
        <v>440</v>
      </c>
      <c r="B1898" t="s">
        <v>38</v>
      </c>
      <c r="C1898" t="s">
        <v>8</v>
      </c>
      <c r="D1898" t="s">
        <v>13</v>
      </c>
      <c r="F1898" s="5">
        <v>44264</v>
      </c>
      <c r="G1898" s="5">
        <v>44341</v>
      </c>
      <c r="H1898" s="2">
        <v>2</v>
      </c>
      <c r="I1898" s="6"/>
      <c r="J1898" s="6"/>
      <c r="K1898" s="7">
        <v>1</v>
      </c>
      <c r="L1898" s="7">
        <v>28.5</v>
      </c>
      <c r="M1898" t="s">
        <v>19</v>
      </c>
      <c r="N1898" s="16">
        <f>POWER(SQRT(WorkOrders279[[#This Row],[WorkDate]]-WorkOrders279[[#This Row],[ReqDate]]),2)</f>
        <v>77.000000000000014</v>
      </c>
      <c r="O1898" s="8">
        <f t="array" ref="O1898">INDEX(TechRate,MATCH(H1898,TechNum,0))</f>
        <v>140</v>
      </c>
      <c r="P1898" s="10">
        <f>WorkOrders279[[#This Row],[Techs]]*(WorkOrders279[[#This Row],[PartsCost]]*WorkOrders279[[#This Row],[LbrHrs]])</f>
        <v>57</v>
      </c>
      <c r="Q1898" s="10">
        <f t="shared" si="173"/>
        <v>57</v>
      </c>
      <c r="R1898" s="10">
        <f t="shared" si="174"/>
        <v>28.5</v>
      </c>
      <c r="S1898" s="10">
        <f t="shared" si="175"/>
        <v>85.5</v>
      </c>
      <c r="T1898" s="10">
        <f t="shared" si="176"/>
        <v>85.5</v>
      </c>
      <c r="U1898" s="8" t="str">
        <f t="shared" si="177"/>
        <v>Tue</v>
      </c>
      <c r="V1898" s="8" t="str">
        <f t="shared" si="178"/>
        <v>Tue</v>
      </c>
    </row>
    <row r="1899" spans="1:22" hidden="1" x14ac:dyDescent="0.25">
      <c r="A1899" t="s">
        <v>441</v>
      </c>
      <c r="B1899" t="s">
        <v>40</v>
      </c>
      <c r="C1899" t="s">
        <v>7</v>
      </c>
      <c r="D1899" t="s">
        <v>1</v>
      </c>
      <c r="F1899" s="5">
        <v>44265</v>
      </c>
      <c r="G1899" s="5">
        <v>44267</v>
      </c>
      <c r="H1899" s="2">
        <v>2</v>
      </c>
      <c r="I1899" s="6"/>
      <c r="J1899" s="6"/>
      <c r="K1899" s="7">
        <v>1.5</v>
      </c>
      <c r="L1899" s="7">
        <v>50</v>
      </c>
      <c r="M1899" t="s">
        <v>17</v>
      </c>
      <c r="N1899" s="16">
        <f>POWER(SQRT(WorkOrders279[[#This Row],[WorkDate]]-WorkOrders279[[#This Row],[ReqDate]]),2)</f>
        <v>2.0000000000000004</v>
      </c>
      <c r="O1899" s="8">
        <f t="array" ref="O1899">INDEX(TechRate,MATCH(H1899,TechNum,0))</f>
        <v>140</v>
      </c>
      <c r="P1899" s="10">
        <f>WorkOrders279[[#This Row],[Techs]]*(WorkOrders279[[#This Row],[PartsCost]]*WorkOrders279[[#This Row],[LbrHrs]])</f>
        <v>150</v>
      </c>
      <c r="Q1899" s="10">
        <f t="shared" si="173"/>
        <v>150</v>
      </c>
      <c r="R1899" s="10">
        <f t="shared" si="174"/>
        <v>50</v>
      </c>
      <c r="S1899" s="10">
        <f t="shared" si="175"/>
        <v>200</v>
      </c>
      <c r="T1899" s="10">
        <f t="shared" si="176"/>
        <v>200</v>
      </c>
      <c r="U1899" s="8" t="str">
        <f t="shared" si="177"/>
        <v>Wed</v>
      </c>
      <c r="V1899" s="8" t="str">
        <f t="shared" si="178"/>
        <v>Fri</v>
      </c>
    </row>
    <row r="1900" spans="1:22" hidden="1" x14ac:dyDescent="0.25">
      <c r="A1900" t="s">
        <v>442</v>
      </c>
      <c r="B1900" t="s">
        <v>39</v>
      </c>
      <c r="C1900" t="s">
        <v>8</v>
      </c>
      <c r="D1900" t="s">
        <v>12</v>
      </c>
      <c r="F1900" s="5">
        <v>44265</v>
      </c>
      <c r="G1900" s="5">
        <v>44265</v>
      </c>
      <c r="H1900" s="2">
        <v>1</v>
      </c>
      <c r="I1900" s="6"/>
      <c r="J1900" s="6"/>
      <c r="K1900" s="7">
        <v>0.5</v>
      </c>
      <c r="L1900" s="7">
        <v>10</v>
      </c>
      <c r="M1900" t="s">
        <v>17</v>
      </c>
      <c r="N1900" s="16">
        <f>POWER(SQRT(WorkOrders279[[#This Row],[WorkDate]]-WorkOrders279[[#This Row],[ReqDate]]),2)</f>
        <v>0</v>
      </c>
      <c r="O1900" s="8">
        <f t="array" ref="O1900">INDEX(TechRate,MATCH(H1900,TechNum,0))</f>
        <v>80</v>
      </c>
      <c r="P1900" s="10">
        <f>WorkOrders279[[#This Row],[Techs]]*(WorkOrders279[[#This Row],[PartsCost]]*WorkOrders279[[#This Row],[LbrHrs]])</f>
        <v>5</v>
      </c>
      <c r="Q1900" s="10">
        <f t="shared" si="173"/>
        <v>5</v>
      </c>
      <c r="R1900" s="10">
        <f t="shared" si="174"/>
        <v>10</v>
      </c>
      <c r="S1900" s="10">
        <f t="shared" si="175"/>
        <v>15</v>
      </c>
      <c r="T1900" s="10">
        <f t="shared" si="176"/>
        <v>15</v>
      </c>
      <c r="U1900" s="8" t="str">
        <f t="shared" si="177"/>
        <v>Wed</v>
      </c>
      <c r="V1900" s="8" t="str">
        <f t="shared" si="178"/>
        <v>Wed</v>
      </c>
    </row>
    <row r="1901" spans="1:22" hidden="1" x14ac:dyDescent="0.25">
      <c r="A1901" t="s">
        <v>443</v>
      </c>
      <c r="B1901" t="s">
        <v>36</v>
      </c>
      <c r="C1901" t="s">
        <v>7</v>
      </c>
      <c r="D1901" t="s">
        <v>1</v>
      </c>
      <c r="E1901" t="s">
        <v>3</v>
      </c>
      <c r="F1901" s="5">
        <v>44265</v>
      </c>
      <c r="G1901" s="5">
        <v>44272</v>
      </c>
      <c r="H1901" s="2">
        <v>2</v>
      </c>
      <c r="I1901" s="6"/>
      <c r="J1901" s="6"/>
      <c r="K1901" s="7">
        <v>1.5</v>
      </c>
      <c r="L1901" s="7">
        <v>29.33</v>
      </c>
      <c r="M1901" t="s">
        <v>17</v>
      </c>
      <c r="N1901" s="16">
        <f>POWER(SQRT(WorkOrders279[[#This Row],[WorkDate]]-WorkOrders279[[#This Row],[ReqDate]]),2)</f>
        <v>7.0000000000000009</v>
      </c>
      <c r="O1901" s="8">
        <f t="array" ref="O1901">INDEX(TechRate,MATCH(H1901,TechNum,0))</f>
        <v>140</v>
      </c>
      <c r="P1901" s="10">
        <f>WorkOrders279[[#This Row],[Techs]]*(WorkOrders279[[#This Row],[PartsCost]]*WorkOrders279[[#This Row],[LbrHrs]])</f>
        <v>87.99</v>
      </c>
      <c r="Q1901" s="10">
        <f t="shared" si="173"/>
        <v>87.99</v>
      </c>
      <c r="R1901" s="10">
        <f t="shared" si="174"/>
        <v>29.33</v>
      </c>
      <c r="S1901" s="10">
        <f t="shared" si="175"/>
        <v>117.32</v>
      </c>
      <c r="T1901" s="10">
        <f t="shared" si="176"/>
        <v>117.32</v>
      </c>
      <c r="U1901" s="8" t="str">
        <f t="shared" si="177"/>
        <v>Wed</v>
      </c>
      <c r="V1901" s="8" t="str">
        <f t="shared" si="178"/>
        <v>Wed</v>
      </c>
    </row>
    <row r="1902" spans="1:22" hidden="1" x14ac:dyDescent="0.25">
      <c r="A1902" t="s">
        <v>444</v>
      </c>
      <c r="B1902" t="s">
        <v>37</v>
      </c>
      <c r="C1902" t="s">
        <v>9</v>
      </c>
      <c r="D1902" t="s">
        <v>12</v>
      </c>
      <c r="E1902" t="s">
        <v>3</v>
      </c>
      <c r="F1902" s="5">
        <v>44265</v>
      </c>
      <c r="G1902" s="5">
        <v>44272</v>
      </c>
      <c r="H1902" s="2">
        <v>1</v>
      </c>
      <c r="I1902" s="6"/>
      <c r="J1902" s="6" t="s">
        <v>3</v>
      </c>
      <c r="K1902" s="7">
        <v>0.25</v>
      </c>
      <c r="L1902" s="7">
        <v>19.196999999999999</v>
      </c>
      <c r="M1902" t="s">
        <v>18</v>
      </c>
      <c r="N1902" s="16">
        <f>POWER(SQRT(WorkOrders279[[#This Row],[WorkDate]]-WorkOrders279[[#This Row],[ReqDate]]),2)</f>
        <v>7.0000000000000009</v>
      </c>
      <c r="O1902" s="8">
        <f t="array" ref="O1902">INDEX(TechRate,MATCH(H1902,TechNum,0))</f>
        <v>80</v>
      </c>
      <c r="P1902" s="10">
        <f>WorkOrders279[[#This Row],[Techs]]*(WorkOrders279[[#This Row],[PartsCost]]*WorkOrders279[[#This Row],[LbrHrs]])</f>
        <v>4.7992499999999998</v>
      </c>
      <c r="Q1902" s="10">
        <f t="shared" si="173"/>
        <v>4.7992499999999998</v>
      </c>
      <c r="R1902" s="10">
        <f t="shared" si="174"/>
        <v>0</v>
      </c>
      <c r="S1902" s="10">
        <f t="shared" si="175"/>
        <v>23.99625</v>
      </c>
      <c r="T1902" s="10">
        <f t="shared" si="176"/>
        <v>4.7992499999999998</v>
      </c>
      <c r="U1902" s="8" t="str">
        <f t="shared" si="177"/>
        <v>Wed</v>
      </c>
      <c r="V1902" s="8" t="str">
        <f t="shared" si="178"/>
        <v>Wed</v>
      </c>
    </row>
    <row r="1903" spans="1:22" hidden="1" x14ac:dyDescent="0.25">
      <c r="A1903" t="s">
        <v>445</v>
      </c>
      <c r="B1903" t="s">
        <v>38</v>
      </c>
      <c r="C1903" t="s">
        <v>8</v>
      </c>
      <c r="D1903" t="s">
        <v>13</v>
      </c>
      <c r="F1903" s="5">
        <v>44265</v>
      </c>
      <c r="G1903" s="5">
        <v>44272</v>
      </c>
      <c r="H1903" s="2">
        <v>2</v>
      </c>
      <c r="I1903" s="6"/>
      <c r="J1903" s="6"/>
      <c r="K1903" s="7">
        <v>0.5</v>
      </c>
      <c r="L1903" s="7">
        <v>24.186499999999999</v>
      </c>
      <c r="M1903" t="s">
        <v>18</v>
      </c>
      <c r="N1903" s="16">
        <f>POWER(SQRT(WorkOrders279[[#This Row],[WorkDate]]-WorkOrders279[[#This Row],[ReqDate]]),2)</f>
        <v>7.0000000000000009</v>
      </c>
      <c r="O1903" s="8">
        <f t="array" ref="O1903">INDEX(TechRate,MATCH(H1903,TechNum,0))</f>
        <v>140</v>
      </c>
      <c r="P1903" s="10">
        <f>WorkOrders279[[#This Row],[Techs]]*(WorkOrders279[[#This Row],[PartsCost]]*WorkOrders279[[#This Row],[LbrHrs]])</f>
        <v>24.186499999999999</v>
      </c>
      <c r="Q1903" s="10">
        <f t="shared" si="173"/>
        <v>24.186499999999999</v>
      </c>
      <c r="R1903" s="10">
        <f t="shared" si="174"/>
        <v>24.186499999999999</v>
      </c>
      <c r="S1903" s="10">
        <f t="shared" si="175"/>
        <v>48.372999999999998</v>
      </c>
      <c r="T1903" s="10">
        <f t="shared" si="176"/>
        <v>48.372999999999998</v>
      </c>
      <c r="U1903" s="8" t="str">
        <f t="shared" si="177"/>
        <v>Wed</v>
      </c>
      <c r="V1903" s="8" t="str">
        <f t="shared" si="178"/>
        <v>Wed</v>
      </c>
    </row>
    <row r="1904" spans="1:22" hidden="1" x14ac:dyDescent="0.25">
      <c r="A1904" t="s">
        <v>446</v>
      </c>
      <c r="B1904" t="s">
        <v>40</v>
      </c>
      <c r="C1904" t="s">
        <v>7</v>
      </c>
      <c r="D1904" t="s">
        <v>12</v>
      </c>
      <c r="F1904" s="5">
        <v>44265</v>
      </c>
      <c r="G1904" s="5">
        <v>44273</v>
      </c>
      <c r="H1904" s="2">
        <v>2</v>
      </c>
      <c r="I1904" s="6"/>
      <c r="J1904" s="6"/>
      <c r="K1904" s="7">
        <v>0.5</v>
      </c>
      <c r="L1904" s="7">
        <v>159</v>
      </c>
      <c r="M1904" t="s">
        <v>17</v>
      </c>
      <c r="N1904" s="16">
        <f>POWER(SQRT(WorkOrders279[[#This Row],[WorkDate]]-WorkOrders279[[#This Row],[ReqDate]]),2)</f>
        <v>8.0000000000000018</v>
      </c>
      <c r="O1904" s="8">
        <f t="array" ref="O1904">INDEX(TechRate,MATCH(H1904,TechNum,0))</f>
        <v>140</v>
      </c>
      <c r="P1904" s="10">
        <f>WorkOrders279[[#This Row],[Techs]]*(WorkOrders279[[#This Row],[PartsCost]]*WorkOrders279[[#This Row],[LbrHrs]])</f>
        <v>159</v>
      </c>
      <c r="Q1904" s="10">
        <f t="shared" si="173"/>
        <v>159</v>
      </c>
      <c r="R1904" s="10">
        <f t="shared" si="174"/>
        <v>159</v>
      </c>
      <c r="S1904" s="10">
        <f t="shared" si="175"/>
        <v>318</v>
      </c>
      <c r="T1904" s="10">
        <f t="shared" si="176"/>
        <v>318</v>
      </c>
      <c r="U1904" s="8" t="str">
        <f t="shared" si="177"/>
        <v>Wed</v>
      </c>
      <c r="V1904" s="8" t="str">
        <f t="shared" si="178"/>
        <v>Thu</v>
      </c>
    </row>
    <row r="1905" spans="1:22" hidden="1" x14ac:dyDescent="0.25">
      <c r="A1905" t="s">
        <v>447</v>
      </c>
      <c r="B1905" t="s">
        <v>39</v>
      </c>
      <c r="C1905" t="s">
        <v>9</v>
      </c>
      <c r="D1905" t="s">
        <v>12</v>
      </c>
      <c r="F1905" s="5">
        <v>44265</v>
      </c>
      <c r="G1905" s="5">
        <v>44279</v>
      </c>
      <c r="H1905" s="2">
        <v>2</v>
      </c>
      <c r="I1905" s="6"/>
      <c r="J1905" s="6" t="s">
        <v>3</v>
      </c>
      <c r="K1905" s="7">
        <v>0.5</v>
      </c>
      <c r="L1905" s="7">
        <v>411.09530000000001</v>
      </c>
      <c r="M1905" t="s">
        <v>18</v>
      </c>
      <c r="N1905" s="16">
        <f>POWER(SQRT(WorkOrders279[[#This Row],[WorkDate]]-WorkOrders279[[#This Row],[ReqDate]]),2)</f>
        <v>14</v>
      </c>
      <c r="O1905" s="8">
        <f t="array" ref="O1905">INDEX(TechRate,MATCH(H1905,TechNum,0))</f>
        <v>140</v>
      </c>
      <c r="P1905" s="10">
        <f>WorkOrders279[[#This Row],[Techs]]*(WorkOrders279[[#This Row],[PartsCost]]*WorkOrders279[[#This Row],[LbrHrs]])</f>
        <v>411.09530000000001</v>
      </c>
      <c r="Q1905" s="10">
        <f t="shared" si="173"/>
        <v>411.09530000000001</v>
      </c>
      <c r="R1905" s="10">
        <f t="shared" si="174"/>
        <v>0</v>
      </c>
      <c r="S1905" s="10">
        <f t="shared" si="175"/>
        <v>822.19060000000002</v>
      </c>
      <c r="T1905" s="10">
        <f t="shared" si="176"/>
        <v>411.09530000000001</v>
      </c>
      <c r="U1905" s="8" t="str">
        <f t="shared" si="177"/>
        <v>Wed</v>
      </c>
      <c r="V1905" s="8" t="str">
        <f t="shared" si="178"/>
        <v>Wed</v>
      </c>
    </row>
    <row r="1906" spans="1:22" hidden="1" x14ac:dyDescent="0.25">
      <c r="A1906" t="s">
        <v>448</v>
      </c>
      <c r="B1906" t="s">
        <v>36</v>
      </c>
      <c r="C1906" t="s">
        <v>7</v>
      </c>
      <c r="D1906" t="s">
        <v>12</v>
      </c>
      <c r="F1906" s="5">
        <v>44265</v>
      </c>
      <c r="G1906" s="5">
        <v>44294</v>
      </c>
      <c r="H1906" s="2">
        <v>1</v>
      </c>
      <c r="I1906" s="6"/>
      <c r="J1906" s="6"/>
      <c r="K1906" s="7">
        <v>0.75</v>
      </c>
      <c r="L1906" s="7">
        <v>58.361699999999999</v>
      </c>
      <c r="M1906" t="s">
        <v>17</v>
      </c>
      <c r="N1906" s="16">
        <f>POWER(SQRT(WorkOrders279[[#This Row],[WorkDate]]-WorkOrders279[[#This Row],[ReqDate]]),2)</f>
        <v>28.999999999999996</v>
      </c>
      <c r="O1906" s="8">
        <f t="array" ref="O1906">INDEX(TechRate,MATCH(H1906,TechNum,0))</f>
        <v>80</v>
      </c>
      <c r="P1906" s="10">
        <f>WorkOrders279[[#This Row],[Techs]]*(WorkOrders279[[#This Row],[PartsCost]]*WorkOrders279[[#This Row],[LbrHrs]])</f>
        <v>43.771275000000003</v>
      </c>
      <c r="Q1906" s="10">
        <f t="shared" si="173"/>
        <v>43.771275000000003</v>
      </c>
      <c r="R1906" s="10">
        <f t="shared" si="174"/>
        <v>58.361699999999999</v>
      </c>
      <c r="S1906" s="10">
        <f t="shared" si="175"/>
        <v>102.132975</v>
      </c>
      <c r="T1906" s="10">
        <f t="shared" si="176"/>
        <v>102.132975</v>
      </c>
      <c r="U1906" s="8" t="str">
        <f t="shared" si="177"/>
        <v>Wed</v>
      </c>
      <c r="V1906" s="8" t="str">
        <f t="shared" si="178"/>
        <v>Thu</v>
      </c>
    </row>
    <row r="1907" spans="1:22" hidden="1" x14ac:dyDescent="0.25">
      <c r="A1907" t="s">
        <v>449</v>
      </c>
      <c r="B1907" t="s">
        <v>39</v>
      </c>
      <c r="C1907" t="s">
        <v>9</v>
      </c>
      <c r="D1907" t="s">
        <v>2</v>
      </c>
      <c r="F1907" s="5">
        <v>44265</v>
      </c>
      <c r="G1907" s="5">
        <v>44306</v>
      </c>
      <c r="H1907" s="2">
        <v>1</v>
      </c>
      <c r="I1907" s="6"/>
      <c r="J1907" s="6" t="s">
        <v>3</v>
      </c>
      <c r="K1907" s="7">
        <v>1.75</v>
      </c>
      <c r="L1907" s="7">
        <v>98.547600000000003</v>
      </c>
      <c r="M1907" t="s">
        <v>18</v>
      </c>
      <c r="N1907" s="16">
        <f>POWER(SQRT(WorkOrders279[[#This Row],[WorkDate]]-WorkOrders279[[#This Row],[ReqDate]]),2)</f>
        <v>41</v>
      </c>
      <c r="O1907" s="8">
        <f t="array" ref="O1907">INDEX(TechRate,MATCH(H1907,TechNum,0))</f>
        <v>80</v>
      </c>
      <c r="P1907" s="10">
        <f>WorkOrders279[[#This Row],[Techs]]*(WorkOrders279[[#This Row],[PartsCost]]*WorkOrders279[[#This Row],[LbrHrs]])</f>
        <v>172.45830000000001</v>
      </c>
      <c r="Q1907" s="10">
        <f t="shared" si="173"/>
        <v>172.45830000000001</v>
      </c>
      <c r="R1907" s="10">
        <f t="shared" si="174"/>
        <v>0</v>
      </c>
      <c r="S1907" s="10">
        <f t="shared" si="175"/>
        <v>271.0059</v>
      </c>
      <c r="T1907" s="10">
        <f t="shared" si="176"/>
        <v>172.45830000000001</v>
      </c>
      <c r="U1907" s="8" t="str">
        <f t="shared" si="177"/>
        <v>Wed</v>
      </c>
      <c r="V1907" s="8" t="str">
        <f t="shared" si="178"/>
        <v>Tue</v>
      </c>
    </row>
    <row r="1908" spans="1:22" hidden="1" x14ac:dyDescent="0.25">
      <c r="A1908" t="s">
        <v>450</v>
      </c>
      <c r="B1908" t="s">
        <v>40</v>
      </c>
      <c r="C1908" t="s">
        <v>7</v>
      </c>
      <c r="D1908" t="s">
        <v>2</v>
      </c>
      <c r="F1908" s="5">
        <v>44265</v>
      </c>
      <c r="G1908" s="5">
        <v>44307</v>
      </c>
      <c r="H1908" s="2">
        <v>2</v>
      </c>
      <c r="I1908" s="6" t="s">
        <v>3</v>
      </c>
      <c r="J1908" s="6" t="s">
        <v>3</v>
      </c>
      <c r="K1908" s="7">
        <v>2</v>
      </c>
      <c r="L1908" s="7">
        <v>145.14920000000001</v>
      </c>
      <c r="M1908" t="s">
        <v>20</v>
      </c>
      <c r="N1908" s="16">
        <f>POWER(SQRT(WorkOrders279[[#This Row],[WorkDate]]-WorkOrders279[[#This Row],[ReqDate]]),2)</f>
        <v>42</v>
      </c>
      <c r="O1908" s="8">
        <f t="array" ref="O1908">INDEX(TechRate,MATCH(H1908,TechNum,0))</f>
        <v>140</v>
      </c>
      <c r="P1908" s="10">
        <f>WorkOrders279[[#This Row],[Techs]]*(WorkOrders279[[#This Row],[PartsCost]]*WorkOrders279[[#This Row],[LbrHrs]])</f>
        <v>580.59680000000003</v>
      </c>
      <c r="Q1908" s="10">
        <f t="shared" si="173"/>
        <v>0</v>
      </c>
      <c r="R1908" s="10">
        <f t="shared" si="174"/>
        <v>0</v>
      </c>
      <c r="S1908" s="10">
        <f t="shared" si="175"/>
        <v>725.74600000000009</v>
      </c>
      <c r="T1908" s="10">
        <f t="shared" si="176"/>
        <v>0</v>
      </c>
      <c r="U1908" s="8" t="str">
        <f t="shared" si="177"/>
        <v>Wed</v>
      </c>
      <c r="V1908" s="8" t="str">
        <f t="shared" si="178"/>
        <v>Wed</v>
      </c>
    </row>
    <row r="1909" spans="1:22" hidden="1" x14ac:dyDescent="0.25">
      <c r="A1909" t="s">
        <v>451</v>
      </c>
      <c r="B1909" t="s">
        <v>39</v>
      </c>
      <c r="C1909" t="s">
        <v>9</v>
      </c>
      <c r="D1909" t="s">
        <v>13</v>
      </c>
      <c r="F1909" s="5">
        <v>44266</v>
      </c>
      <c r="G1909" s="5">
        <v>44266</v>
      </c>
      <c r="H1909" s="2">
        <v>2</v>
      </c>
      <c r="I1909" s="6"/>
      <c r="J1909" s="6"/>
      <c r="K1909" s="7">
        <v>0.75</v>
      </c>
      <c r="L1909" s="7">
        <v>125.7273</v>
      </c>
      <c r="M1909" t="s">
        <v>17</v>
      </c>
      <c r="N1909" s="16">
        <f>POWER(SQRT(WorkOrders279[[#This Row],[WorkDate]]-WorkOrders279[[#This Row],[ReqDate]]),2)</f>
        <v>0</v>
      </c>
      <c r="O1909" s="8">
        <f t="array" ref="O1909">INDEX(TechRate,MATCH(H1909,TechNum,0))</f>
        <v>140</v>
      </c>
      <c r="P1909" s="10">
        <f>WorkOrders279[[#This Row],[Techs]]*(WorkOrders279[[#This Row],[PartsCost]]*WorkOrders279[[#This Row],[LbrHrs]])</f>
        <v>188.59094999999999</v>
      </c>
      <c r="Q1909" s="10">
        <f t="shared" si="173"/>
        <v>188.59094999999999</v>
      </c>
      <c r="R1909" s="10">
        <f t="shared" si="174"/>
        <v>125.7273</v>
      </c>
      <c r="S1909" s="10">
        <f t="shared" si="175"/>
        <v>314.31824999999998</v>
      </c>
      <c r="T1909" s="10">
        <f t="shared" si="176"/>
        <v>314.31824999999998</v>
      </c>
      <c r="U1909" s="8" t="str">
        <f t="shared" si="177"/>
        <v>Thu</v>
      </c>
      <c r="V1909" s="8" t="str">
        <f t="shared" si="178"/>
        <v>Thu</v>
      </c>
    </row>
    <row r="1910" spans="1:22" hidden="1" x14ac:dyDescent="0.25">
      <c r="A1910" t="s">
        <v>452</v>
      </c>
      <c r="B1910" t="s">
        <v>35</v>
      </c>
      <c r="C1910" t="s">
        <v>8</v>
      </c>
      <c r="D1910" t="s">
        <v>12</v>
      </c>
      <c r="E1910" t="s">
        <v>3</v>
      </c>
      <c r="F1910" s="5">
        <v>44266</v>
      </c>
      <c r="G1910" s="5">
        <v>44348</v>
      </c>
      <c r="H1910" s="2">
        <v>1</v>
      </c>
      <c r="I1910" s="6"/>
      <c r="J1910" s="6"/>
      <c r="K1910" s="7">
        <v>0.25</v>
      </c>
      <c r="L1910" s="7">
        <v>204.28399999999999</v>
      </c>
      <c r="M1910" t="s">
        <v>18</v>
      </c>
      <c r="N1910" s="16">
        <f>POWER(SQRT(WorkOrders279[[#This Row],[WorkDate]]-WorkOrders279[[#This Row],[ReqDate]]),2)</f>
        <v>82.000000000000014</v>
      </c>
      <c r="O1910" s="8">
        <f t="array" ref="O1910">INDEX(TechRate,MATCH(H1910,TechNum,0))</f>
        <v>80</v>
      </c>
      <c r="P1910" s="10">
        <f>WorkOrders279[[#This Row],[Techs]]*(WorkOrders279[[#This Row],[PartsCost]]*WorkOrders279[[#This Row],[LbrHrs]])</f>
        <v>51.070999999999998</v>
      </c>
      <c r="Q1910" s="10">
        <f t="shared" si="173"/>
        <v>51.070999999999998</v>
      </c>
      <c r="R1910" s="10">
        <f t="shared" si="174"/>
        <v>204.28399999999999</v>
      </c>
      <c r="S1910" s="10">
        <f t="shared" si="175"/>
        <v>255.35499999999999</v>
      </c>
      <c r="T1910" s="10">
        <f t="shared" si="176"/>
        <v>255.35499999999999</v>
      </c>
      <c r="U1910" s="8" t="str">
        <f t="shared" si="177"/>
        <v>Thu</v>
      </c>
      <c r="V1910" s="8" t="str">
        <f t="shared" si="178"/>
        <v>Tue</v>
      </c>
    </row>
    <row r="1911" spans="1:22" hidden="1" x14ac:dyDescent="0.25">
      <c r="A1911" t="s">
        <v>453</v>
      </c>
      <c r="B1911" t="s">
        <v>34</v>
      </c>
      <c r="C1911" t="s">
        <v>44</v>
      </c>
      <c r="D1911" t="s">
        <v>11</v>
      </c>
      <c r="F1911" s="5">
        <v>44266</v>
      </c>
      <c r="G1911" s="5">
        <v>44394</v>
      </c>
      <c r="H1911" s="2">
        <v>1</v>
      </c>
      <c r="I1911" s="6"/>
      <c r="J1911" s="6"/>
      <c r="K1911" s="7">
        <v>0.25</v>
      </c>
      <c r="L1911" s="7">
        <v>120</v>
      </c>
      <c r="M1911" t="s">
        <v>17</v>
      </c>
      <c r="N1911" s="16">
        <f>POWER(SQRT(WorkOrders279[[#This Row],[WorkDate]]-WorkOrders279[[#This Row],[ReqDate]]),2)</f>
        <v>128.00000000000003</v>
      </c>
      <c r="O1911" s="8">
        <f t="array" ref="O1911">INDEX(TechRate,MATCH(H1911,TechNum,0))</f>
        <v>80</v>
      </c>
      <c r="P1911" s="10">
        <f>WorkOrders279[[#This Row],[Techs]]*(WorkOrders279[[#This Row],[PartsCost]]*WorkOrders279[[#This Row],[LbrHrs]])</f>
        <v>30</v>
      </c>
      <c r="Q1911" s="10">
        <f t="shared" si="173"/>
        <v>30</v>
      </c>
      <c r="R1911" s="10">
        <f t="shared" si="174"/>
        <v>120</v>
      </c>
      <c r="S1911" s="10">
        <f t="shared" si="175"/>
        <v>150</v>
      </c>
      <c r="T1911" s="10">
        <f t="shared" si="176"/>
        <v>150</v>
      </c>
      <c r="U1911" s="8" t="str">
        <f t="shared" si="177"/>
        <v>Thu</v>
      </c>
      <c r="V1911" s="8" t="str">
        <f t="shared" si="178"/>
        <v>Sat</v>
      </c>
    </row>
    <row r="1912" spans="1:22" hidden="1" x14ac:dyDescent="0.25">
      <c r="A1912" t="s">
        <v>454</v>
      </c>
      <c r="B1912" t="s">
        <v>36</v>
      </c>
      <c r="C1912" t="s">
        <v>7</v>
      </c>
      <c r="D1912" t="s">
        <v>12</v>
      </c>
      <c r="F1912" s="5">
        <v>44270</v>
      </c>
      <c r="G1912" s="5">
        <v>44282</v>
      </c>
      <c r="H1912" s="2">
        <v>2</v>
      </c>
      <c r="I1912" s="6"/>
      <c r="J1912" s="6"/>
      <c r="K1912" s="7">
        <v>1</v>
      </c>
      <c r="L1912" s="7">
        <v>203</v>
      </c>
      <c r="M1912" t="s">
        <v>17</v>
      </c>
      <c r="N1912" s="16">
        <f>POWER(SQRT(WorkOrders279[[#This Row],[WorkDate]]-WorkOrders279[[#This Row],[ReqDate]]),2)</f>
        <v>11.999999999999998</v>
      </c>
      <c r="O1912" s="8">
        <f t="array" ref="O1912">INDEX(TechRate,MATCH(H1912,TechNum,0))</f>
        <v>140</v>
      </c>
      <c r="P1912" s="10">
        <f>WorkOrders279[[#This Row],[Techs]]*(WorkOrders279[[#This Row],[PartsCost]]*WorkOrders279[[#This Row],[LbrHrs]])</f>
        <v>406</v>
      </c>
      <c r="Q1912" s="10">
        <f t="shared" si="173"/>
        <v>406</v>
      </c>
      <c r="R1912" s="10">
        <f t="shared" si="174"/>
        <v>203</v>
      </c>
      <c r="S1912" s="10">
        <f t="shared" si="175"/>
        <v>609</v>
      </c>
      <c r="T1912" s="10">
        <f t="shared" si="176"/>
        <v>609</v>
      </c>
      <c r="U1912" s="8" t="str">
        <f t="shared" si="177"/>
        <v>Mon</v>
      </c>
      <c r="V1912" s="8" t="str">
        <f t="shared" si="178"/>
        <v>Sat</v>
      </c>
    </row>
    <row r="1913" spans="1:22" hidden="1" x14ac:dyDescent="0.25">
      <c r="A1913" t="s">
        <v>455</v>
      </c>
      <c r="B1913" t="s">
        <v>40</v>
      </c>
      <c r="C1913" t="s">
        <v>7</v>
      </c>
      <c r="D1913" t="s">
        <v>12</v>
      </c>
      <c r="F1913" s="5">
        <v>44270</v>
      </c>
      <c r="G1913" s="5">
        <v>44278</v>
      </c>
      <c r="H1913" s="2">
        <v>2</v>
      </c>
      <c r="I1913" s="6" t="s">
        <v>3</v>
      </c>
      <c r="J1913" s="6" t="s">
        <v>3</v>
      </c>
      <c r="K1913" s="7">
        <v>0.75</v>
      </c>
      <c r="L1913" s="7">
        <v>222.33</v>
      </c>
      <c r="M1913" t="s">
        <v>20</v>
      </c>
      <c r="N1913" s="16">
        <f>POWER(SQRT(WorkOrders279[[#This Row],[WorkDate]]-WorkOrders279[[#This Row],[ReqDate]]),2)</f>
        <v>8.0000000000000018</v>
      </c>
      <c r="O1913" s="8">
        <f t="array" ref="O1913">INDEX(TechRate,MATCH(H1913,TechNum,0))</f>
        <v>140</v>
      </c>
      <c r="P1913" s="10">
        <f>WorkOrders279[[#This Row],[Techs]]*(WorkOrders279[[#This Row],[PartsCost]]*WorkOrders279[[#This Row],[LbrHrs]])</f>
        <v>333.495</v>
      </c>
      <c r="Q1913" s="10">
        <f t="shared" si="173"/>
        <v>0</v>
      </c>
      <c r="R1913" s="10">
        <f t="shared" si="174"/>
        <v>0</v>
      </c>
      <c r="S1913" s="10">
        <f t="shared" si="175"/>
        <v>555.82500000000005</v>
      </c>
      <c r="T1913" s="10">
        <f t="shared" si="176"/>
        <v>0</v>
      </c>
      <c r="U1913" s="8" t="str">
        <f t="shared" si="177"/>
        <v>Mon</v>
      </c>
      <c r="V1913" s="8" t="str">
        <f t="shared" si="178"/>
        <v>Tue</v>
      </c>
    </row>
    <row r="1914" spans="1:22" hidden="1" x14ac:dyDescent="0.25">
      <c r="A1914" t="s">
        <v>456</v>
      </c>
      <c r="B1914" t="s">
        <v>35</v>
      </c>
      <c r="C1914" t="s">
        <v>44</v>
      </c>
      <c r="D1914" t="s">
        <v>1</v>
      </c>
      <c r="F1914" s="5">
        <v>44270</v>
      </c>
      <c r="G1914" s="5">
        <v>44279</v>
      </c>
      <c r="H1914" s="2">
        <v>2</v>
      </c>
      <c r="I1914" s="6"/>
      <c r="J1914" s="6"/>
      <c r="K1914" s="7">
        <v>4.75</v>
      </c>
      <c r="L1914" s="7">
        <v>56.4</v>
      </c>
      <c r="M1914" t="s">
        <v>17</v>
      </c>
      <c r="N1914" s="16">
        <f>POWER(SQRT(WorkOrders279[[#This Row],[WorkDate]]-WorkOrders279[[#This Row],[ReqDate]]),2)</f>
        <v>9</v>
      </c>
      <c r="O1914" s="8">
        <f t="array" ref="O1914">INDEX(TechRate,MATCH(H1914,TechNum,0))</f>
        <v>140</v>
      </c>
      <c r="P1914" s="10">
        <f>WorkOrders279[[#This Row],[Techs]]*(WorkOrders279[[#This Row],[PartsCost]]*WorkOrders279[[#This Row],[LbrHrs]])</f>
        <v>535.79999999999995</v>
      </c>
      <c r="Q1914" s="10">
        <f t="shared" si="173"/>
        <v>535.79999999999995</v>
      </c>
      <c r="R1914" s="10">
        <f t="shared" si="174"/>
        <v>56.4</v>
      </c>
      <c r="S1914" s="10">
        <f t="shared" si="175"/>
        <v>592.19999999999993</v>
      </c>
      <c r="T1914" s="10">
        <f t="shared" si="176"/>
        <v>592.19999999999993</v>
      </c>
      <c r="U1914" s="8" t="str">
        <f t="shared" si="177"/>
        <v>Mon</v>
      </c>
      <c r="V1914" s="8" t="str">
        <f t="shared" si="178"/>
        <v>Wed</v>
      </c>
    </row>
    <row r="1915" spans="1:22" hidden="1" x14ac:dyDescent="0.25">
      <c r="A1915" t="s">
        <v>457</v>
      </c>
      <c r="B1915" t="s">
        <v>36</v>
      </c>
      <c r="C1915" t="s">
        <v>7</v>
      </c>
      <c r="D1915" t="s">
        <v>1</v>
      </c>
      <c r="F1915" s="5">
        <v>44270</v>
      </c>
      <c r="G1915" s="5">
        <v>44284</v>
      </c>
      <c r="H1915" s="2">
        <v>2</v>
      </c>
      <c r="I1915" s="6"/>
      <c r="J1915" s="6" t="s">
        <v>3</v>
      </c>
      <c r="K1915" s="7">
        <v>1</v>
      </c>
      <c r="L1915" s="7">
        <v>60</v>
      </c>
      <c r="M1915" t="s">
        <v>18</v>
      </c>
      <c r="N1915" s="16">
        <f>POWER(SQRT(WorkOrders279[[#This Row],[WorkDate]]-WorkOrders279[[#This Row],[ReqDate]]),2)</f>
        <v>14</v>
      </c>
      <c r="O1915" s="8">
        <f t="array" ref="O1915">INDEX(TechRate,MATCH(H1915,TechNum,0))</f>
        <v>140</v>
      </c>
      <c r="P1915" s="10">
        <f>WorkOrders279[[#This Row],[Techs]]*(WorkOrders279[[#This Row],[PartsCost]]*WorkOrders279[[#This Row],[LbrHrs]])</f>
        <v>120</v>
      </c>
      <c r="Q1915" s="10">
        <f t="shared" si="173"/>
        <v>120</v>
      </c>
      <c r="R1915" s="10">
        <f t="shared" si="174"/>
        <v>0</v>
      </c>
      <c r="S1915" s="10">
        <f t="shared" si="175"/>
        <v>180</v>
      </c>
      <c r="T1915" s="10">
        <f t="shared" si="176"/>
        <v>120</v>
      </c>
      <c r="U1915" s="8" t="str">
        <f t="shared" si="177"/>
        <v>Mon</v>
      </c>
      <c r="V1915" s="8" t="str">
        <f t="shared" si="178"/>
        <v>Mon</v>
      </c>
    </row>
    <row r="1916" spans="1:22" hidden="1" x14ac:dyDescent="0.25">
      <c r="A1916" t="s">
        <v>458</v>
      </c>
      <c r="B1916" t="s">
        <v>36</v>
      </c>
      <c r="C1916" t="s">
        <v>7</v>
      </c>
      <c r="D1916" t="s">
        <v>12</v>
      </c>
      <c r="F1916" s="5">
        <v>44270</v>
      </c>
      <c r="G1916" s="5">
        <v>44286</v>
      </c>
      <c r="H1916" s="2">
        <v>1</v>
      </c>
      <c r="I1916" s="6"/>
      <c r="J1916" s="6"/>
      <c r="K1916" s="7">
        <v>0.75</v>
      </c>
      <c r="L1916" s="7">
        <v>21.33</v>
      </c>
      <c r="M1916" t="s">
        <v>17</v>
      </c>
      <c r="N1916" s="16">
        <f>POWER(SQRT(WorkOrders279[[#This Row],[WorkDate]]-WorkOrders279[[#This Row],[ReqDate]]),2)</f>
        <v>16</v>
      </c>
      <c r="O1916" s="8">
        <f t="array" ref="O1916">INDEX(TechRate,MATCH(H1916,TechNum,0))</f>
        <v>80</v>
      </c>
      <c r="P1916" s="10">
        <f>WorkOrders279[[#This Row],[Techs]]*(WorkOrders279[[#This Row],[PartsCost]]*WorkOrders279[[#This Row],[LbrHrs]])</f>
        <v>15.997499999999999</v>
      </c>
      <c r="Q1916" s="10">
        <f t="shared" si="173"/>
        <v>15.997499999999999</v>
      </c>
      <c r="R1916" s="10">
        <f t="shared" si="174"/>
        <v>21.33</v>
      </c>
      <c r="S1916" s="10">
        <f t="shared" si="175"/>
        <v>37.327500000000001</v>
      </c>
      <c r="T1916" s="10">
        <f t="shared" si="176"/>
        <v>37.327500000000001</v>
      </c>
      <c r="U1916" s="8" t="str">
        <f t="shared" si="177"/>
        <v>Mon</v>
      </c>
      <c r="V1916" s="8" t="str">
        <f t="shared" si="178"/>
        <v>Wed</v>
      </c>
    </row>
    <row r="1917" spans="1:22" hidden="1" x14ac:dyDescent="0.25">
      <c r="A1917" t="s">
        <v>459</v>
      </c>
      <c r="B1917" t="s">
        <v>36</v>
      </c>
      <c r="C1917" t="s">
        <v>7</v>
      </c>
      <c r="D1917" t="s">
        <v>11</v>
      </c>
      <c r="F1917" s="5">
        <v>44270</v>
      </c>
      <c r="G1917" s="5">
        <v>44285</v>
      </c>
      <c r="H1917" s="2">
        <v>1</v>
      </c>
      <c r="I1917" s="6"/>
      <c r="J1917" s="6"/>
      <c r="K1917" s="7">
        <v>0.25</v>
      </c>
      <c r="L1917" s="7">
        <v>204.28399999999999</v>
      </c>
      <c r="M1917" t="s">
        <v>17</v>
      </c>
      <c r="N1917" s="16">
        <f>POWER(SQRT(WorkOrders279[[#This Row],[WorkDate]]-WorkOrders279[[#This Row],[ReqDate]]),2)</f>
        <v>15.000000000000002</v>
      </c>
      <c r="O1917" s="8">
        <f t="array" ref="O1917">INDEX(TechRate,MATCH(H1917,TechNum,0))</f>
        <v>80</v>
      </c>
      <c r="P1917" s="10">
        <f>WorkOrders279[[#This Row],[Techs]]*(WorkOrders279[[#This Row],[PartsCost]]*WorkOrders279[[#This Row],[LbrHrs]])</f>
        <v>51.070999999999998</v>
      </c>
      <c r="Q1917" s="10">
        <f t="shared" si="173"/>
        <v>51.070999999999998</v>
      </c>
      <c r="R1917" s="10">
        <f t="shared" si="174"/>
        <v>204.28399999999999</v>
      </c>
      <c r="S1917" s="10">
        <f t="shared" si="175"/>
        <v>255.35499999999999</v>
      </c>
      <c r="T1917" s="10">
        <f t="shared" si="176"/>
        <v>255.35499999999999</v>
      </c>
      <c r="U1917" s="8" t="str">
        <f t="shared" si="177"/>
        <v>Mon</v>
      </c>
      <c r="V1917" s="8" t="str">
        <f t="shared" si="178"/>
        <v>Tue</v>
      </c>
    </row>
    <row r="1918" spans="1:22" hidden="1" x14ac:dyDescent="0.25">
      <c r="A1918" t="s">
        <v>460</v>
      </c>
      <c r="B1918" t="s">
        <v>34</v>
      </c>
      <c r="C1918" t="s">
        <v>9</v>
      </c>
      <c r="D1918" t="s">
        <v>2</v>
      </c>
      <c r="F1918" s="5">
        <v>44270</v>
      </c>
      <c r="G1918" s="5">
        <v>44293</v>
      </c>
      <c r="H1918" s="2">
        <v>1</v>
      </c>
      <c r="I1918" s="6"/>
      <c r="J1918" s="6" t="s">
        <v>3</v>
      </c>
      <c r="K1918" s="7">
        <v>1.5</v>
      </c>
      <c r="L1918" s="7">
        <v>95.042900000000003</v>
      </c>
      <c r="M1918" t="s">
        <v>18</v>
      </c>
      <c r="N1918" s="16">
        <f>POWER(SQRT(WorkOrders279[[#This Row],[WorkDate]]-WorkOrders279[[#This Row],[ReqDate]]),2)</f>
        <v>22.999999999999996</v>
      </c>
      <c r="O1918" s="8">
        <f t="array" ref="O1918">INDEX(TechRate,MATCH(H1918,TechNum,0))</f>
        <v>80</v>
      </c>
      <c r="P1918" s="10">
        <f>WorkOrders279[[#This Row],[Techs]]*(WorkOrders279[[#This Row],[PartsCost]]*WorkOrders279[[#This Row],[LbrHrs]])</f>
        <v>142.56434999999999</v>
      </c>
      <c r="Q1918" s="10">
        <f t="shared" si="173"/>
        <v>142.56434999999999</v>
      </c>
      <c r="R1918" s="10">
        <f t="shared" si="174"/>
        <v>0</v>
      </c>
      <c r="S1918" s="10">
        <f t="shared" si="175"/>
        <v>237.60724999999999</v>
      </c>
      <c r="T1918" s="10">
        <f t="shared" si="176"/>
        <v>142.56434999999999</v>
      </c>
      <c r="U1918" s="8" t="str">
        <f t="shared" si="177"/>
        <v>Mon</v>
      </c>
      <c r="V1918" s="8" t="str">
        <f t="shared" si="178"/>
        <v>Wed</v>
      </c>
    </row>
    <row r="1919" spans="1:22" hidden="1" x14ac:dyDescent="0.25">
      <c r="A1919" t="s">
        <v>461</v>
      </c>
      <c r="B1919" t="s">
        <v>35</v>
      </c>
      <c r="C1919" t="s">
        <v>44</v>
      </c>
      <c r="D1919" t="s">
        <v>11</v>
      </c>
      <c r="E1919" t="s">
        <v>3</v>
      </c>
      <c r="F1919" s="5">
        <v>44270</v>
      </c>
      <c r="G1919" s="5">
        <v>44305</v>
      </c>
      <c r="H1919" s="2">
        <v>1</v>
      </c>
      <c r="I1919" s="6"/>
      <c r="J1919" s="6"/>
      <c r="K1919" s="7">
        <v>0.25</v>
      </c>
      <c r="L1919" s="7">
        <v>23.401</v>
      </c>
      <c r="M1919" t="s">
        <v>17</v>
      </c>
      <c r="N1919" s="16">
        <f>POWER(SQRT(WorkOrders279[[#This Row],[WorkDate]]-WorkOrders279[[#This Row],[ReqDate]]),2)</f>
        <v>35</v>
      </c>
      <c r="O1919" s="8">
        <f t="array" ref="O1919">INDEX(TechRate,MATCH(H1919,TechNum,0))</f>
        <v>80</v>
      </c>
      <c r="P1919" s="10">
        <f>WorkOrders279[[#This Row],[Techs]]*(WorkOrders279[[#This Row],[PartsCost]]*WorkOrders279[[#This Row],[LbrHrs]])</f>
        <v>5.85025</v>
      </c>
      <c r="Q1919" s="10">
        <f t="shared" si="173"/>
        <v>5.85025</v>
      </c>
      <c r="R1919" s="10">
        <f t="shared" si="174"/>
        <v>23.401</v>
      </c>
      <c r="S1919" s="10">
        <f t="shared" si="175"/>
        <v>29.251249999999999</v>
      </c>
      <c r="T1919" s="10">
        <f t="shared" si="176"/>
        <v>29.251249999999999</v>
      </c>
      <c r="U1919" s="8" t="str">
        <f t="shared" si="177"/>
        <v>Mon</v>
      </c>
      <c r="V1919" s="8" t="str">
        <f t="shared" si="178"/>
        <v>Mon</v>
      </c>
    </row>
    <row r="1920" spans="1:22" hidden="1" x14ac:dyDescent="0.25">
      <c r="A1920" t="s">
        <v>462</v>
      </c>
      <c r="B1920" t="s">
        <v>34</v>
      </c>
      <c r="C1920" t="s">
        <v>7</v>
      </c>
      <c r="D1920" t="s">
        <v>2</v>
      </c>
      <c r="F1920" s="5">
        <v>44270</v>
      </c>
      <c r="G1920" s="5">
        <v>44324</v>
      </c>
      <c r="H1920" s="2">
        <v>2</v>
      </c>
      <c r="I1920" s="6" t="s">
        <v>3</v>
      </c>
      <c r="J1920" s="6" t="s">
        <v>3</v>
      </c>
      <c r="K1920" s="7">
        <v>2.25</v>
      </c>
      <c r="L1920" s="7">
        <v>934.45389999999998</v>
      </c>
      <c r="M1920" t="s">
        <v>20</v>
      </c>
      <c r="N1920" s="16">
        <f>POWER(SQRT(WorkOrders279[[#This Row],[WorkDate]]-WorkOrders279[[#This Row],[ReqDate]]),2)</f>
        <v>54</v>
      </c>
      <c r="O1920" s="8">
        <f t="array" ref="O1920">INDEX(TechRate,MATCH(H1920,TechNum,0))</f>
        <v>140</v>
      </c>
      <c r="P1920" s="10">
        <f>WorkOrders279[[#This Row],[Techs]]*(WorkOrders279[[#This Row],[PartsCost]]*WorkOrders279[[#This Row],[LbrHrs]])</f>
        <v>4205.0425500000001</v>
      </c>
      <c r="Q1920" s="10">
        <f t="shared" si="173"/>
        <v>0</v>
      </c>
      <c r="R1920" s="10">
        <f t="shared" si="174"/>
        <v>0</v>
      </c>
      <c r="S1920" s="10">
        <f t="shared" si="175"/>
        <v>5139.4964500000006</v>
      </c>
      <c r="T1920" s="10">
        <f t="shared" si="176"/>
        <v>0</v>
      </c>
      <c r="U1920" s="8" t="str">
        <f t="shared" si="177"/>
        <v>Mon</v>
      </c>
      <c r="V1920" s="8" t="str">
        <f t="shared" si="178"/>
        <v>Sat</v>
      </c>
    </row>
    <row r="1921" spans="1:22" hidden="1" x14ac:dyDescent="0.25">
      <c r="A1921" t="s">
        <v>463</v>
      </c>
      <c r="B1921" t="s">
        <v>38</v>
      </c>
      <c r="C1921" t="s">
        <v>8</v>
      </c>
      <c r="D1921" t="s">
        <v>13</v>
      </c>
      <c r="F1921" s="5">
        <v>44271</v>
      </c>
      <c r="G1921" s="5">
        <v>44272</v>
      </c>
      <c r="H1921" s="2">
        <v>1</v>
      </c>
      <c r="I1921" s="6"/>
      <c r="J1921" s="6"/>
      <c r="K1921" s="7">
        <v>0.5</v>
      </c>
      <c r="L1921" s="7">
        <v>18</v>
      </c>
      <c r="M1921" t="s">
        <v>19</v>
      </c>
      <c r="N1921" s="16">
        <f>POWER(SQRT(WorkOrders279[[#This Row],[WorkDate]]-WorkOrders279[[#This Row],[ReqDate]]),2)</f>
        <v>1</v>
      </c>
      <c r="O1921" s="8">
        <f t="array" ref="O1921">INDEX(TechRate,MATCH(H1921,TechNum,0))</f>
        <v>80</v>
      </c>
      <c r="P1921" s="10">
        <f>WorkOrders279[[#This Row],[Techs]]*(WorkOrders279[[#This Row],[PartsCost]]*WorkOrders279[[#This Row],[LbrHrs]])</f>
        <v>9</v>
      </c>
      <c r="Q1921" s="10">
        <f t="shared" si="173"/>
        <v>9</v>
      </c>
      <c r="R1921" s="10">
        <f t="shared" si="174"/>
        <v>18</v>
      </c>
      <c r="S1921" s="10">
        <f t="shared" si="175"/>
        <v>27</v>
      </c>
      <c r="T1921" s="10">
        <f t="shared" si="176"/>
        <v>27</v>
      </c>
      <c r="U1921" s="8" t="str">
        <f t="shared" si="177"/>
        <v>Tue</v>
      </c>
      <c r="V1921" s="8" t="str">
        <f t="shared" si="178"/>
        <v>Wed</v>
      </c>
    </row>
    <row r="1922" spans="1:22" hidden="1" x14ac:dyDescent="0.25">
      <c r="A1922" t="s">
        <v>464</v>
      </c>
      <c r="B1922" t="s">
        <v>39</v>
      </c>
      <c r="C1922" t="s">
        <v>44</v>
      </c>
      <c r="D1922" t="s">
        <v>12</v>
      </c>
      <c r="E1922" t="s">
        <v>3</v>
      </c>
      <c r="F1922" s="5">
        <v>44271</v>
      </c>
      <c r="G1922" s="5">
        <v>44280</v>
      </c>
      <c r="H1922" s="2">
        <v>1</v>
      </c>
      <c r="I1922" s="6"/>
      <c r="J1922" s="6"/>
      <c r="K1922" s="7">
        <v>0.25</v>
      </c>
      <c r="L1922" s="7">
        <v>134.84690000000001</v>
      </c>
      <c r="M1922" t="s">
        <v>18</v>
      </c>
      <c r="N1922" s="16">
        <f>POWER(SQRT(WorkOrders279[[#This Row],[WorkDate]]-WorkOrders279[[#This Row],[ReqDate]]),2)</f>
        <v>9</v>
      </c>
      <c r="O1922" s="8">
        <f t="array" ref="O1922">INDEX(TechRate,MATCH(H1922,TechNum,0))</f>
        <v>80</v>
      </c>
      <c r="P1922" s="10">
        <f>WorkOrders279[[#This Row],[Techs]]*(WorkOrders279[[#This Row],[PartsCost]]*WorkOrders279[[#This Row],[LbrHrs]])</f>
        <v>33.711725000000001</v>
      </c>
      <c r="Q1922" s="10">
        <f t="shared" si="173"/>
        <v>33.711725000000001</v>
      </c>
      <c r="R1922" s="10">
        <f t="shared" si="174"/>
        <v>134.84690000000001</v>
      </c>
      <c r="S1922" s="10">
        <f t="shared" si="175"/>
        <v>168.55862500000001</v>
      </c>
      <c r="T1922" s="10">
        <f t="shared" si="176"/>
        <v>168.55862500000001</v>
      </c>
      <c r="U1922" s="8" t="str">
        <f t="shared" si="177"/>
        <v>Tue</v>
      </c>
      <c r="V1922" s="8" t="str">
        <f t="shared" si="178"/>
        <v>Thu</v>
      </c>
    </row>
    <row r="1923" spans="1:22" hidden="1" x14ac:dyDescent="0.25">
      <c r="A1923" t="s">
        <v>465</v>
      </c>
      <c r="B1923" t="s">
        <v>35</v>
      </c>
      <c r="C1923" t="s">
        <v>44</v>
      </c>
      <c r="D1923" t="s">
        <v>12</v>
      </c>
      <c r="E1923" t="s">
        <v>3</v>
      </c>
      <c r="F1923" s="5">
        <v>44271</v>
      </c>
      <c r="G1923" s="5">
        <v>44278</v>
      </c>
      <c r="H1923" s="2">
        <v>1</v>
      </c>
      <c r="I1923" s="6"/>
      <c r="J1923" s="6"/>
      <c r="K1923" s="7">
        <v>0.5</v>
      </c>
      <c r="L1923" s="7">
        <v>61.259</v>
      </c>
      <c r="M1923" t="s">
        <v>17</v>
      </c>
      <c r="N1923" s="16">
        <f>POWER(SQRT(WorkOrders279[[#This Row],[WorkDate]]-WorkOrders279[[#This Row],[ReqDate]]),2)</f>
        <v>7.0000000000000009</v>
      </c>
      <c r="O1923" s="8">
        <f t="array" ref="O1923">INDEX(TechRate,MATCH(H1923,TechNum,0))</f>
        <v>80</v>
      </c>
      <c r="P1923" s="10">
        <f>WorkOrders279[[#This Row],[Techs]]*(WorkOrders279[[#This Row],[PartsCost]]*WorkOrders279[[#This Row],[LbrHrs]])</f>
        <v>30.6295</v>
      </c>
      <c r="Q1923" s="10">
        <f t="shared" si="173"/>
        <v>30.6295</v>
      </c>
      <c r="R1923" s="10">
        <f t="shared" si="174"/>
        <v>61.259</v>
      </c>
      <c r="S1923" s="10">
        <f t="shared" si="175"/>
        <v>91.888499999999993</v>
      </c>
      <c r="T1923" s="10">
        <f t="shared" si="176"/>
        <v>91.888499999999993</v>
      </c>
      <c r="U1923" s="8" t="str">
        <f t="shared" si="177"/>
        <v>Tue</v>
      </c>
      <c r="V1923" s="8" t="str">
        <f t="shared" si="178"/>
        <v>Tue</v>
      </c>
    </row>
    <row r="1924" spans="1:22" hidden="1" x14ac:dyDescent="0.25">
      <c r="A1924" t="s">
        <v>466</v>
      </c>
      <c r="B1924" t="s">
        <v>34</v>
      </c>
      <c r="C1924" t="s">
        <v>9</v>
      </c>
      <c r="D1924" t="s">
        <v>13</v>
      </c>
      <c r="F1924" s="5">
        <v>44271</v>
      </c>
      <c r="G1924" s="5">
        <v>44288</v>
      </c>
      <c r="H1924" s="2">
        <v>2</v>
      </c>
      <c r="I1924" s="6"/>
      <c r="J1924" s="6"/>
      <c r="K1924" s="7">
        <v>4.5</v>
      </c>
      <c r="L1924" s="7">
        <v>658.67510000000004</v>
      </c>
      <c r="M1924" t="s">
        <v>17</v>
      </c>
      <c r="N1924" s="16">
        <f>POWER(SQRT(WorkOrders279[[#This Row],[WorkDate]]-WorkOrders279[[#This Row],[ReqDate]]),2)</f>
        <v>17</v>
      </c>
      <c r="O1924" s="8">
        <f t="array" ref="O1924">INDEX(TechRate,MATCH(H1924,TechNum,0))</f>
        <v>140</v>
      </c>
      <c r="P1924" s="10">
        <f>WorkOrders279[[#This Row],[Techs]]*(WorkOrders279[[#This Row],[PartsCost]]*WorkOrders279[[#This Row],[LbrHrs]])</f>
        <v>5928.0759000000007</v>
      </c>
      <c r="Q1924" s="10">
        <f t="shared" si="173"/>
        <v>5928.0759000000007</v>
      </c>
      <c r="R1924" s="10">
        <f t="shared" si="174"/>
        <v>658.67510000000004</v>
      </c>
      <c r="S1924" s="10">
        <f t="shared" si="175"/>
        <v>6586.7510000000011</v>
      </c>
      <c r="T1924" s="10">
        <f t="shared" si="176"/>
        <v>6586.7510000000011</v>
      </c>
      <c r="U1924" s="8" t="str">
        <f t="shared" si="177"/>
        <v>Tue</v>
      </c>
      <c r="V1924" s="8" t="str">
        <f t="shared" si="178"/>
        <v>Fri</v>
      </c>
    </row>
    <row r="1925" spans="1:22" hidden="1" x14ac:dyDescent="0.25">
      <c r="A1925" t="s">
        <v>467</v>
      </c>
      <c r="B1925" t="s">
        <v>34</v>
      </c>
      <c r="C1925" t="s">
        <v>9</v>
      </c>
      <c r="D1925" t="s">
        <v>2</v>
      </c>
      <c r="F1925" s="5">
        <v>44271</v>
      </c>
      <c r="G1925" s="5">
        <v>44289</v>
      </c>
      <c r="H1925" s="2">
        <v>2</v>
      </c>
      <c r="I1925" s="6"/>
      <c r="J1925" s="6"/>
      <c r="K1925" s="7">
        <v>8</v>
      </c>
      <c r="L1925" s="7">
        <v>1468.5196000000001</v>
      </c>
      <c r="M1925" t="s">
        <v>17</v>
      </c>
      <c r="N1925" s="16">
        <f>POWER(SQRT(WorkOrders279[[#This Row],[WorkDate]]-WorkOrders279[[#This Row],[ReqDate]]),2)</f>
        <v>17.999999999999996</v>
      </c>
      <c r="O1925" s="8">
        <f t="array" ref="O1925">INDEX(TechRate,MATCH(H1925,TechNum,0))</f>
        <v>140</v>
      </c>
      <c r="P1925" s="10">
        <f>WorkOrders279[[#This Row],[Techs]]*(WorkOrders279[[#This Row],[PartsCost]]*WorkOrders279[[#This Row],[LbrHrs]])</f>
        <v>23496.313600000001</v>
      </c>
      <c r="Q1925" s="10">
        <f t="shared" si="173"/>
        <v>23496.313600000001</v>
      </c>
      <c r="R1925" s="10">
        <f t="shared" si="174"/>
        <v>1468.5196000000001</v>
      </c>
      <c r="S1925" s="10">
        <f t="shared" si="175"/>
        <v>24964.833200000001</v>
      </c>
      <c r="T1925" s="10">
        <f t="shared" si="176"/>
        <v>24964.833200000001</v>
      </c>
      <c r="U1925" s="8" t="str">
        <f t="shared" si="177"/>
        <v>Tue</v>
      </c>
      <c r="V1925" s="8" t="str">
        <f t="shared" si="178"/>
        <v>Sat</v>
      </c>
    </row>
    <row r="1926" spans="1:22" hidden="1" x14ac:dyDescent="0.25">
      <c r="A1926" t="s">
        <v>468</v>
      </c>
      <c r="B1926" t="s">
        <v>37</v>
      </c>
      <c r="C1926" t="s">
        <v>43</v>
      </c>
      <c r="D1926" t="s">
        <v>13</v>
      </c>
      <c r="F1926" s="5">
        <v>44271</v>
      </c>
      <c r="G1926" s="5">
        <v>44286</v>
      </c>
      <c r="H1926" s="2">
        <v>1</v>
      </c>
      <c r="I1926" s="6"/>
      <c r="J1926" s="6"/>
      <c r="K1926" s="7">
        <v>0.75</v>
      </c>
      <c r="L1926" s="7">
        <v>82.586500000000001</v>
      </c>
      <c r="M1926" t="s">
        <v>17</v>
      </c>
      <c r="N1926" s="16">
        <f>POWER(SQRT(WorkOrders279[[#This Row],[WorkDate]]-WorkOrders279[[#This Row],[ReqDate]]),2)</f>
        <v>15.000000000000002</v>
      </c>
      <c r="O1926" s="8">
        <f t="array" ref="O1926">INDEX(TechRate,MATCH(H1926,TechNum,0))</f>
        <v>80</v>
      </c>
      <c r="P1926" s="10">
        <f>WorkOrders279[[#This Row],[Techs]]*(WorkOrders279[[#This Row],[PartsCost]]*WorkOrders279[[#This Row],[LbrHrs]])</f>
        <v>61.939875000000001</v>
      </c>
      <c r="Q1926" s="10">
        <f t="shared" si="173"/>
        <v>61.939875000000001</v>
      </c>
      <c r="R1926" s="10">
        <f t="shared" si="174"/>
        <v>82.586500000000001</v>
      </c>
      <c r="S1926" s="10">
        <f t="shared" si="175"/>
        <v>144.526375</v>
      </c>
      <c r="T1926" s="10">
        <f t="shared" si="176"/>
        <v>144.526375</v>
      </c>
      <c r="U1926" s="8" t="str">
        <f t="shared" si="177"/>
        <v>Tue</v>
      </c>
      <c r="V1926" s="8" t="str">
        <f t="shared" si="178"/>
        <v>Wed</v>
      </c>
    </row>
    <row r="1927" spans="1:22" hidden="1" x14ac:dyDescent="0.25">
      <c r="A1927" t="s">
        <v>469</v>
      </c>
      <c r="B1927" t="s">
        <v>41</v>
      </c>
      <c r="C1927" t="s">
        <v>7</v>
      </c>
      <c r="D1927" t="s">
        <v>1</v>
      </c>
      <c r="F1927" s="5">
        <v>44271</v>
      </c>
      <c r="G1927" s="5">
        <v>44302</v>
      </c>
      <c r="H1927" s="2">
        <v>2</v>
      </c>
      <c r="I1927" s="6"/>
      <c r="J1927" s="6" t="s">
        <v>3</v>
      </c>
      <c r="K1927" s="7">
        <v>2.75</v>
      </c>
      <c r="L1927" s="7">
        <v>340.54520000000002</v>
      </c>
      <c r="M1927" t="s">
        <v>18</v>
      </c>
      <c r="N1927" s="16">
        <f>POWER(SQRT(WorkOrders279[[#This Row],[WorkDate]]-WorkOrders279[[#This Row],[ReqDate]]),2)</f>
        <v>30.999999999999996</v>
      </c>
      <c r="O1927" s="8">
        <f t="array" ref="O1927">INDEX(TechRate,MATCH(H1927,TechNum,0))</f>
        <v>140</v>
      </c>
      <c r="P1927" s="10">
        <f>WorkOrders279[[#This Row],[Techs]]*(WorkOrders279[[#This Row],[PartsCost]]*WorkOrders279[[#This Row],[LbrHrs]])</f>
        <v>1872.9986000000001</v>
      </c>
      <c r="Q1927" s="10">
        <f t="shared" si="173"/>
        <v>1872.9986000000001</v>
      </c>
      <c r="R1927" s="10">
        <f t="shared" si="174"/>
        <v>0</v>
      </c>
      <c r="S1927" s="10">
        <f t="shared" si="175"/>
        <v>2213.5438000000004</v>
      </c>
      <c r="T1927" s="10">
        <f t="shared" si="176"/>
        <v>1872.9986000000001</v>
      </c>
      <c r="U1927" s="8" t="str">
        <f t="shared" si="177"/>
        <v>Tue</v>
      </c>
      <c r="V1927" s="8" t="str">
        <f t="shared" si="178"/>
        <v>Fri</v>
      </c>
    </row>
    <row r="1928" spans="1:22" hidden="1" x14ac:dyDescent="0.25">
      <c r="A1928" t="s">
        <v>470</v>
      </c>
      <c r="B1928" t="s">
        <v>39</v>
      </c>
      <c r="C1928" t="s">
        <v>8</v>
      </c>
      <c r="D1928" t="s">
        <v>12</v>
      </c>
      <c r="F1928" s="5">
        <v>44271</v>
      </c>
      <c r="G1928" s="5">
        <v>44322</v>
      </c>
      <c r="H1928" s="2">
        <v>1</v>
      </c>
      <c r="I1928" s="6"/>
      <c r="J1928" s="6"/>
      <c r="K1928" s="7">
        <v>0.25</v>
      </c>
      <c r="L1928" s="7">
        <v>72.061000000000007</v>
      </c>
      <c r="M1928" t="s">
        <v>18</v>
      </c>
      <c r="N1928" s="16">
        <f>POWER(SQRT(WorkOrders279[[#This Row],[WorkDate]]-WorkOrders279[[#This Row],[ReqDate]]),2)</f>
        <v>51.000000000000007</v>
      </c>
      <c r="O1928" s="8">
        <f t="array" ref="O1928">INDEX(TechRate,MATCH(H1928,TechNum,0))</f>
        <v>80</v>
      </c>
      <c r="P1928" s="10">
        <f>WorkOrders279[[#This Row],[Techs]]*(WorkOrders279[[#This Row],[PartsCost]]*WorkOrders279[[#This Row],[LbrHrs]])</f>
        <v>18.015250000000002</v>
      </c>
      <c r="Q1928" s="10">
        <f t="shared" si="173"/>
        <v>18.015250000000002</v>
      </c>
      <c r="R1928" s="10">
        <f t="shared" si="174"/>
        <v>72.061000000000007</v>
      </c>
      <c r="S1928" s="10">
        <f t="shared" si="175"/>
        <v>90.076250000000016</v>
      </c>
      <c r="T1928" s="10">
        <f t="shared" si="176"/>
        <v>90.076250000000016</v>
      </c>
      <c r="U1928" s="8" t="str">
        <f t="shared" si="177"/>
        <v>Tue</v>
      </c>
      <c r="V1928" s="8" t="str">
        <f t="shared" si="178"/>
        <v>Thu</v>
      </c>
    </row>
    <row r="1929" spans="1:22" hidden="1" x14ac:dyDescent="0.25">
      <c r="A1929" t="s">
        <v>471</v>
      </c>
      <c r="B1929" t="s">
        <v>41</v>
      </c>
      <c r="C1929" t="s">
        <v>9</v>
      </c>
      <c r="D1929" t="s">
        <v>12</v>
      </c>
      <c r="F1929" s="5">
        <v>44272</v>
      </c>
      <c r="G1929" s="5">
        <v>44296</v>
      </c>
      <c r="H1929" s="2">
        <v>1</v>
      </c>
      <c r="I1929" s="6"/>
      <c r="J1929" s="6"/>
      <c r="K1929" s="7">
        <v>0.5</v>
      </c>
      <c r="L1929" s="7">
        <v>48.990699999999997</v>
      </c>
      <c r="M1929" t="s">
        <v>17</v>
      </c>
      <c r="N1929" s="16">
        <f>POWER(SQRT(WorkOrders279[[#This Row],[WorkDate]]-WorkOrders279[[#This Row],[ReqDate]]),2)</f>
        <v>23.999999999999996</v>
      </c>
      <c r="O1929" s="8">
        <f t="array" ref="O1929">INDEX(TechRate,MATCH(H1929,TechNum,0))</f>
        <v>80</v>
      </c>
      <c r="P1929" s="10">
        <f>WorkOrders279[[#This Row],[Techs]]*(WorkOrders279[[#This Row],[PartsCost]]*WorkOrders279[[#This Row],[LbrHrs]])</f>
        <v>24.495349999999998</v>
      </c>
      <c r="Q1929" s="10">
        <f t="shared" si="173"/>
        <v>24.495349999999998</v>
      </c>
      <c r="R1929" s="10">
        <f t="shared" si="174"/>
        <v>48.990699999999997</v>
      </c>
      <c r="S1929" s="10">
        <f t="shared" si="175"/>
        <v>73.486049999999992</v>
      </c>
      <c r="T1929" s="10">
        <f t="shared" si="176"/>
        <v>73.486049999999992</v>
      </c>
      <c r="U1929" s="8" t="str">
        <f t="shared" si="177"/>
        <v>Wed</v>
      </c>
      <c r="V1929" s="8" t="str">
        <f t="shared" si="178"/>
        <v>Sat</v>
      </c>
    </row>
    <row r="1930" spans="1:22" hidden="1" x14ac:dyDescent="0.25">
      <c r="A1930" t="s">
        <v>472</v>
      </c>
      <c r="B1930" t="s">
        <v>36</v>
      </c>
      <c r="C1930" t="s">
        <v>7</v>
      </c>
      <c r="D1930" t="s">
        <v>11</v>
      </c>
      <c r="F1930" s="5">
        <v>44272</v>
      </c>
      <c r="G1930" s="5">
        <v>44296</v>
      </c>
      <c r="H1930" s="2">
        <v>1</v>
      </c>
      <c r="I1930" s="6"/>
      <c r="J1930" s="6"/>
      <c r="K1930" s="7">
        <v>0.25</v>
      </c>
      <c r="L1930" s="7">
        <v>15.401</v>
      </c>
      <c r="M1930" t="s">
        <v>17</v>
      </c>
      <c r="N1930" s="16">
        <f>POWER(SQRT(WorkOrders279[[#This Row],[WorkDate]]-WorkOrders279[[#This Row],[ReqDate]]),2)</f>
        <v>23.999999999999996</v>
      </c>
      <c r="O1930" s="8">
        <f t="array" ref="O1930">INDEX(TechRate,MATCH(H1930,TechNum,0))</f>
        <v>80</v>
      </c>
      <c r="P1930" s="10">
        <f>WorkOrders279[[#This Row],[Techs]]*(WorkOrders279[[#This Row],[PartsCost]]*WorkOrders279[[#This Row],[LbrHrs]])</f>
        <v>3.85025</v>
      </c>
      <c r="Q1930" s="10">
        <f t="shared" si="173"/>
        <v>3.85025</v>
      </c>
      <c r="R1930" s="10">
        <f t="shared" si="174"/>
        <v>15.401</v>
      </c>
      <c r="S1930" s="10">
        <f t="shared" si="175"/>
        <v>19.251249999999999</v>
      </c>
      <c r="T1930" s="10">
        <f t="shared" si="176"/>
        <v>19.251249999999999</v>
      </c>
      <c r="U1930" s="8" t="str">
        <f t="shared" si="177"/>
        <v>Wed</v>
      </c>
      <c r="V1930" s="8" t="str">
        <f t="shared" si="178"/>
        <v>Sat</v>
      </c>
    </row>
    <row r="1931" spans="1:22" hidden="1" x14ac:dyDescent="0.25">
      <c r="A1931" t="s">
        <v>473</v>
      </c>
      <c r="B1931" t="s">
        <v>40</v>
      </c>
      <c r="C1931" t="s">
        <v>8</v>
      </c>
      <c r="D1931" t="s">
        <v>13</v>
      </c>
      <c r="F1931" s="5">
        <v>44274</v>
      </c>
      <c r="G1931" s="5">
        <v>44322</v>
      </c>
      <c r="H1931" s="2">
        <v>1</v>
      </c>
      <c r="I1931" s="6"/>
      <c r="J1931" s="6"/>
      <c r="K1931" s="7">
        <v>0.75</v>
      </c>
      <c r="L1931" s="7">
        <v>204.10079999999999</v>
      </c>
      <c r="M1931" t="s">
        <v>18</v>
      </c>
      <c r="N1931" s="16">
        <f>POWER(SQRT(WorkOrders279[[#This Row],[WorkDate]]-WorkOrders279[[#This Row],[ReqDate]]),2)</f>
        <v>47.999999999999993</v>
      </c>
      <c r="O1931" s="8">
        <f t="array" ref="O1931">INDEX(TechRate,MATCH(H1931,TechNum,0))</f>
        <v>80</v>
      </c>
      <c r="P1931" s="10">
        <f>WorkOrders279[[#This Row],[Techs]]*(WorkOrders279[[#This Row],[PartsCost]]*WorkOrders279[[#This Row],[LbrHrs]])</f>
        <v>153.07560000000001</v>
      </c>
      <c r="Q1931" s="10">
        <f t="shared" si="173"/>
        <v>153.07560000000001</v>
      </c>
      <c r="R1931" s="10">
        <f t="shared" si="174"/>
        <v>204.10079999999999</v>
      </c>
      <c r="S1931" s="10">
        <f t="shared" si="175"/>
        <v>357.1764</v>
      </c>
      <c r="T1931" s="10">
        <f t="shared" si="176"/>
        <v>357.1764</v>
      </c>
      <c r="U1931" s="8" t="str">
        <f t="shared" si="177"/>
        <v>Fri</v>
      </c>
      <c r="V1931" s="8" t="str">
        <f t="shared" si="178"/>
        <v>Thu</v>
      </c>
    </row>
    <row r="1932" spans="1:22" hidden="1" x14ac:dyDescent="0.25">
      <c r="A1932" t="s">
        <v>474</v>
      </c>
      <c r="B1932" t="s">
        <v>36</v>
      </c>
      <c r="C1932" t="s">
        <v>7</v>
      </c>
      <c r="D1932" t="s">
        <v>12</v>
      </c>
      <c r="F1932" s="5">
        <v>44275</v>
      </c>
      <c r="G1932" s="5">
        <v>44296</v>
      </c>
      <c r="H1932" s="2">
        <v>1</v>
      </c>
      <c r="I1932" s="6"/>
      <c r="J1932" s="6"/>
      <c r="K1932" s="7">
        <v>0.25</v>
      </c>
      <c r="L1932" s="7">
        <v>12.63</v>
      </c>
      <c r="M1932" t="s">
        <v>17</v>
      </c>
      <c r="N1932" s="16">
        <f>POWER(SQRT(WorkOrders279[[#This Row],[WorkDate]]-WorkOrders279[[#This Row],[ReqDate]]),2)</f>
        <v>21</v>
      </c>
      <c r="O1932" s="8">
        <f t="array" ref="O1932">INDEX(TechRate,MATCH(H1932,TechNum,0))</f>
        <v>80</v>
      </c>
      <c r="P1932" s="10">
        <f>WorkOrders279[[#This Row],[Techs]]*(WorkOrders279[[#This Row],[PartsCost]]*WorkOrders279[[#This Row],[LbrHrs]])</f>
        <v>3.1575000000000002</v>
      </c>
      <c r="Q1932" s="10">
        <f t="shared" si="173"/>
        <v>3.1575000000000002</v>
      </c>
      <c r="R1932" s="10">
        <f t="shared" si="174"/>
        <v>12.63</v>
      </c>
      <c r="S1932" s="10">
        <f t="shared" si="175"/>
        <v>15.787500000000001</v>
      </c>
      <c r="T1932" s="10">
        <f t="shared" si="176"/>
        <v>15.787500000000001</v>
      </c>
      <c r="U1932" s="8" t="str">
        <f t="shared" si="177"/>
        <v>Sat</v>
      </c>
      <c r="V1932" s="8" t="str">
        <f t="shared" si="178"/>
        <v>Sat</v>
      </c>
    </row>
    <row r="1933" spans="1:22" hidden="1" x14ac:dyDescent="0.25">
      <c r="A1933" t="s">
        <v>475</v>
      </c>
      <c r="B1933" t="s">
        <v>41</v>
      </c>
      <c r="C1933" t="s">
        <v>7</v>
      </c>
      <c r="D1933" t="s">
        <v>12</v>
      </c>
      <c r="F1933" s="5">
        <v>44275</v>
      </c>
      <c r="G1933" s="5">
        <v>44299</v>
      </c>
      <c r="H1933" s="2">
        <v>1</v>
      </c>
      <c r="I1933" s="6"/>
      <c r="J1933" s="6"/>
      <c r="K1933" s="7">
        <v>0.25</v>
      </c>
      <c r="L1933" s="7">
        <v>15.24</v>
      </c>
      <c r="M1933" t="s">
        <v>19</v>
      </c>
      <c r="N1933" s="16">
        <f>POWER(SQRT(WorkOrders279[[#This Row],[WorkDate]]-WorkOrders279[[#This Row],[ReqDate]]),2)</f>
        <v>23.999999999999996</v>
      </c>
      <c r="O1933" s="8">
        <f t="array" ref="O1933">INDEX(TechRate,MATCH(H1933,TechNum,0))</f>
        <v>80</v>
      </c>
      <c r="P1933" s="10">
        <f>WorkOrders279[[#This Row],[Techs]]*(WorkOrders279[[#This Row],[PartsCost]]*WorkOrders279[[#This Row],[LbrHrs]])</f>
        <v>3.81</v>
      </c>
      <c r="Q1933" s="10">
        <f t="shared" si="173"/>
        <v>3.81</v>
      </c>
      <c r="R1933" s="10">
        <f t="shared" si="174"/>
        <v>15.24</v>
      </c>
      <c r="S1933" s="10">
        <f t="shared" si="175"/>
        <v>19.05</v>
      </c>
      <c r="T1933" s="10">
        <f t="shared" si="176"/>
        <v>19.05</v>
      </c>
      <c r="U1933" s="8" t="str">
        <f t="shared" si="177"/>
        <v>Sat</v>
      </c>
      <c r="V1933" s="8" t="str">
        <f t="shared" si="178"/>
        <v>Tue</v>
      </c>
    </row>
    <row r="1934" spans="1:22" hidden="1" x14ac:dyDescent="0.25">
      <c r="A1934" t="s">
        <v>476</v>
      </c>
      <c r="B1934" t="s">
        <v>38</v>
      </c>
      <c r="C1934" t="s">
        <v>8</v>
      </c>
      <c r="D1934" t="s">
        <v>12</v>
      </c>
      <c r="F1934" s="5">
        <v>44277</v>
      </c>
      <c r="G1934" s="5">
        <v>44286</v>
      </c>
      <c r="H1934" s="2">
        <v>1</v>
      </c>
      <c r="I1934" s="6" t="s">
        <v>3</v>
      </c>
      <c r="J1934" s="6" t="s">
        <v>3</v>
      </c>
      <c r="K1934" s="7">
        <v>0.5</v>
      </c>
      <c r="L1934" s="7">
        <v>50</v>
      </c>
      <c r="M1934" t="s">
        <v>20</v>
      </c>
      <c r="N1934" s="16">
        <f>POWER(SQRT(WorkOrders279[[#This Row],[WorkDate]]-WorkOrders279[[#This Row],[ReqDate]]),2)</f>
        <v>9</v>
      </c>
      <c r="O1934" s="8">
        <f t="array" ref="O1934">INDEX(TechRate,MATCH(H1934,TechNum,0))</f>
        <v>80</v>
      </c>
      <c r="P1934" s="10">
        <f>WorkOrders279[[#This Row],[Techs]]*(WorkOrders279[[#This Row],[PartsCost]]*WorkOrders279[[#This Row],[LbrHrs]])</f>
        <v>25</v>
      </c>
      <c r="Q1934" s="10">
        <f t="shared" si="173"/>
        <v>0</v>
      </c>
      <c r="R1934" s="10">
        <f t="shared" si="174"/>
        <v>0</v>
      </c>
      <c r="S1934" s="10">
        <f t="shared" si="175"/>
        <v>75</v>
      </c>
      <c r="T1934" s="10">
        <f t="shared" si="176"/>
        <v>0</v>
      </c>
      <c r="U1934" s="8" t="str">
        <f t="shared" si="177"/>
        <v>Mon</v>
      </c>
      <c r="V1934" s="8" t="str">
        <f t="shared" si="178"/>
        <v>Wed</v>
      </c>
    </row>
    <row r="1935" spans="1:22" hidden="1" x14ac:dyDescent="0.25">
      <c r="A1935" t="s">
        <v>477</v>
      </c>
      <c r="B1935" t="s">
        <v>37</v>
      </c>
      <c r="C1935" t="s">
        <v>9</v>
      </c>
      <c r="D1935" t="s">
        <v>2</v>
      </c>
      <c r="F1935" s="5">
        <v>44277</v>
      </c>
      <c r="G1935" s="5">
        <v>44306</v>
      </c>
      <c r="H1935" s="2">
        <v>1</v>
      </c>
      <c r="I1935" s="6"/>
      <c r="J1935" s="6" t="s">
        <v>3</v>
      </c>
      <c r="K1935" s="7">
        <v>1.5</v>
      </c>
      <c r="L1935" s="7">
        <v>272.55329999999998</v>
      </c>
      <c r="M1935" t="s">
        <v>18</v>
      </c>
      <c r="N1935" s="16">
        <f>POWER(SQRT(WorkOrders279[[#This Row],[WorkDate]]-WorkOrders279[[#This Row],[ReqDate]]),2)</f>
        <v>28.999999999999996</v>
      </c>
      <c r="O1935" s="8">
        <f t="array" ref="O1935">INDEX(TechRate,MATCH(H1935,TechNum,0))</f>
        <v>80</v>
      </c>
      <c r="P1935" s="10">
        <f>WorkOrders279[[#This Row],[Techs]]*(WorkOrders279[[#This Row],[PartsCost]]*WorkOrders279[[#This Row],[LbrHrs]])</f>
        <v>408.82994999999994</v>
      </c>
      <c r="Q1935" s="10">
        <f t="shared" si="173"/>
        <v>408.82994999999994</v>
      </c>
      <c r="R1935" s="10">
        <f t="shared" si="174"/>
        <v>0</v>
      </c>
      <c r="S1935" s="10">
        <f t="shared" si="175"/>
        <v>681.38324999999986</v>
      </c>
      <c r="T1935" s="10">
        <f t="shared" si="176"/>
        <v>408.82994999999994</v>
      </c>
      <c r="U1935" s="8" t="str">
        <f t="shared" si="177"/>
        <v>Mon</v>
      </c>
      <c r="V1935" s="8" t="str">
        <f t="shared" si="178"/>
        <v>Tue</v>
      </c>
    </row>
    <row r="1936" spans="1:22" hidden="1" x14ac:dyDescent="0.25">
      <c r="A1936" t="s">
        <v>478</v>
      </c>
      <c r="B1936" t="s">
        <v>35</v>
      </c>
      <c r="C1936" t="s">
        <v>44</v>
      </c>
      <c r="D1936" t="s">
        <v>13</v>
      </c>
      <c r="F1936" s="5">
        <v>44277</v>
      </c>
      <c r="G1936" s="5">
        <v>44306</v>
      </c>
      <c r="H1936" s="2">
        <v>2</v>
      </c>
      <c r="I1936" s="6"/>
      <c r="J1936" s="6"/>
      <c r="K1936" s="7">
        <v>6.25</v>
      </c>
      <c r="L1936" s="7">
        <v>27</v>
      </c>
      <c r="M1936" t="s">
        <v>18</v>
      </c>
      <c r="N1936" s="16">
        <f>POWER(SQRT(WorkOrders279[[#This Row],[WorkDate]]-WorkOrders279[[#This Row],[ReqDate]]),2)</f>
        <v>28.999999999999996</v>
      </c>
      <c r="O1936" s="8">
        <f t="array" ref="O1936">INDEX(TechRate,MATCH(H1936,TechNum,0))</f>
        <v>140</v>
      </c>
      <c r="P1936" s="10">
        <f>WorkOrders279[[#This Row],[Techs]]*(WorkOrders279[[#This Row],[PartsCost]]*WorkOrders279[[#This Row],[LbrHrs]])</f>
        <v>337.5</v>
      </c>
      <c r="Q1936" s="10">
        <f t="shared" si="173"/>
        <v>337.5</v>
      </c>
      <c r="R1936" s="10">
        <f t="shared" si="174"/>
        <v>27</v>
      </c>
      <c r="S1936" s="10">
        <f t="shared" si="175"/>
        <v>364.5</v>
      </c>
      <c r="T1936" s="10">
        <f t="shared" si="176"/>
        <v>364.5</v>
      </c>
      <c r="U1936" s="8" t="str">
        <f t="shared" si="177"/>
        <v>Mon</v>
      </c>
      <c r="V1936" s="8" t="str">
        <f t="shared" si="178"/>
        <v>Tue</v>
      </c>
    </row>
    <row r="1937" spans="1:22" hidden="1" x14ac:dyDescent="0.25">
      <c r="A1937" t="s">
        <v>479</v>
      </c>
      <c r="B1937" t="s">
        <v>39</v>
      </c>
      <c r="C1937" t="s">
        <v>8</v>
      </c>
      <c r="D1937" t="s">
        <v>12</v>
      </c>
      <c r="F1937" s="5">
        <v>44277</v>
      </c>
      <c r="G1937" s="5">
        <v>44308</v>
      </c>
      <c r="H1937" s="2">
        <v>1</v>
      </c>
      <c r="I1937" s="6" t="s">
        <v>3</v>
      </c>
      <c r="J1937" s="6" t="s">
        <v>3</v>
      </c>
      <c r="K1937" s="7">
        <v>0.25</v>
      </c>
      <c r="L1937" s="7">
        <v>65.428799999999995</v>
      </c>
      <c r="M1937" t="s">
        <v>20</v>
      </c>
      <c r="N1937" s="16">
        <f>POWER(SQRT(WorkOrders279[[#This Row],[WorkDate]]-WorkOrders279[[#This Row],[ReqDate]]),2)</f>
        <v>30.999999999999996</v>
      </c>
      <c r="O1937" s="8">
        <f t="array" ref="O1937">INDEX(TechRate,MATCH(H1937,TechNum,0))</f>
        <v>80</v>
      </c>
      <c r="P1937" s="10">
        <f>WorkOrders279[[#This Row],[Techs]]*(WorkOrders279[[#This Row],[PartsCost]]*WorkOrders279[[#This Row],[LbrHrs]])</f>
        <v>16.357199999999999</v>
      </c>
      <c r="Q1937" s="10">
        <f t="shared" si="173"/>
        <v>0</v>
      </c>
      <c r="R1937" s="10">
        <f t="shared" si="174"/>
        <v>0</v>
      </c>
      <c r="S1937" s="10">
        <f t="shared" si="175"/>
        <v>81.786000000000001</v>
      </c>
      <c r="T1937" s="10">
        <f t="shared" si="176"/>
        <v>0</v>
      </c>
      <c r="U1937" s="8" t="str">
        <f t="shared" si="177"/>
        <v>Mon</v>
      </c>
      <c r="V1937" s="8" t="str">
        <f t="shared" si="178"/>
        <v>Thu</v>
      </c>
    </row>
    <row r="1938" spans="1:22" hidden="1" x14ac:dyDescent="0.25">
      <c r="A1938" t="s">
        <v>480</v>
      </c>
      <c r="B1938" t="s">
        <v>36</v>
      </c>
      <c r="C1938" t="s">
        <v>7</v>
      </c>
      <c r="D1938" t="s">
        <v>12</v>
      </c>
      <c r="F1938" s="5">
        <v>44277</v>
      </c>
      <c r="G1938" s="5">
        <v>44322</v>
      </c>
      <c r="H1938" s="2">
        <v>2</v>
      </c>
      <c r="I1938" s="6"/>
      <c r="J1938" s="6"/>
      <c r="K1938" s="7">
        <v>0.5</v>
      </c>
      <c r="L1938" s="7">
        <v>85.32</v>
      </c>
      <c r="M1938" t="s">
        <v>17</v>
      </c>
      <c r="N1938" s="16">
        <f>POWER(SQRT(WorkOrders279[[#This Row],[WorkDate]]-WorkOrders279[[#This Row],[ReqDate]]),2)</f>
        <v>45.000000000000007</v>
      </c>
      <c r="O1938" s="8">
        <f t="array" ref="O1938">INDEX(TechRate,MATCH(H1938,TechNum,0))</f>
        <v>140</v>
      </c>
      <c r="P1938" s="10">
        <f>WorkOrders279[[#This Row],[Techs]]*(WorkOrders279[[#This Row],[PartsCost]]*WorkOrders279[[#This Row],[LbrHrs]])</f>
        <v>85.32</v>
      </c>
      <c r="Q1938" s="10">
        <f t="shared" si="173"/>
        <v>85.32</v>
      </c>
      <c r="R1938" s="10">
        <f t="shared" si="174"/>
        <v>85.32</v>
      </c>
      <c r="S1938" s="10">
        <f t="shared" si="175"/>
        <v>170.64</v>
      </c>
      <c r="T1938" s="10">
        <f t="shared" si="176"/>
        <v>170.64</v>
      </c>
      <c r="U1938" s="8" t="str">
        <f t="shared" si="177"/>
        <v>Mon</v>
      </c>
      <c r="V1938" s="8" t="str">
        <f t="shared" si="178"/>
        <v>Thu</v>
      </c>
    </row>
    <row r="1939" spans="1:22" hidden="1" x14ac:dyDescent="0.25">
      <c r="A1939" t="s">
        <v>481</v>
      </c>
      <c r="B1939" t="s">
        <v>37</v>
      </c>
      <c r="C1939" t="s">
        <v>9</v>
      </c>
      <c r="D1939" t="s">
        <v>1</v>
      </c>
      <c r="F1939" s="5">
        <v>44277</v>
      </c>
      <c r="G1939" s="5">
        <v>44326</v>
      </c>
      <c r="H1939" s="2">
        <v>2</v>
      </c>
      <c r="I1939" s="6"/>
      <c r="J1939" s="6" t="s">
        <v>3</v>
      </c>
      <c r="K1939" s="7">
        <v>1.5</v>
      </c>
      <c r="L1939" s="7">
        <v>572.1671</v>
      </c>
      <c r="M1939" t="s">
        <v>18</v>
      </c>
      <c r="N1939" s="16">
        <f>POWER(SQRT(WorkOrders279[[#This Row],[WorkDate]]-WorkOrders279[[#This Row],[ReqDate]]),2)</f>
        <v>49</v>
      </c>
      <c r="O1939" s="8">
        <f t="array" ref="O1939">INDEX(TechRate,MATCH(H1939,TechNum,0))</f>
        <v>140</v>
      </c>
      <c r="P1939" s="10">
        <f>WorkOrders279[[#This Row],[Techs]]*(WorkOrders279[[#This Row],[PartsCost]]*WorkOrders279[[#This Row],[LbrHrs]])</f>
        <v>1716.5012999999999</v>
      </c>
      <c r="Q1939" s="10">
        <f t="shared" si="173"/>
        <v>1716.5012999999999</v>
      </c>
      <c r="R1939" s="10">
        <f t="shared" si="174"/>
        <v>0</v>
      </c>
      <c r="S1939" s="10">
        <f t="shared" si="175"/>
        <v>2288.6684</v>
      </c>
      <c r="T1939" s="10">
        <f t="shared" si="176"/>
        <v>1716.5012999999999</v>
      </c>
      <c r="U1939" s="8" t="str">
        <f t="shared" si="177"/>
        <v>Mon</v>
      </c>
      <c r="V1939" s="8" t="str">
        <f t="shared" si="178"/>
        <v>Mon</v>
      </c>
    </row>
    <row r="1940" spans="1:22" hidden="1" x14ac:dyDescent="0.25">
      <c r="A1940" t="s">
        <v>482</v>
      </c>
      <c r="B1940" t="s">
        <v>37</v>
      </c>
      <c r="C1940" t="s">
        <v>9</v>
      </c>
      <c r="D1940" t="s">
        <v>2</v>
      </c>
      <c r="F1940" s="5">
        <v>44277</v>
      </c>
      <c r="G1940" s="5">
        <v>44326</v>
      </c>
      <c r="H1940" s="2">
        <v>2</v>
      </c>
      <c r="I1940" s="6"/>
      <c r="J1940" s="6" t="s">
        <v>3</v>
      </c>
      <c r="K1940" s="7">
        <v>4.5</v>
      </c>
      <c r="L1940" s="7">
        <v>937.97670000000005</v>
      </c>
      <c r="M1940" t="s">
        <v>18</v>
      </c>
      <c r="N1940" s="16">
        <f>POWER(SQRT(WorkOrders279[[#This Row],[WorkDate]]-WorkOrders279[[#This Row],[ReqDate]]),2)</f>
        <v>49</v>
      </c>
      <c r="O1940" s="8">
        <f t="array" ref="O1940">INDEX(TechRate,MATCH(H1940,TechNum,0))</f>
        <v>140</v>
      </c>
      <c r="P1940" s="10">
        <f>WorkOrders279[[#This Row],[Techs]]*(WorkOrders279[[#This Row],[PartsCost]]*WorkOrders279[[#This Row],[LbrHrs]])</f>
        <v>8441.7903000000006</v>
      </c>
      <c r="Q1940" s="10">
        <f t="shared" si="173"/>
        <v>8441.7903000000006</v>
      </c>
      <c r="R1940" s="10">
        <f t="shared" si="174"/>
        <v>0</v>
      </c>
      <c r="S1940" s="10">
        <f t="shared" si="175"/>
        <v>9379.7669999999998</v>
      </c>
      <c r="T1940" s="10">
        <f t="shared" si="176"/>
        <v>8441.7903000000006</v>
      </c>
      <c r="U1940" s="8" t="str">
        <f t="shared" si="177"/>
        <v>Mon</v>
      </c>
      <c r="V1940" s="8" t="str">
        <f t="shared" si="178"/>
        <v>Mon</v>
      </c>
    </row>
    <row r="1941" spans="1:22" hidden="1" x14ac:dyDescent="0.25">
      <c r="A1941" t="s">
        <v>483</v>
      </c>
      <c r="B1941" t="s">
        <v>34</v>
      </c>
      <c r="C1941" t="s">
        <v>9</v>
      </c>
      <c r="D1941" t="s">
        <v>13</v>
      </c>
      <c r="F1941" s="5">
        <v>44278</v>
      </c>
      <c r="G1941" s="5">
        <v>44278</v>
      </c>
      <c r="H1941" s="2">
        <v>1</v>
      </c>
      <c r="I1941" s="6" t="s">
        <v>3</v>
      </c>
      <c r="J1941" s="6" t="s">
        <v>3</v>
      </c>
      <c r="K1941" s="7">
        <v>0.5</v>
      </c>
      <c r="L1941" s="7">
        <v>165</v>
      </c>
      <c r="M1941" t="s">
        <v>20</v>
      </c>
      <c r="N1941" s="16">
        <f>POWER(SQRT(WorkOrders279[[#This Row],[WorkDate]]-WorkOrders279[[#This Row],[ReqDate]]),2)</f>
        <v>0</v>
      </c>
      <c r="O1941" s="8">
        <f t="array" ref="O1941">INDEX(TechRate,MATCH(H1941,TechNum,0))</f>
        <v>80</v>
      </c>
      <c r="P1941" s="10">
        <f>WorkOrders279[[#This Row],[Techs]]*(WorkOrders279[[#This Row],[PartsCost]]*WorkOrders279[[#This Row],[LbrHrs]])</f>
        <v>82.5</v>
      </c>
      <c r="Q1941" s="10">
        <f t="shared" si="173"/>
        <v>0</v>
      </c>
      <c r="R1941" s="10">
        <f t="shared" si="174"/>
        <v>0</v>
      </c>
      <c r="S1941" s="10">
        <f t="shared" si="175"/>
        <v>247.5</v>
      </c>
      <c r="T1941" s="10">
        <f t="shared" si="176"/>
        <v>0</v>
      </c>
      <c r="U1941" s="8" t="str">
        <f t="shared" si="177"/>
        <v>Tue</v>
      </c>
      <c r="V1941" s="8" t="str">
        <f t="shared" si="178"/>
        <v>Tue</v>
      </c>
    </row>
    <row r="1942" spans="1:22" hidden="1" x14ac:dyDescent="0.25">
      <c r="A1942" t="s">
        <v>484</v>
      </c>
      <c r="B1942" t="s">
        <v>36</v>
      </c>
      <c r="C1942" t="s">
        <v>7</v>
      </c>
      <c r="D1942" t="s">
        <v>12</v>
      </c>
      <c r="F1942" s="5">
        <v>44278</v>
      </c>
      <c r="G1942" s="5">
        <v>44289</v>
      </c>
      <c r="H1942" s="2">
        <v>2</v>
      </c>
      <c r="I1942" s="6" t="s">
        <v>3</v>
      </c>
      <c r="J1942" s="6" t="s">
        <v>3</v>
      </c>
      <c r="K1942" s="7">
        <v>0.25</v>
      </c>
      <c r="L1942" s="7">
        <v>55.295499999999997</v>
      </c>
      <c r="M1942" t="s">
        <v>20</v>
      </c>
      <c r="N1942" s="16">
        <f>POWER(SQRT(WorkOrders279[[#This Row],[WorkDate]]-WorkOrders279[[#This Row],[ReqDate]]),2)</f>
        <v>11</v>
      </c>
      <c r="O1942" s="8">
        <f t="array" ref="O1942">INDEX(TechRate,MATCH(H1942,TechNum,0))</f>
        <v>140</v>
      </c>
      <c r="P1942" s="10">
        <f>WorkOrders279[[#This Row],[Techs]]*(WorkOrders279[[#This Row],[PartsCost]]*WorkOrders279[[#This Row],[LbrHrs]])</f>
        <v>27.647749999999998</v>
      </c>
      <c r="Q1942" s="10">
        <f t="shared" si="173"/>
        <v>0</v>
      </c>
      <c r="R1942" s="10">
        <f t="shared" si="174"/>
        <v>0</v>
      </c>
      <c r="S1942" s="10">
        <f t="shared" si="175"/>
        <v>82.943249999999992</v>
      </c>
      <c r="T1942" s="10">
        <f t="shared" si="176"/>
        <v>0</v>
      </c>
      <c r="U1942" s="8" t="str">
        <f t="shared" si="177"/>
        <v>Tue</v>
      </c>
      <c r="V1942" s="8" t="str">
        <f t="shared" si="178"/>
        <v>Sat</v>
      </c>
    </row>
    <row r="1943" spans="1:22" hidden="1" x14ac:dyDescent="0.25">
      <c r="A1943" t="s">
        <v>485</v>
      </c>
      <c r="B1943" t="s">
        <v>39</v>
      </c>
      <c r="C1943" t="s">
        <v>44</v>
      </c>
      <c r="D1943" t="s">
        <v>13</v>
      </c>
      <c r="F1943" s="5">
        <v>44278</v>
      </c>
      <c r="G1943" s="5">
        <v>44296</v>
      </c>
      <c r="H1943" s="2">
        <v>1</v>
      </c>
      <c r="I1943" s="6"/>
      <c r="J1943" s="6" t="s">
        <v>3</v>
      </c>
      <c r="K1943" s="7">
        <v>2.75</v>
      </c>
      <c r="L1943" s="7">
        <v>534.56600000000003</v>
      </c>
      <c r="M1943" t="s">
        <v>18</v>
      </c>
      <c r="N1943" s="16">
        <f>POWER(SQRT(WorkOrders279[[#This Row],[WorkDate]]-WorkOrders279[[#This Row],[ReqDate]]),2)</f>
        <v>17.999999999999996</v>
      </c>
      <c r="O1943" s="8">
        <f t="array" ref="O1943">INDEX(TechRate,MATCH(H1943,TechNum,0))</f>
        <v>80</v>
      </c>
      <c r="P1943" s="10">
        <f>WorkOrders279[[#This Row],[Techs]]*(WorkOrders279[[#This Row],[PartsCost]]*WorkOrders279[[#This Row],[LbrHrs]])</f>
        <v>1470.0565000000001</v>
      </c>
      <c r="Q1943" s="10">
        <f t="shared" si="173"/>
        <v>1470.0565000000001</v>
      </c>
      <c r="R1943" s="10">
        <f t="shared" si="174"/>
        <v>0</v>
      </c>
      <c r="S1943" s="10">
        <f t="shared" si="175"/>
        <v>2004.6225000000002</v>
      </c>
      <c r="T1943" s="10">
        <f t="shared" si="176"/>
        <v>1470.0565000000001</v>
      </c>
      <c r="U1943" s="8" t="str">
        <f t="shared" si="177"/>
        <v>Tue</v>
      </c>
      <c r="V1943" s="8" t="str">
        <f t="shared" si="178"/>
        <v>Sat</v>
      </c>
    </row>
    <row r="1944" spans="1:22" hidden="1" x14ac:dyDescent="0.25">
      <c r="A1944" t="s">
        <v>486</v>
      </c>
      <c r="B1944" t="s">
        <v>34</v>
      </c>
      <c r="C1944" t="s">
        <v>9</v>
      </c>
      <c r="D1944" t="s">
        <v>12</v>
      </c>
      <c r="F1944" s="5">
        <v>44278</v>
      </c>
      <c r="G1944" s="5">
        <v>44294</v>
      </c>
      <c r="H1944" s="2">
        <v>1</v>
      </c>
      <c r="I1944" s="6"/>
      <c r="J1944" s="6" t="s">
        <v>3</v>
      </c>
      <c r="K1944" s="7">
        <v>1</v>
      </c>
      <c r="L1944" s="7">
        <v>448.26</v>
      </c>
      <c r="M1944" t="s">
        <v>18</v>
      </c>
      <c r="N1944" s="16">
        <f>POWER(SQRT(WorkOrders279[[#This Row],[WorkDate]]-WorkOrders279[[#This Row],[ReqDate]]),2)</f>
        <v>16</v>
      </c>
      <c r="O1944" s="8">
        <f t="array" ref="O1944">INDEX(TechRate,MATCH(H1944,TechNum,0))</f>
        <v>80</v>
      </c>
      <c r="P1944" s="10">
        <f>WorkOrders279[[#This Row],[Techs]]*(WorkOrders279[[#This Row],[PartsCost]]*WorkOrders279[[#This Row],[LbrHrs]])</f>
        <v>448.26</v>
      </c>
      <c r="Q1944" s="10">
        <f t="shared" si="173"/>
        <v>448.26</v>
      </c>
      <c r="R1944" s="10">
        <f t="shared" si="174"/>
        <v>0</v>
      </c>
      <c r="S1944" s="10">
        <f t="shared" si="175"/>
        <v>896.52</v>
      </c>
      <c r="T1944" s="10">
        <f t="shared" si="176"/>
        <v>448.26</v>
      </c>
      <c r="U1944" s="8" t="str">
        <f t="shared" si="177"/>
        <v>Tue</v>
      </c>
      <c r="V1944" s="8" t="str">
        <f t="shared" si="178"/>
        <v>Thu</v>
      </c>
    </row>
    <row r="1945" spans="1:22" hidden="1" x14ac:dyDescent="0.25">
      <c r="A1945" t="s">
        <v>487</v>
      </c>
      <c r="B1945" t="s">
        <v>42</v>
      </c>
      <c r="C1945" t="s">
        <v>9</v>
      </c>
      <c r="D1945" t="s">
        <v>12</v>
      </c>
      <c r="F1945" s="5">
        <v>44278</v>
      </c>
      <c r="G1945" s="5">
        <v>44300</v>
      </c>
      <c r="H1945" s="2">
        <v>2</v>
      </c>
      <c r="I1945" s="6"/>
      <c r="J1945" s="6"/>
      <c r="K1945" s="7">
        <v>1</v>
      </c>
      <c r="L1945" s="7">
        <v>123.208</v>
      </c>
      <c r="M1945" t="s">
        <v>18</v>
      </c>
      <c r="N1945" s="16">
        <f>POWER(SQRT(WorkOrders279[[#This Row],[WorkDate]]-WorkOrders279[[#This Row],[ReqDate]]),2)</f>
        <v>22</v>
      </c>
      <c r="O1945" s="8">
        <f t="array" ref="O1945">INDEX(TechRate,MATCH(H1945,TechNum,0))</f>
        <v>140</v>
      </c>
      <c r="P1945" s="10">
        <f>WorkOrders279[[#This Row],[Techs]]*(WorkOrders279[[#This Row],[PartsCost]]*WorkOrders279[[#This Row],[LbrHrs]])</f>
        <v>246.416</v>
      </c>
      <c r="Q1945" s="10">
        <f t="shared" si="173"/>
        <v>246.416</v>
      </c>
      <c r="R1945" s="10">
        <f t="shared" si="174"/>
        <v>123.208</v>
      </c>
      <c r="S1945" s="10">
        <f t="shared" si="175"/>
        <v>369.62400000000002</v>
      </c>
      <c r="T1945" s="10">
        <f t="shared" si="176"/>
        <v>369.62400000000002</v>
      </c>
      <c r="U1945" s="8" t="str">
        <f t="shared" si="177"/>
        <v>Tue</v>
      </c>
      <c r="V1945" s="8" t="str">
        <f t="shared" si="178"/>
        <v>Wed</v>
      </c>
    </row>
    <row r="1946" spans="1:22" hidden="1" x14ac:dyDescent="0.25">
      <c r="A1946" t="s">
        <v>488</v>
      </c>
      <c r="B1946" t="s">
        <v>34</v>
      </c>
      <c r="C1946" t="s">
        <v>8</v>
      </c>
      <c r="D1946" t="s">
        <v>11</v>
      </c>
      <c r="F1946" s="5">
        <v>44278</v>
      </c>
      <c r="G1946" s="5">
        <v>44298</v>
      </c>
      <c r="H1946" s="2">
        <v>1</v>
      </c>
      <c r="I1946" s="6"/>
      <c r="J1946" s="6"/>
      <c r="K1946" s="7">
        <v>0.25</v>
      </c>
      <c r="L1946" s="7">
        <v>77.290000000000006</v>
      </c>
      <c r="M1946" t="s">
        <v>18</v>
      </c>
      <c r="N1946" s="16">
        <f>POWER(SQRT(WorkOrders279[[#This Row],[WorkDate]]-WorkOrders279[[#This Row],[ReqDate]]),2)</f>
        <v>20.000000000000004</v>
      </c>
      <c r="O1946" s="8">
        <f t="array" ref="O1946">INDEX(TechRate,MATCH(H1946,TechNum,0))</f>
        <v>80</v>
      </c>
      <c r="P1946" s="10">
        <f>WorkOrders279[[#This Row],[Techs]]*(WorkOrders279[[#This Row],[PartsCost]]*WorkOrders279[[#This Row],[LbrHrs]])</f>
        <v>19.322500000000002</v>
      </c>
      <c r="Q1946" s="10">
        <f t="shared" si="173"/>
        <v>19.322500000000002</v>
      </c>
      <c r="R1946" s="10">
        <f t="shared" si="174"/>
        <v>77.290000000000006</v>
      </c>
      <c r="S1946" s="10">
        <f t="shared" si="175"/>
        <v>96.612500000000011</v>
      </c>
      <c r="T1946" s="10">
        <f t="shared" si="176"/>
        <v>96.612500000000011</v>
      </c>
      <c r="U1946" s="8" t="str">
        <f t="shared" si="177"/>
        <v>Tue</v>
      </c>
      <c r="V1946" s="8" t="str">
        <f t="shared" si="178"/>
        <v>Mon</v>
      </c>
    </row>
    <row r="1947" spans="1:22" hidden="1" x14ac:dyDescent="0.25">
      <c r="A1947" t="s">
        <v>489</v>
      </c>
      <c r="B1947" t="s">
        <v>36</v>
      </c>
      <c r="C1947" t="s">
        <v>7</v>
      </c>
      <c r="D1947" t="s">
        <v>1</v>
      </c>
      <c r="F1947" s="5">
        <v>44278</v>
      </c>
      <c r="G1947" s="5">
        <v>44298</v>
      </c>
      <c r="H1947" s="2">
        <v>2</v>
      </c>
      <c r="I1947" s="6" t="s">
        <v>3</v>
      </c>
      <c r="J1947" s="6" t="s">
        <v>3</v>
      </c>
      <c r="K1947" s="7">
        <v>1</v>
      </c>
      <c r="L1947" s="7">
        <v>360</v>
      </c>
      <c r="M1947" t="s">
        <v>20</v>
      </c>
      <c r="N1947" s="16">
        <f>POWER(SQRT(WorkOrders279[[#This Row],[WorkDate]]-WorkOrders279[[#This Row],[ReqDate]]),2)</f>
        <v>20.000000000000004</v>
      </c>
      <c r="O1947" s="8">
        <f t="array" ref="O1947">INDEX(TechRate,MATCH(H1947,TechNum,0))</f>
        <v>140</v>
      </c>
      <c r="P1947" s="10">
        <f>WorkOrders279[[#This Row],[Techs]]*(WorkOrders279[[#This Row],[PartsCost]]*WorkOrders279[[#This Row],[LbrHrs]])</f>
        <v>720</v>
      </c>
      <c r="Q1947" s="10">
        <f t="shared" si="173"/>
        <v>0</v>
      </c>
      <c r="R1947" s="10">
        <f t="shared" si="174"/>
        <v>0</v>
      </c>
      <c r="S1947" s="10">
        <f t="shared" si="175"/>
        <v>1080</v>
      </c>
      <c r="T1947" s="10">
        <f t="shared" si="176"/>
        <v>0</v>
      </c>
      <c r="U1947" s="8" t="str">
        <f t="shared" si="177"/>
        <v>Tue</v>
      </c>
      <c r="V1947" s="8" t="str">
        <f t="shared" si="178"/>
        <v>Mon</v>
      </c>
    </row>
    <row r="1948" spans="1:22" hidden="1" x14ac:dyDescent="0.25">
      <c r="A1948" t="s">
        <v>490</v>
      </c>
      <c r="B1948" t="s">
        <v>35</v>
      </c>
      <c r="C1948" t="s">
        <v>9</v>
      </c>
      <c r="D1948" t="s">
        <v>2</v>
      </c>
      <c r="F1948" s="5">
        <v>44278</v>
      </c>
      <c r="G1948" s="5">
        <v>44329</v>
      </c>
      <c r="H1948" s="2">
        <v>2</v>
      </c>
      <c r="I1948" s="6"/>
      <c r="J1948" s="6"/>
      <c r="K1948" s="7">
        <v>3.5</v>
      </c>
      <c r="L1948" s="7">
        <v>653.00080000000003</v>
      </c>
      <c r="M1948" t="s">
        <v>18</v>
      </c>
      <c r="N1948" s="16">
        <f>POWER(SQRT(WorkOrders279[[#This Row],[WorkDate]]-WorkOrders279[[#This Row],[ReqDate]]),2)</f>
        <v>51.000000000000007</v>
      </c>
      <c r="O1948" s="8">
        <f t="array" ref="O1948">INDEX(TechRate,MATCH(H1948,TechNum,0))</f>
        <v>140</v>
      </c>
      <c r="P1948" s="10">
        <f>WorkOrders279[[#This Row],[Techs]]*(WorkOrders279[[#This Row],[PartsCost]]*WorkOrders279[[#This Row],[LbrHrs]])</f>
        <v>4571.0056000000004</v>
      </c>
      <c r="Q1948" s="10">
        <f t="shared" si="173"/>
        <v>4571.0056000000004</v>
      </c>
      <c r="R1948" s="10">
        <f t="shared" si="174"/>
        <v>653.00080000000003</v>
      </c>
      <c r="S1948" s="10">
        <f t="shared" si="175"/>
        <v>5224.0064000000002</v>
      </c>
      <c r="T1948" s="10">
        <f t="shared" si="176"/>
        <v>5224.0064000000002</v>
      </c>
      <c r="U1948" s="8" t="str">
        <f t="shared" si="177"/>
        <v>Tue</v>
      </c>
      <c r="V1948" s="8" t="str">
        <f t="shared" si="178"/>
        <v>Thu</v>
      </c>
    </row>
    <row r="1949" spans="1:22" hidden="1" x14ac:dyDescent="0.25">
      <c r="A1949" t="s">
        <v>491</v>
      </c>
      <c r="B1949" t="s">
        <v>37</v>
      </c>
      <c r="C1949" t="s">
        <v>43</v>
      </c>
      <c r="D1949" t="s">
        <v>1</v>
      </c>
      <c r="F1949" s="5">
        <v>44279</v>
      </c>
      <c r="G1949" s="5">
        <v>44292</v>
      </c>
      <c r="H1949" s="2">
        <v>1</v>
      </c>
      <c r="I1949" s="6"/>
      <c r="J1949" s="6"/>
      <c r="K1949" s="7">
        <v>1.5</v>
      </c>
      <c r="L1949" s="7">
        <v>118.3</v>
      </c>
      <c r="M1949" t="s">
        <v>17</v>
      </c>
      <c r="N1949" s="16">
        <f>POWER(SQRT(WorkOrders279[[#This Row],[WorkDate]]-WorkOrders279[[#This Row],[ReqDate]]),2)</f>
        <v>12.999999999999998</v>
      </c>
      <c r="O1949" s="8">
        <f t="array" ref="O1949">INDEX(TechRate,MATCH(H1949,TechNum,0))</f>
        <v>80</v>
      </c>
      <c r="P1949" s="10">
        <f>WorkOrders279[[#This Row],[Techs]]*(WorkOrders279[[#This Row],[PartsCost]]*WorkOrders279[[#This Row],[LbrHrs]])</f>
        <v>177.45</v>
      </c>
      <c r="Q1949" s="10">
        <f t="shared" si="173"/>
        <v>177.45</v>
      </c>
      <c r="R1949" s="10">
        <f t="shared" si="174"/>
        <v>118.3</v>
      </c>
      <c r="S1949" s="10">
        <f t="shared" si="175"/>
        <v>295.75</v>
      </c>
      <c r="T1949" s="10">
        <f t="shared" si="176"/>
        <v>295.75</v>
      </c>
      <c r="U1949" s="8" t="str">
        <f t="shared" si="177"/>
        <v>Wed</v>
      </c>
      <c r="V1949" s="8" t="str">
        <f t="shared" si="178"/>
        <v>Tue</v>
      </c>
    </row>
    <row r="1950" spans="1:22" hidden="1" x14ac:dyDescent="0.25">
      <c r="A1950" t="s">
        <v>492</v>
      </c>
      <c r="B1950" t="s">
        <v>42</v>
      </c>
      <c r="C1950" t="s">
        <v>7</v>
      </c>
      <c r="D1950" t="s">
        <v>2</v>
      </c>
      <c r="F1950" s="5">
        <v>44279</v>
      </c>
      <c r="G1950" s="5">
        <v>44358</v>
      </c>
      <c r="H1950" s="2">
        <v>2</v>
      </c>
      <c r="I1950" s="6"/>
      <c r="J1950" s="6" t="s">
        <v>3</v>
      </c>
      <c r="K1950" s="7">
        <v>2.5</v>
      </c>
      <c r="L1950" s="7">
        <v>1480.3623</v>
      </c>
      <c r="M1950" t="s">
        <v>18</v>
      </c>
      <c r="N1950" s="16">
        <f>POWER(SQRT(WorkOrders279[[#This Row],[WorkDate]]-WorkOrders279[[#This Row],[ReqDate]]),2)</f>
        <v>79</v>
      </c>
      <c r="O1950" s="8">
        <f t="array" ref="O1950">INDEX(TechRate,MATCH(H1950,TechNum,0))</f>
        <v>140</v>
      </c>
      <c r="P1950" s="10">
        <f>WorkOrders279[[#This Row],[Techs]]*(WorkOrders279[[#This Row],[PartsCost]]*WorkOrders279[[#This Row],[LbrHrs]])</f>
        <v>7401.8114999999998</v>
      </c>
      <c r="Q1950" s="10">
        <f t="shared" si="173"/>
        <v>7401.8114999999998</v>
      </c>
      <c r="R1950" s="10">
        <f t="shared" si="174"/>
        <v>0</v>
      </c>
      <c r="S1950" s="10">
        <f t="shared" si="175"/>
        <v>8882.1738000000005</v>
      </c>
      <c r="T1950" s="10">
        <f t="shared" si="176"/>
        <v>7401.8114999999998</v>
      </c>
      <c r="U1950" s="8" t="str">
        <f t="shared" si="177"/>
        <v>Wed</v>
      </c>
      <c r="V1950" s="8" t="str">
        <f t="shared" si="178"/>
        <v>Fri</v>
      </c>
    </row>
    <row r="1951" spans="1:22" hidden="1" x14ac:dyDescent="0.25">
      <c r="A1951" t="s">
        <v>493</v>
      </c>
      <c r="B1951" t="s">
        <v>40</v>
      </c>
      <c r="C1951" t="s">
        <v>7</v>
      </c>
      <c r="D1951" t="s">
        <v>2</v>
      </c>
      <c r="F1951" s="5">
        <v>44280</v>
      </c>
      <c r="G1951" s="5">
        <v>44327</v>
      </c>
      <c r="H1951" s="2">
        <v>2</v>
      </c>
      <c r="I1951" s="6"/>
      <c r="J1951" s="6"/>
      <c r="K1951" s="7">
        <v>2.5</v>
      </c>
      <c r="L1951" s="7">
        <v>837.1567</v>
      </c>
      <c r="M1951" t="s">
        <v>18</v>
      </c>
      <c r="N1951" s="16">
        <f>POWER(SQRT(WorkOrders279[[#This Row],[WorkDate]]-WorkOrders279[[#This Row],[ReqDate]]),2)</f>
        <v>47</v>
      </c>
      <c r="O1951" s="8">
        <f t="array" ref="O1951">INDEX(TechRate,MATCH(H1951,TechNum,0))</f>
        <v>140</v>
      </c>
      <c r="P1951" s="10">
        <f>WorkOrders279[[#This Row],[Techs]]*(WorkOrders279[[#This Row],[PartsCost]]*WorkOrders279[[#This Row],[LbrHrs]])</f>
        <v>4185.7834999999995</v>
      </c>
      <c r="Q1951" s="10">
        <f t="shared" si="173"/>
        <v>4185.7834999999995</v>
      </c>
      <c r="R1951" s="10">
        <f t="shared" si="174"/>
        <v>837.1567</v>
      </c>
      <c r="S1951" s="10">
        <f t="shared" si="175"/>
        <v>5022.9401999999991</v>
      </c>
      <c r="T1951" s="10">
        <f t="shared" si="176"/>
        <v>5022.9401999999991</v>
      </c>
      <c r="U1951" s="8" t="str">
        <f t="shared" si="177"/>
        <v>Thu</v>
      </c>
      <c r="V1951" s="8" t="str">
        <f t="shared" si="178"/>
        <v>Tue</v>
      </c>
    </row>
    <row r="1952" spans="1:22" hidden="1" x14ac:dyDescent="0.25">
      <c r="A1952" t="s">
        <v>494</v>
      </c>
      <c r="B1952" t="s">
        <v>36</v>
      </c>
      <c r="C1952" t="s">
        <v>7</v>
      </c>
      <c r="D1952" t="s">
        <v>2</v>
      </c>
      <c r="F1952" s="5">
        <v>44282</v>
      </c>
      <c r="G1952" s="5">
        <v>44377</v>
      </c>
      <c r="H1952" s="2">
        <v>2</v>
      </c>
      <c r="I1952" s="6"/>
      <c r="J1952" s="6"/>
      <c r="K1952" s="7">
        <v>1.75</v>
      </c>
      <c r="L1952" s="7">
        <v>242.6396</v>
      </c>
      <c r="M1952" t="s">
        <v>18</v>
      </c>
      <c r="N1952" s="16">
        <f>POWER(SQRT(WorkOrders279[[#This Row],[WorkDate]]-WorkOrders279[[#This Row],[ReqDate]]),2)</f>
        <v>94.999999999999986</v>
      </c>
      <c r="O1952" s="8">
        <f t="array" ref="O1952">INDEX(TechRate,MATCH(H1952,TechNum,0))</f>
        <v>140</v>
      </c>
      <c r="P1952" s="10">
        <f>WorkOrders279[[#This Row],[Techs]]*(WorkOrders279[[#This Row],[PartsCost]]*WorkOrders279[[#This Row],[LbrHrs]])</f>
        <v>849.23860000000002</v>
      </c>
      <c r="Q1952" s="10">
        <f t="shared" si="173"/>
        <v>849.23860000000002</v>
      </c>
      <c r="R1952" s="10">
        <f t="shared" si="174"/>
        <v>242.6396</v>
      </c>
      <c r="S1952" s="10">
        <f t="shared" si="175"/>
        <v>1091.8782000000001</v>
      </c>
      <c r="T1952" s="10">
        <f t="shared" si="176"/>
        <v>1091.8782000000001</v>
      </c>
      <c r="U1952" s="8" t="str">
        <f t="shared" si="177"/>
        <v>Sat</v>
      </c>
      <c r="V1952" s="8" t="str">
        <f t="shared" si="178"/>
        <v>Wed</v>
      </c>
    </row>
    <row r="1953" spans="1:22" hidden="1" x14ac:dyDescent="0.25">
      <c r="A1953" t="s">
        <v>495</v>
      </c>
      <c r="B1953" t="s">
        <v>39</v>
      </c>
      <c r="C1953" t="s">
        <v>44</v>
      </c>
      <c r="D1953" t="s">
        <v>2</v>
      </c>
      <c r="F1953" s="5">
        <v>44284</v>
      </c>
      <c r="G1953" s="5">
        <v>44293</v>
      </c>
      <c r="H1953" s="2">
        <v>1</v>
      </c>
      <c r="I1953" s="6"/>
      <c r="J1953" s="6" t="s">
        <v>3</v>
      </c>
      <c r="K1953" s="7">
        <v>2</v>
      </c>
      <c r="L1953" s="7">
        <v>262.02800000000002</v>
      </c>
      <c r="M1953" t="s">
        <v>18</v>
      </c>
      <c r="N1953" s="16">
        <f>POWER(SQRT(WorkOrders279[[#This Row],[WorkDate]]-WorkOrders279[[#This Row],[ReqDate]]),2)</f>
        <v>9</v>
      </c>
      <c r="O1953" s="8">
        <f t="array" ref="O1953">INDEX(TechRate,MATCH(H1953,TechNum,0))</f>
        <v>80</v>
      </c>
      <c r="P1953" s="10">
        <f>WorkOrders279[[#This Row],[Techs]]*(WorkOrders279[[#This Row],[PartsCost]]*WorkOrders279[[#This Row],[LbrHrs]])</f>
        <v>524.05600000000004</v>
      </c>
      <c r="Q1953" s="10">
        <f t="shared" ref="Q1953:Q2003" si="179">IF(I1953="Yes",0,P1953)</f>
        <v>524.05600000000004</v>
      </c>
      <c r="R1953" s="10">
        <f t="shared" ref="R1953:R2003" si="180">IF(J1953="Yes",0,L1953)</f>
        <v>0</v>
      </c>
      <c r="S1953" s="10">
        <f t="shared" ref="S1953:S2003" si="181">SUM(L1953,P1953)</f>
        <v>786.08400000000006</v>
      </c>
      <c r="T1953" s="10">
        <f t="shared" ref="T1953:T2003" si="182">SUM(Q1953,R1953)</f>
        <v>524.05600000000004</v>
      </c>
      <c r="U1953" s="8" t="str">
        <f t="shared" ref="U1953:U2003" si="183">TEXT(F1953,"ddd")</f>
        <v>Mon</v>
      </c>
      <c r="V1953" s="8" t="str">
        <f t="shared" ref="V1953:V2003" si="184">TEXT(G1953,"ddd")</f>
        <v>Wed</v>
      </c>
    </row>
    <row r="1954" spans="1:22" hidden="1" x14ac:dyDescent="0.25">
      <c r="A1954" t="s">
        <v>496</v>
      </c>
      <c r="B1954" t="s">
        <v>39</v>
      </c>
      <c r="C1954" t="s">
        <v>8</v>
      </c>
      <c r="D1954" t="s">
        <v>1</v>
      </c>
      <c r="F1954" s="5">
        <v>44284</v>
      </c>
      <c r="G1954" s="5">
        <v>44375</v>
      </c>
      <c r="H1954" s="2">
        <v>1</v>
      </c>
      <c r="I1954" s="6"/>
      <c r="J1954" s="6"/>
      <c r="K1954" s="7">
        <v>1.75</v>
      </c>
      <c r="L1954" s="7">
        <v>473.60329999999999</v>
      </c>
      <c r="M1954" t="s">
        <v>18</v>
      </c>
      <c r="N1954" s="16">
        <f>POWER(SQRT(WorkOrders279[[#This Row],[WorkDate]]-WorkOrders279[[#This Row],[ReqDate]]),2)</f>
        <v>91</v>
      </c>
      <c r="O1954" s="8">
        <f t="array" ref="O1954">INDEX(TechRate,MATCH(H1954,TechNum,0))</f>
        <v>80</v>
      </c>
      <c r="P1954" s="10">
        <f>WorkOrders279[[#This Row],[Techs]]*(WorkOrders279[[#This Row],[PartsCost]]*WorkOrders279[[#This Row],[LbrHrs]])</f>
        <v>828.80577500000004</v>
      </c>
      <c r="Q1954" s="10">
        <f t="shared" si="179"/>
        <v>828.80577500000004</v>
      </c>
      <c r="R1954" s="10">
        <f t="shared" si="180"/>
        <v>473.60329999999999</v>
      </c>
      <c r="S1954" s="10">
        <f t="shared" si="181"/>
        <v>1302.409075</v>
      </c>
      <c r="T1954" s="10">
        <f t="shared" si="182"/>
        <v>1302.409075</v>
      </c>
      <c r="U1954" s="8" t="str">
        <f t="shared" si="183"/>
        <v>Mon</v>
      </c>
      <c r="V1954" s="8" t="str">
        <f t="shared" si="184"/>
        <v>Mon</v>
      </c>
    </row>
    <row r="1955" spans="1:22" hidden="1" x14ac:dyDescent="0.25">
      <c r="A1955" t="s">
        <v>497</v>
      </c>
      <c r="B1955" t="s">
        <v>34</v>
      </c>
      <c r="C1955" t="s">
        <v>8</v>
      </c>
      <c r="D1955" t="s">
        <v>2</v>
      </c>
      <c r="F1955" s="5">
        <v>44285</v>
      </c>
      <c r="G1955" s="5">
        <v>44328</v>
      </c>
      <c r="H1955" s="2">
        <v>1</v>
      </c>
      <c r="I1955" s="6"/>
      <c r="J1955" s="6"/>
      <c r="K1955" s="7">
        <v>2.75</v>
      </c>
      <c r="L1955" s="7">
        <v>708.02269999999999</v>
      </c>
      <c r="M1955" t="s">
        <v>18</v>
      </c>
      <c r="N1955" s="16">
        <f>POWER(SQRT(WorkOrders279[[#This Row],[WorkDate]]-WorkOrders279[[#This Row],[ReqDate]]),2)</f>
        <v>42.999999999999993</v>
      </c>
      <c r="O1955" s="8">
        <f t="array" ref="O1955">INDEX(TechRate,MATCH(H1955,TechNum,0))</f>
        <v>80</v>
      </c>
      <c r="P1955" s="10">
        <f>WorkOrders279[[#This Row],[Techs]]*(WorkOrders279[[#This Row],[PartsCost]]*WorkOrders279[[#This Row],[LbrHrs]])</f>
        <v>1947.0624250000001</v>
      </c>
      <c r="Q1955" s="10">
        <f t="shared" si="179"/>
        <v>1947.0624250000001</v>
      </c>
      <c r="R1955" s="10">
        <f t="shared" si="180"/>
        <v>708.02269999999999</v>
      </c>
      <c r="S1955" s="10">
        <f t="shared" si="181"/>
        <v>2655.0851250000001</v>
      </c>
      <c r="T1955" s="10">
        <f t="shared" si="182"/>
        <v>2655.0851250000001</v>
      </c>
      <c r="U1955" s="8" t="str">
        <f t="shared" si="183"/>
        <v>Tue</v>
      </c>
      <c r="V1955" s="8" t="str">
        <f t="shared" si="184"/>
        <v>Wed</v>
      </c>
    </row>
    <row r="1956" spans="1:22" hidden="1" x14ac:dyDescent="0.25">
      <c r="A1956" t="s">
        <v>498</v>
      </c>
      <c r="B1956" t="s">
        <v>34</v>
      </c>
      <c r="C1956" t="s">
        <v>9</v>
      </c>
      <c r="D1956" t="s">
        <v>13</v>
      </c>
      <c r="F1956" s="5">
        <v>44286</v>
      </c>
      <c r="G1956" s="5">
        <v>44292</v>
      </c>
      <c r="H1956" s="2">
        <v>1</v>
      </c>
      <c r="I1956" s="6"/>
      <c r="J1956" s="6"/>
      <c r="K1956" s="7">
        <v>0.5</v>
      </c>
      <c r="L1956" s="7">
        <v>13.321400000000001</v>
      </c>
      <c r="M1956" t="s">
        <v>18</v>
      </c>
      <c r="N1956" s="16">
        <f>POWER(SQRT(WorkOrders279[[#This Row],[WorkDate]]-WorkOrders279[[#This Row],[ReqDate]]),2)</f>
        <v>5.9999999999999991</v>
      </c>
      <c r="O1956" s="8">
        <f t="array" ref="O1956">INDEX(TechRate,MATCH(H1956,TechNum,0))</f>
        <v>80</v>
      </c>
      <c r="P1956" s="10">
        <f>WorkOrders279[[#This Row],[Techs]]*(WorkOrders279[[#This Row],[PartsCost]]*WorkOrders279[[#This Row],[LbrHrs]])</f>
        <v>6.6607000000000003</v>
      </c>
      <c r="Q1956" s="10">
        <f t="shared" si="179"/>
        <v>6.6607000000000003</v>
      </c>
      <c r="R1956" s="10">
        <f t="shared" si="180"/>
        <v>13.321400000000001</v>
      </c>
      <c r="S1956" s="10">
        <f t="shared" si="181"/>
        <v>19.982100000000003</v>
      </c>
      <c r="T1956" s="10">
        <f t="shared" si="182"/>
        <v>19.982100000000003</v>
      </c>
      <c r="U1956" s="8" t="str">
        <f t="shared" si="183"/>
        <v>Wed</v>
      </c>
      <c r="V1956" s="8" t="str">
        <f t="shared" si="184"/>
        <v>Tue</v>
      </c>
    </row>
    <row r="1957" spans="1:22" hidden="1" x14ac:dyDescent="0.25">
      <c r="A1957" t="s">
        <v>499</v>
      </c>
      <c r="B1957" t="s">
        <v>42</v>
      </c>
      <c r="C1957" t="s">
        <v>9</v>
      </c>
      <c r="D1957" t="s">
        <v>13</v>
      </c>
      <c r="E1957" t="s">
        <v>3</v>
      </c>
      <c r="F1957" s="5">
        <v>44286</v>
      </c>
      <c r="G1957" s="5">
        <v>44307</v>
      </c>
      <c r="H1957" s="2">
        <v>1</v>
      </c>
      <c r="I1957" s="6"/>
      <c r="J1957" s="6"/>
      <c r="K1957" s="7">
        <v>0.75</v>
      </c>
      <c r="L1957" s="7">
        <v>51.29</v>
      </c>
      <c r="M1957" t="s">
        <v>18</v>
      </c>
      <c r="N1957" s="16">
        <f>POWER(SQRT(WorkOrders279[[#This Row],[WorkDate]]-WorkOrders279[[#This Row],[ReqDate]]),2)</f>
        <v>21</v>
      </c>
      <c r="O1957" s="8">
        <f t="array" ref="O1957">INDEX(TechRate,MATCH(H1957,TechNum,0))</f>
        <v>80</v>
      </c>
      <c r="P1957" s="10">
        <f>WorkOrders279[[#This Row],[Techs]]*(WorkOrders279[[#This Row],[PartsCost]]*WorkOrders279[[#This Row],[LbrHrs]])</f>
        <v>38.467500000000001</v>
      </c>
      <c r="Q1957" s="10">
        <f t="shared" si="179"/>
        <v>38.467500000000001</v>
      </c>
      <c r="R1957" s="10">
        <f t="shared" si="180"/>
        <v>51.29</v>
      </c>
      <c r="S1957" s="10">
        <f t="shared" si="181"/>
        <v>89.757499999999993</v>
      </c>
      <c r="T1957" s="10">
        <f t="shared" si="182"/>
        <v>89.757499999999993</v>
      </c>
      <c r="U1957" s="8" t="str">
        <f t="shared" si="183"/>
        <v>Wed</v>
      </c>
      <c r="V1957" s="8" t="str">
        <f t="shared" si="184"/>
        <v>Wed</v>
      </c>
    </row>
    <row r="1958" spans="1:22" hidden="1" x14ac:dyDescent="0.25">
      <c r="A1958" t="s">
        <v>500</v>
      </c>
      <c r="B1958" t="s">
        <v>36</v>
      </c>
      <c r="C1958" t="s">
        <v>7</v>
      </c>
      <c r="D1958" t="s">
        <v>11</v>
      </c>
      <c r="F1958" s="5">
        <v>44287</v>
      </c>
      <c r="G1958" s="5">
        <v>44302</v>
      </c>
      <c r="H1958" s="2">
        <v>1</v>
      </c>
      <c r="I1958" s="6"/>
      <c r="J1958" s="6"/>
      <c r="K1958" s="7">
        <v>0.25</v>
      </c>
      <c r="L1958" s="7">
        <v>89.5</v>
      </c>
      <c r="M1958" t="s">
        <v>17</v>
      </c>
      <c r="N1958" s="16">
        <f>POWER(SQRT(WorkOrders279[[#This Row],[WorkDate]]-WorkOrders279[[#This Row],[ReqDate]]),2)</f>
        <v>15.000000000000002</v>
      </c>
      <c r="O1958" s="8">
        <f t="array" ref="O1958">INDEX(TechRate,MATCH(H1958,TechNum,0))</f>
        <v>80</v>
      </c>
      <c r="P1958" s="10">
        <f>WorkOrders279[[#This Row],[Techs]]*(WorkOrders279[[#This Row],[PartsCost]]*WorkOrders279[[#This Row],[LbrHrs]])</f>
        <v>22.375</v>
      </c>
      <c r="Q1958" s="10">
        <f t="shared" si="179"/>
        <v>22.375</v>
      </c>
      <c r="R1958" s="10">
        <f t="shared" si="180"/>
        <v>89.5</v>
      </c>
      <c r="S1958" s="10">
        <f t="shared" si="181"/>
        <v>111.875</v>
      </c>
      <c r="T1958" s="10">
        <f t="shared" si="182"/>
        <v>111.875</v>
      </c>
      <c r="U1958" s="8" t="str">
        <f t="shared" si="183"/>
        <v>Thu</v>
      </c>
      <c r="V1958" s="8" t="str">
        <f t="shared" si="184"/>
        <v>Fri</v>
      </c>
    </row>
    <row r="1959" spans="1:22" hidden="1" x14ac:dyDescent="0.25">
      <c r="A1959" t="s">
        <v>501</v>
      </c>
      <c r="B1959" t="s">
        <v>35</v>
      </c>
      <c r="C1959" t="s">
        <v>9</v>
      </c>
      <c r="D1959" t="s">
        <v>12</v>
      </c>
      <c r="F1959" s="5">
        <v>44287</v>
      </c>
      <c r="G1959" s="5">
        <v>44298</v>
      </c>
      <c r="H1959" s="2">
        <v>1</v>
      </c>
      <c r="I1959" s="6"/>
      <c r="J1959" s="6"/>
      <c r="K1959" s="7">
        <v>0.25</v>
      </c>
      <c r="L1959" s="7">
        <v>74.532399999999996</v>
      </c>
      <c r="M1959" t="s">
        <v>19</v>
      </c>
      <c r="N1959" s="16">
        <f>POWER(SQRT(WorkOrders279[[#This Row],[WorkDate]]-WorkOrders279[[#This Row],[ReqDate]]),2)</f>
        <v>11</v>
      </c>
      <c r="O1959" s="8">
        <f t="array" ref="O1959">INDEX(TechRate,MATCH(H1959,TechNum,0))</f>
        <v>80</v>
      </c>
      <c r="P1959" s="10">
        <f>WorkOrders279[[#This Row],[Techs]]*(WorkOrders279[[#This Row],[PartsCost]]*WorkOrders279[[#This Row],[LbrHrs]])</f>
        <v>18.633099999999999</v>
      </c>
      <c r="Q1959" s="10">
        <f t="shared" si="179"/>
        <v>18.633099999999999</v>
      </c>
      <c r="R1959" s="10">
        <f t="shared" si="180"/>
        <v>74.532399999999996</v>
      </c>
      <c r="S1959" s="10">
        <f t="shared" si="181"/>
        <v>93.165499999999994</v>
      </c>
      <c r="T1959" s="10">
        <f t="shared" si="182"/>
        <v>93.165499999999994</v>
      </c>
      <c r="U1959" s="8" t="str">
        <f t="shared" si="183"/>
        <v>Thu</v>
      </c>
      <c r="V1959" s="8" t="str">
        <f t="shared" si="184"/>
        <v>Mon</v>
      </c>
    </row>
    <row r="1960" spans="1:22" hidden="1" x14ac:dyDescent="0.25">
      <c r="A1960" t="s">
        <v>502</v>
      </c>
      <c r="B1960" t="s">
        <v>36</v>
      </c>
      <c r="C1960" t="s">
        <v>7</v>
      </c>
      <c r="D1960" t="s">
        <v>2</v>
      </c>
      <c r="F1960" s="5">
        <v>44287</v>
      </c>
      <c r="G1960" s="5">
        <v>44298</v>
      </c>
      <c r="H1960" s="2">
        <v>2</v>
      </c>
      <c r="I1960" s="6"/>
      <c r="J1960" s="6"/>
      <c r="K1960" s="7">
        <v>1.5</v>
      </c>
      <c r="L1960" s="7">
        <v>64</v>
      </c>
      <c r="M1960" t="s">
        <v>17</v>
      </c>
      <c r="N1960" s="16">
        <f>POWER(SQRT(WorkOrders279[[#This Row],[WorkDate]]-WorkOrders279[[#This Row],[ReqDate]]),2)</f>
        <v>11</v>
      </c>
      <c r="O1960" s="8">
        <f t="array" ref="O1960">INDEX(TechRate,MATCH(H1960,TechNum,0))</f>
        <v>140</v>
      </c>
      <c r="P1960" s="10">
        <f>WorkOrders279[[#This Row],[Techs]]*(WorkOrders279[[#This Row],[PartsCost]]*WorkOrders279[[#This Row],[LbrHrs]])</f>
        <v>192</v>
      </c>
      <c r="Q1960" s="10">
        <f t="shared" si="179"/>
        <v>192</v>
      </c>
      <c r="R1960" s="10">
        <f t="shared" si="180"/>
        <v>64</v>
      </c>
      <c r="S1960" s="10">
        <f t="shared" si="181"/>
        <v>256</v>
      </c>
      <c r="T1960" s="10">
        <f t="shared" si="182"/>
        <v>256</v>
      </c>
      <c r="U1960" s="8" t="str">
        <f t="shared" si="183"/>
        <v>Thu</v>
      </c>
      <c r="V1960" s="8" t="str">
        <f t="shared" si="184"/>
        <v>Mon</v>
      </c>
    </row>
    <row r="1961" spans="1:22" hidden="1" x14ac:dyDescent="0.25">
      <c r="A1961" t="s">
        <v>503</v>
      </c>
      <c r="B1961" t="s">
        <v>35</v>
      </c>
      <c r="C1961" t="s">
        <v>8</v>
      </c>
      <c r="D1961" t="s">
        <v>12</v>
      </c>
      <c r="E1961" t="s">
        <v>3</v>
      </c>
      <c r="F1961" s="5">
        <v>44287</v>
      </c>
      <c r="G1961" s="5">
        <v>44300</v>
      </c>
      <c r="H1961" s="2">
        <v>1</v>
      </c>
      <c r="I1961" s="6"/>
      <c r="J1961" s="6"/>
      <c r="K1961" s="7">
        <v>0.25</v>
      </c>
      <c r="L1961" s="7">
        <v>23.401</v>
      </c>
      <c r="M1961" t="s">
        <v>17</v>
      </c>
      <c r="N1961" s="16">
        <f>POWER(SQRT(WorkOrders279[[#This Row],[WorkDate]]-WorkOrders279[[#This Row],[ReqDate]]),2)</f>
        <v>12.999999999999998</v>
      </c>
      <c r="O1961" s="8">
        <f t="array" ref="O1961">INDEX(TechRate,MATCH(H1961,TechNum,0))</f>
        <v>80</v>
      </c>
      <c r="P1961" s="10">
        <f>WorkOrders279[[#This Row],[Techs]]*(WorkOrders279[[#This Row],[PartsCost]]*WorkOrders279[[#This Row],[LbrHrs]])</f>
        <v>5.85025</v>
      </c>
      <c r="Q1961" s="10">
        <f t="shared" si="179"/>
        <v>5.85025</v>
      </c>
      <c r="R1961" s="10">
        <f t="shared" si="180"/>
        <v>23.401</v>
      </c>
      <c r="S1961" s="10">
        <f t="shared" si="181"/>
        <v>29.251249999999999</v>
      </c>
      <c r="T1961" s="10">
        <f t="shared" si="182"/>
        <v>29.251249999999999</v>
      </c>
      <c r="U1961" s="8" t="str">
        <f t="shared" si="183"/>
        <v>Thu</v>
      </c>
      <c r="V1961" s="8" t="str">
        <f t="shared" si="184"/>
        <v>Wed</v>
      </c>
    </row>
    <row r="1962" spans="1:22" hidden="1" x14ac:dyDescent="0.25">
      <c r="A1962" t="s">
        <v>504</v>
      </c>
      <c r="B1962" t="s">
        <v>40</v>
      </c>
      <c r="C1962" t="s">
        <v>7</v>
      </c>
      <c r="D1962" t="s">
        <v>12</v>
      </c>
      <c r="F1962" s="5">
        <v>44287</v>
      </c>
      <c r="G1962" s="5">
        <v>44312</v>
      </c>
      <c r="H1962" s="2">
        <v>2</v>
      </c>
      <c r="I1962" s="6"/>
      <c r="J1962" s="6"/>
      <c r="K1962" s="7">
        <v>0.25</v>
      </c>
      <c r="L1962" s="7">
        <v>17.13</v>
      </c>
      <c r="M1962" t="s">
        <v>17</v>
      </c>
      <c r="N1962" s="16">
        <f>POWER(SQRT(WorkOrders279[[#This Row],[WorkDate]]-WorkOrders279[[#This Row],[ReqDate]]),2)</f>
        <v>25</v>
      </c>
      <c r="O1962" s="8">
        <f t="array" ref="O1962">INDEX(TechRate,MATCH(H1962,TechNum,0))</f>
        <v>140</v>
      </c>
      <c r="P1962" s="10">
        <f>WorkOrders279[[#This Row],[Techs]]*(WorkOrders279[[#This Row],[PartsCost]]*WorkOrders279[[#This Row],[LbrHrs]])</f>
        <v>8.5649999999999995</v>
      </c>
      <c r="Q1962" s="10">
        <f t="shared" si="179"/>
        <v>8.5649999999999995</v>
      </c>
      <c r="R1962" s="10">
        <f t="shared" si="180"/>
        <v>17.13</v>
      </c>
      <c r="S1962" s="10">
        <f t="shared" si="181"/>
        <v>25.695</v>
      </c>
      <c r="T1962" s="10">
        <f t="shared" si="182"/>
        <v>25.695</v>
      </c>
      <c r="U1962" s="8" t="str">
        <f t="shared" si="183"/>
        <v>Thu</v>
      </c>
      <c r="V1962" s="8" t="str">
        <f t="shared" si="184"/>
        <v>Mon</v>
      </c>
    </row>
    <row r="1963" spans="1:22" hidden="1" x14ac:dyDescent="0.25">
      <c r="A1963" t="s">
        <v>505</v>
      </c>
      <c r="B1963" t="s">
        <v>38</v>
      </c>
      <c r="C1963" t="s">
        <v>43</v>
      </c>
      <c r="D1963" t="s">
        <v>12</v>
      </c>
      <c r="F1963" s="5">
        <v>44287</v>
      </c>
      <c r="G1963" s="5">
        <v>44315</v>
      </c>
      <c r="H1963" s="2">
        <v>1</v>
      </c>
      <c r="I1963" s="6"/>
      <c r="J1963" s="6"/>
      <c r="K1963" s="7">
        <v>0.5</v>
      </c>
      <c r="L1963" s="7">
        <v>149.5</v>
      </c>
      <c r="M1963" t="s">
        <v>19</v>
      </c>
      <c r="N1963" s="16">
        <f>POWER(SQRT(WorkOrders279[[#This Row],[WorkDate]]-WorkOrders279[[#This Row],[ReqDate]]),2)</f>
        <v>28.000000000000004</v>
      </c>
      <c r="O1963" s="8">
        <f t="array" ref="O1963">INDEX(TechRate,MATCH(H1963,TechNum,0))</f>
        <v>80</v>
      </c>
      <c r="P1963" s="10">
        <f>WorkOrders279[[#This Row],[Techs]]*(WorkOrders279[[#This Row],[PartsCost]]*WorkOrders279[[#This Row],[LbrHrs]])</f>
        <v>74.75</v>
      </c>
      <c r="Q1963" s="10">
        <f t="shared" si="179"/>
        <v>74.75</v>
      </c>
      <c r="R1963" s="10">
        <f t="shared" si="180"/>
        <v>149.5</v>
      </c>
      <c r="S1963" s="10">
        <f t="shared" si="181"/>
        <v>224.25</v>
      </c>
      <c r="T1963" s="10">
        <f t="shared" si="182"/>
        <v>224.25</v>
      </c>
      <c r="U1963" s="8" t="str">
        <f t="shared" si="183"/>
        <v>Thu</v>
      </c>
      <c r="V1963" s="8" t="str">
        <f t="shared" si="184"/>
        <v>Thu</v>
      </c>
    </row>
    <row r="1964" spans="1:22" hidden="1" x14ac:dyDescent="0.25">
      <c r="A1964" t="s">
        <v>506</v>
      </c>
      <c r="B1964" t="s">
        <v>35</v>
      </c>
      <c r="C1964" t="s">
        <v>9</v>
      </c>
      <c r="D1964" t="s">
        <v>12</v>
      </c>
      <c r="F1964" s="5">
        <v>44288</v>
      </c>
      <c r="G1964" s="5">
        <v>44312</v>
      </c>
      <c r="H1964" s="2">
        <v>1</v>
      </c>
      <c r="I1964" s="6"/>
      <c r="J1964" s="6"/>
      <c r="K1964" s="7">
        <v>0.5</v>
      </c>
      <c r="L1964" s="7">
        <v>163.197</v>
      </c>
      <c r="M1964" t="s">
        <v>19</v>
      </c>
      <c r="N1964" s="16">
        <f>POWER(SQRT(WorkOrders279[[#This Row],[WorkDate]]-WorkOrders279[[#This Row],[ReqDate]]),2)</f>
        <v>23.999999999999996</v>
      </c>
      <c r="O1964" s="8">
        <f t="array" ref="O1964">INDEX(TechRate,MATCH(H1964,TechNum,0))</f>
        <v>80</v>
      </c>
      <c r="P1964" s="10">
        <f>WorkOrders279[[#This Row],[Techs]]*(WorkOrders279[[#This Row],[PartsCost]]*WorkOrders279[[#This Row],[LbrHrs]])</f>
        <v>81.598500000000001</v>
      </c>
      <c r="Q1964" s="10">
        <f t="shared" si="179"/>
        <v>81.598500000000001</v>
      </c>
      <c r="R1964" s="10">
        <f t="shared" si="180"/>
        <v>163.197</v>
      </c>
      <c r="S1964" s="10">
        <f t="shared" si="181"/>
        <v>244.7955</v>
      </c>
      <c r="T1964" s="10">
        <f t="shared" si="182"/>
        <v>244.7955</v>
      </c>
      <c r="U1964" s="8" t="str">
        <f t="shared" si="183"/>
        <v>Fri</v>
      </c>
      <c r="V1964" s="8" t="str">
        <f t="shared" si="184"/>
        <v>Mon</v>
      </c>
    </row>
    <row r="1965" spans="1:22" hidden="1" x14ac:dyDescent="0.25">
      <c r="A1965" t="s">
        <v>507</v>
      </c>
      <c r="B1965" t="s">
        <v>36</v>
      </c>
      <c r="C1965" t="s">
        <v>7</v>
      </c>
      <c r="D1965" t="s">
        <v>12</v>
      </c>
      <c r="F1965" s="5">
        <v>44289</v>
      </c>
      <c r="G1965" s="5">
        <v>44301</v>
      </c>
      <c r="H1965" s="2">
        <v>2</v>
      </c>
      <c r="I1965" s="6"/>
      <c r="J1965" s="6"/>
      <c r="K1965" s="7">
        <v>0.25</v>
      </c>
      <c r="L1965" s="7">
        <v>14.76</v>
      </c>
      <c r="M1965" t="s">
        <v>17</v>
      </c>
      <c r="N1965" s="16">
        <f>POWER(SQRT(WorkOrders279[[#This Row],[WorkDate]]-WorkOrders279[[#This Row],[ReqDate]]),2)</f>
        <v>11.999999999999998</v>
      </c>
      <c r="O1965" s="8">
        <f t="array" ref="O1965">INDEX(TechRate,MATCH(H1965,TechNum,0))</f>
        <v>140</v>
      </c>
      <c r="P1965" s="10">
        <f>WorkOrders279[[#This Row],[Techs]]*(WorkOrders279[[#This Row],[PartsCost]]*WorkOrders279[[#This Row],[LbrHrs]])</f>
        <v>7.38</v>
      </c>
      <c r="Q1965" s="10">
        <f t="shared" si="179"/>
        <v>7.38</v>
      </c>
      <c r="R1965" s="10">
        <f t="shared" si="180"/>
        <v>14.76</v>
      </c>
      <c r="S1965" s="10">
        <f t="shared" si="181"/>
        <v>22.14</v>
      </c>
      <c r="T1965" s="10">
        <f t="shared" si="182"/>
        <v>22.14</v>
      </c>
      <c r="U1965" s="8" t="str">
        <f t="shared" si="183"/>
        <v>Sat</v>
      </c>
      <c r="V1965" s="8" t="str">
        <f t="shared" si="184"/>
        <v>Thu</v>
      </c>
    </row>
    <row r="1966" spans="1:22" hidden="1" x14ac:dyDescent="0.25">
      <c r="A1966" t="s">
        <v>508</v>
      </c>
      <c r="B1966" t="s">
        <v>39</v>
      </c>
      <c r="C1966" t="s">
        <v>44</v>
      </c>
      <c r="D1966" t="s">
        <v>12</v>
      </c>
      <c r="F1966" s="5">
        <v>44289</v>
      </c>
      <c r="G1966" s="5">
        <v>44313</v>
      </c>
      <c r="H1966" s="2">
        <v>1</v>
      </c>
      <c r="I1966" s="6"/>
      <c r="J1966" s="6"/>
      <c r="K1966" s="7">
        <v>0.75</v>
      </c>
      <c r="L1966" s="7">
        <v>21.33</v>
      </c>
      <c r="M1966" t="s">
        <v>17</v>
      </c>
      <c r="N1966" s="16">
        <f>POWER(SQRT(WorkOrders279[[#This Row],[WorkDate]]-WorkOrders279[[#This Row],[ReqDate]]),2)</f>
        <v>23.999999999999996</v>
      </c>
      <c r="O1966" s="8">
        <f t="array" ref="O1966">INDEX(TechRate,MATCH(H1966,TechNum,0))</f>
        <v>80</v>
      </c>
      <c r="P1966" s="10">
        <f>WorkOrders279[[#This Row],[Techs]]*(WorkOrders279[[#This Row],[PartsCost]]*WorkOrders279[[#This Row],[LbrHrs]])</f>
        <v>15.997499999999999</v>
      </c>
      <c r="Q1966" s="10">
        <f t="shared" si="179"/>
        <v>15.997499999999999</v>
      </c>
      <c r="R1966" s="10">
        <f t="shared" si="180"/>
        <v>21.33</v>
      </c>
      <c r="S1966" s="10">
        <f t="shared" si="181"/>
        <v>37.327500000000001</v>
      </c>
      <c r="T1966" s="10">
        <f t="shared" si="182"/>
        <v>37.327500000000001</v>
      </c>
      <c r="U1966" s="8" t="str">
        <f t="shared" si="183"/>
        <v>Sat</v>
      </c>
      <c r="V1966" s="8" t="str">
        <f t="shared" si="184"/>
        <v>Tue</v>
      </c>
    </row>
    <row r="1967" spans="1:22" hidden="1" x14ac:dyDescent="0.25">
      <c r="A1967" t="s">
        <v>509</v>
      </c>
      <c r="B1967" t="s">
        <v>35</v>
      </c>
      <c r="C1967" t="s">
        <v>9</v>
      </c>
      <c r="D1967" t="s">
        <v>12</v>
      </c>
      <c r="F1967" s="5">
        <v>44289</v>
      </c>
      <c r="G1967" s="5">
        <v>44327</v>
      </c>
      <c r="H1967" s="2">
        <v>2</v>
      </c>
      <c r="I1967" s="6"/>
      <c r="J1967" s="6" t="s">
        <v>3</v>
      </c>
      <c r="K1967" s="7">
        <v>1</v>
      </c>
      <c r="L1967" s="7">
        <v>304.50729999999999</v>
      </c>
      <c r="M1967" t="s">
        <v>18</v>
      </c>
      <c r="N1967" s="16">
        <f>POWER(SQRT(WorkOrders279[[#This Row],[WorkDate]]-WorkOrders279[[#This Row],[ReqDate]]),2)</f>
        <v>37.999999999999993</v>
      </c>
      <c r="O1967" s="8">
        <f t="array" ref="O1967">INDEX(TechRate,MATCH(H1967,TechNum,0))</f>
        <v>140</v>
      </c>
      <c r="P1967" s="10">
        <f>WorkOrders279[[#This Row],[Techs]]*(WorkOrders279[[#This Row],[PartsCost]]*WorkOrders279[[#This Row],[LbrHrs]])</f>
        <v>609.01459999999997</v>
      </c>
      <c r="Q1967" s="10">
        <f t="shared" si="179"/>
        <v>609.01459999999997</v>
      </c>
      <c r="R1967" s="10">
        <f t="shared" si="180"/>
        <v>0</v>
      </c>
      <c r="S1967" s="10">
        <f t="shared" si="181"/>
        <v>913.52189999999996</v>
      </c>
      <c r="T1967" s="10">
        <f t="shared" si="182"/>
        <v>609.01459999999997</v>
      </c>
      <c r="U1967" s="8" t="str">
        <f t="shared" si="183"/>
        <v>Sat</v>
      </c>
      <c r="V1967" s="8" t="str">
        <f t="shared" si="184"/>
        <v>Tue</v>
      </c>
    </row>
    <row r="1968" spans="1:22" hidden="1" x14ac:dyDescent="0.25">
      <c r="A1968" t="s">
        <v>510</v>
      </c>
      <c r="B1968" t="s">
        <v>41</v>
      </c>
      <c r="C1968" t="s">
        <v>8</v>
      </c>
      <c r="D1968" t="s">
        <v>12</v>
      </c>
      <c r="E1968" t="s">
        <v>3</v>
      </c>
      <c r="F1968" s="5">
        <v>44289</v>
      </c>
      <c r="G1968" s="5">
        <v>44327</v>
      </c>
      <c r="H1968" s="2">
        <v>1</v>
      </c>
      <c r="I1968" s="6"/>
      <c r="J1968" s="6"/>
      <c r="K1968" s="7">
        <v>0.5</v>
      </c>
      <c r="L1968" s="7">
        <v>36.3384</v>
      </c>
      <c r="M1968" t="s">
        <v>17</v>
      </c>
      <c r="N1968" s="16">
        <f>POWER(SQRT(WorkOrders279[[#This Row],[WorkDate]]-WorkOrders279[[#This Row],[ReqDate]]),2)</f>
        <v>37.999999999999993</v>
      </c>
      <c r="O1968" s="8">
        <f t="array" ref="O1968">INDEX(TechRate,MATCH(H1968,TechNum,0))</f>
        <v>80</v>
      </c>
      <c r="P1968" s="10">
        <f>WorkOrders279[[#This Row],[Techs]]*(WorkOrders279[[#This Row],[PartsCost]]*WorkOrders279[[#This Row],[LbrHrs]])</f>
        <v>18.1692</v>
      </c>
      <c r="Q1968" s="10">
        <f t="shared" si="179"/>
        <v>18.1692</v>
      </c>
      <c r="R1968" s="10">
        <f t="shared" si="180"/>
        <v>36.3384</v>
      </c>
      <c r="S1968" s="10">
        <f t="shared" si="181"/>
        <v>54.507599999999996</v>
      </c>
      <c r="T1968" s="10">
        <f t="shared" si="182"/>
        <v>54.507599999999996</v>
      </c>
      <c r="U1968" s="8" t="str">
        <f t="shared" si="183"/>
        <v>Sat</v>
      </c>
      <c r="V1968" s="8" t="str">
        <f t="shared" si="184"/>
        <v>Tue</v>
      </c>
    </row>
    <row r="1969" spans="1:22" hidden="1" x14ac:dyDescent="0.25">
      <c r="A1969" t="s">
        <v>511</v>
      </c>
      <c r="B1969" t="s">
        <v>40</v>
      </c>
      <c r="C1969" t="s">
        <v>7</v>
      </c>
      <c r="D1969" t="s">
        <v>12</v>
      </c>
      <c r="F1969" s="5">
        <v>44291</v>
      </c>
      <c r="G1969" s="5">
        <v>44300</v>
      </c>
      <c r="H1969" s="2">
        <v>2</v>
      </c>
      <c r="I1969" s="6"/>
      <c r="J1969" s="6"/>
      <c r="K1969" s="7">
        <v>0.5</v>
      </c>
      <c r="L1969" s="7">
        <v>21.33</v>
      </c>
      <c r="M1969" t="s">
        <v>17</v>
      </c>
      <c r="N1969" s="16">
        <f>POWER(SQRT(WorkOrders279[[#This Row],[WorkDate]]-WorkOrders279[[#This Row],[ReqDate]]),2)</f>
        <v>9</v>
      </c>
      <c r="O1969" s="8">
        <f t="array" ref="O1969">INDEX(TechRate,MATCH(H1969,TechNum,0))</f>
        <v>140</v>
      </c>
      <c r="P1969" s="10">
        <f>WorkOrders279[[#This Row],[Techs]]*(WorkOrders279[[#This Row],[PartsCost]]*WorkOrders279[[#This Row],[LbrHrs]])</f>
        <v>21.33</v>
      </c>
      <c r="Q1969" s="10">
        <f t="shared" si="179"/>
        <v>21.33</v>
      </c>
      <c r="R1969" s="10">
        <f t="shared" si="180"/>
        <v>21.33</v>
      </c>
      <c r="S1969" s="10">
        <f t="shared" si="181"/>
        <v>42.66</v>
      </c>
      <c r="T1969" s="10">
        <f t="shared" si="182"/>
        <v>42.66</v>
      </c>
      <c r="U1969" s="8" t="str">
        <f t="shared" si="183"/>
        <v>Mon</v>
      </c>
      <c r="V1969" s="8" t="str">
        <f t="shared" si="184"/>
        <v>Wed</v>
      </c>
    </row>
    <row r="1970" spans="1:22" hidden="1" x14ac:dyDescent="0.25">
      <c r="A1970" t="s">
        <v>512</v>
      </c>
      <c r="B1970" t="s">
        <v>36</v>
      </c>
      <c r="C1970" t="s">
        <v>7</v>
      </c>
      <c r="D1970" t="s">
        <v>13</v>
      </c>
      <c r="F1970" s="5">
        <v>44291</v>
      </c>
      <c r="G1970" s="5">
        <v>44309</v>
      </c>
      <c r="H1970" s="2">
        <v>2</v>
      </c>
      <c r="I1970" s="6"/>
      <c r="J1970" s="6"/>
      <c r="K1970" s="7">
        <v>0.5</v>
      </c>
      <c r="L1970" s="7">
        <v>392.02480000000003</v>
      </c>
      <c r="M1970" t="s">
        <v>18</v>
      </c>
      <c r="N1970" s="16">
        <f>POWER(SQRT(WorkOrders279[[#This Row],[WorkDate]]-WorkOrders279[[#This Row],[ReqDate]]),2)</f>
        <v>17.999999999999996</v>
      </c>
      <c r="O1970" s="8">
        <f t="array" ref="O1970">INDEX(TechRate,MATCH(H1970,TechNum,0))</f>
        <v>140</v>
      </c>
      <c r="P1970" s="10">
        <f>WorkOrders279[[#This Row],[Techs]]*(WorkOrders279[[#This Row],[PartsCost]]*WorkOrders279[[#This Row],[LbrHrs]])</f>
        <v>392.02480000000003</v>
      </c>
      <c r="Q1970" s="10">
        <f t="shared" si="179"/>
        <v>392.02480000000003</v>
      </c>
      <c r="R1970" s="10">
        <f t="shared" si="180"/>
        <v>392.02480000000003</v>
      </c>
      <c r="S1970" s="10">
        <f t="shared" si="181"/>
        <v>784.04960000000005</v>
      </c>
      <c r="T1970" s="10">
        <f t="shared" si="182"/>
        <v>784.04960000000005</v>
      </c>
      <c r="U1970" s="8" t="str">
        <f t="shared" si="183"/>
        <v>Mon</v>
      </c>
      <c r="V1970" s="8" t="str">
        <f t="shared" si="184"/>
        <v>Fri</v>
      </c>
    </row>
    <row r="1971" spans="1:22" hidden="1" x14ac:dyDescent="0.25">
      <c r="A1971" t="s">
        <v>513</v>
      </c>
      <c r="B1971" t="s">
        <v>36</v>
      </c>
      <c r="C1971" t="s">
        <v>7</v>
      </c>
      <c r="D1971" t="s">
        <v>12</v>
      </c>
      <c r="F1971" s="5">
        <v>44291</v>
      </c>
      <c r="G1971" s="5">
        <v>44315</v>
      </c>
      <c r="H1971" s="2">
        <v>1</v>
      </c>
      <c r="I1971" s="6"/>
      <c r="J1971" s="6"/>
      <c r="K1971" s="7">
        <v>0.25</v>
      </c>
      <c r="L1971" s="7">
        <v>151.78790000000001</v>
      </c>
      <c r="M1971" t="s">
        <v>17</v>
      </c>
      <c r="N1971" s="16">
        <f>POWER(SQRT(WorkOrders279[[#This Row],[WorkDate]]-WorkOrders279[[#This Row],[ReqDate]]),2)</f>
        <v>23.999999999999996</v>
      </c>
      <c r="O1971" s="8">
        <f t="array" ref="O1971">INDEX(TechRate,MATCH(H1971,TechNum,0))</f>
        <v>80</v>
      </c>
      <c r="P1971" s="10">
        <f>WorkOrders279[[#This Row],[Techs]]*(WorkOrders279[[#This Row],[PartsCost]]*WorkOrders279[[#This Row],[LbrHrs]])</f>
        <v>37.946975000000002</v>
      </c>
      <c r="Q1971" s="10">
        <f t="shared" si="179"/>
        <v>37.946975000000002</v>
      </c>
      <c r="R1971" s="10">
        <f t="shared" si="180"/>
        <v>151.78790000000001</v>
      </c>
      <c r="S1971" s="10">
        <f t="shared" si="181"/>
        <v>189.73487500000002</v>
      </c>
      <c r="T1971" s="10">
        <f t="shared" si="182"/>
        <v>189.73487500000002</v>
      </c>
      <c r="U1971" s="8" t="str">
        <f t="shared" si="183"/>
        <v>Mon</v>
      </c>
      <c r="V1971" s="8" t="str">
        <f t="shared" si="184"/>
        <v>Thu</v>
      </c>
    </row>
    <row r="1972" spans="1:22" hidden="1" x14ac:dyDescent="0.25">
      <c r="A1972" t="s">
        <v>514</v>
      </c>
      <c r="B1972" t="s">
        <v>35</v>
      </c>
      <c r="C1972" t="s">
        <v>44</v>
      </c>
      <c r="D1972" t="s">
        <v>12</v>
      </c>
      <c r="F1972" s="5">
        <v>44291</v>
      </c>
      <c r="G1972" s="5">
        <v>44328</v>
      </c>
      <c r="H1972" s="2">
        <v>1</v>
      </c>
      <c r="I1972" s="6"/>
      <c r="J1972" s="6"/>
      <c r="K1972" s="7">
        <v>0.25</v>
      </c>
      <c r="L1972" s="7">
        <v>30.1082</v>
      </c>
      <c r="M1972" t="s">
        <v>17</v>
      </c>
      <c r="N1972" s="16">
        <f>POWER(SQRT(WorkOrders279[[#This Row],[WorkDate]]-WorkOrders279[[#This Row],[ReqDate]]),2)</f>
        <v>36.999999999999993</v>
      </c>
      <c r="O1972" s="8">
        <f t="array" ref="O1972">INDEX(TechRate,MATCH(H1972,TechNum,0))</f>
        <v>80</v>
      </c>
      <c r="P1972" s="10">
        <f>WorkOrders279[[#This Row],[Techs]]*(WorkOrders279[[#This Row],[PartsCost]]*WorkOrders279[[#This Row],[LbrHrs]])</f>
        <v>7.52705</v>
      </c>
      <c r="Q1972" s="10">
        <f t="shared" si="179"/>
        <v>7.52705</v>
      </c>
      <c r="R1972" s="10">
        <f t="shared" si="180"/>
        <v>30.1082</v>
      </c>
      <c r="S1972" s="10">
        <f t="shared" si="181"/>
        <v>37.635249999999999</v>
      </c>
      <c r="T1972" s="10">
        <f t="shared" si="182"/>
        <v>37.635249999999999</v>
      </c>
      <c r="U1972" s="8" t="str">
        <f t="shared" si="183"/>
        <v>Mon</v>
      </c>
      <c r="V1972" s="8" t="str">
        <f t="shared" si="184"/>
        <v>Wed</v>
      </c>
    </row>
    <row r="1973" spans="1:22" hidden="1" x14ac:dyDescent="0.25">
      <c r="A1973" t="s">
        <v>515</v>
      </c>
      <c r="B1973" t="s">
        <v>40</v>
      </c>
      <c r="C1973" t="s">
        <v>7</v>
      </c>
      <c r="D1973" t="s">
        <v>13</v>
      </c>
      <c r="F1973" s="5">
        <v>44291</v>
      </c>
      <c r="G1973" s="5">
        <v>44333</v>
      </c>
      <c r="H1973" s="2">
        <v>2</v>
      </c>
      <c r="I1973" s="6"/>
      <c r="J1973" s="6"/>
      <c r="K1973" s="7">
        <v>0.75</v>
      </c>
      <c r="L1973" s="7">
        <v>13.36</v>
      </c>
      <c r="M1973" t="s">
        <v>18</v>
      </c>
      <c r="N1973" s="16">
        <f>POWER(SQRT(WorkOrders279[[#This Row],[WorkDate]]-WorkOrders279[[#This Row],[ReqDate]]),2)</f>
        <v>42</v>
      </c>
      <c r="O1973" s="8">
        <f t="array" ref="O1973">INDEX(TechRate,MATCH(H1973,TechNum,0))</f>
        <v>140</v>
      </c>
      <c r="P1973" s="10">
        <f>WorkOrders279[[#This Row],[Techs]]*(WorkOrders279[[#This Row],[PartsCost]]*WorkOrders279[[#This Row],[LbrHrs]])</f>
        <v>20.04</v>
      </c>
      <c r="Q1973" s="10">
        <f t="shared" si="179"/>
        <v>20.04</v>
      </c>
      <c r="R1973" s="10">
        <f t="shared" si="180"/>
        <v>13.36</v>
      </c>
      <c r="S1973" s="10">
        <f t="shared" si="181"/>
        <v>33.4</v>
      </c>
      <c r="T1973" s="10">
        <f t="shared" si="182"/>
        <v>33.4</v>
      </c>
      <c r="U1973" s="8" t="str">
        <f t="shared" si="183"/>
        <v>Mon</v>
      </c>
      <c r="V1973" s="8" t="str">
        <f t="shared" si="184"/>
        <v>Mon</v>
      </c>
    </row>
    <row r="1974" spans="1:22" hidden="1" x14ac:dyDescent="0.25">
      <c r="A1974" t="s">
        <v>516</v>
      </c>
      <c r="B1974" t="s">
        <v>34</v>
      </c>
      <c r="C1974" t="s">
        <v>44</v>
      </c>
      <c r="D1974" t="s">
        <v>2</v>
      </c>
      <c r="F1974" s="5">
        <v>44291</v>
      </c>
      <c r="G1974" s="5">
        <v>44362</v>
      </c>
      <c r="H1974" s="2">
        <v>1</v>
      </c>
      <c r="I1974" s="6"/>
      <c r="J1974" s="6"/>
      <c r="K1974" s="7">
        <v>4.25</v>
      </c>
      <c r="L1974" s="7">
        <v>21.33</v>
      </c>
      <c r="M1974" t="s">
        <v>17</v>
      </c>
      <c r="N1974" s="16">
        <f>POWER(SQRT(WorkOrders279[[#This Row],[WorkDate]]-WorkOrders279[[#This Row],[ReqDate]]),2)</f>
        <v>71</v>
      </c>
      <c r="O1974" s="8">
        <f t="array" ref="O1974">INDEX(TechRate,MATCH(H1974,TechNum,0))</f>
        <v>80</v>
      </c>
      <c r="P1974" s="10">
        <f>WorkOrders279[[#This Row],[Techs]]*(WorkOrders279[[#This Row],[PartsCost]]*WorkOrders279[[#This Row],[LbrHrs]])</f>
        <v>90.652499999999989</v>
      </c>
      <c r="Q1974" s="10">
        <f t="shared" si="179"/>
        <v>90.652499999999989</v>
      </c>
      <c r="R1974" s="10">
        <f t="shared" si="180"/>
        <v>21.33</v>
      </c>
      <c r="S1974" s="10">
        <f t="shared" si="181"/>
        <v>111.98249999999999</v>
      </c>
      <c r="T1974" s="10">
        <f t="shared" si="182"/>
        <v>111.98249999999999</v>
      </c>
      <c r="U1974" s="8" t="str">
        <f t="shared" si="183"/>
        <v>Mon</v>
      </c>
      <c r="V1974" s="8" t="str">
        <f t="shared" si="184"/>
        <v>Tue</v>
      </c>
    </row>
    <row r="1975" spans="1:22" hidden="1" x14ac:dyDescent="0.25">
      <c r="A1975" t="s">
        <v>517</v>
      </c>
      <c r="B1975" t="s">
        <v>40</v>
      </c>
      <c r="C1975" t="s">
        <v>7</v>
      </c>
      <c r="D1975" t="s">
        <v>12</v>
      </c>
      <c r="E1975" t="s">
        <v>3</v>
      </c>
      <c r="F1975" s="5">
        <v>44292</v>
      </c>
      <c r="G1975" s="5">
        <v>44323</v>
      </c>
      <c r="H1975" s="2">
        <v>1</v>
      </c>
      <c r="I1975" s="6"/>
      <c r="J1975" s="6"/>
      <c r="K1975" s="7">
        <v>0.75</v>
      </c>
      <c r="L1975" s="7">
        <v>21.33</v>
      </c>
      <c r="M1975" t="s">
        <v>18</v>
      </c>
      <c r="N1975" s="16">
        <f>POWER(SQRT(WorkOrders279[[#This Row],[WorkDate]]-WorkOrders279[[#This Row],[ReqDate]]),2)</f>
        <v>30.999999999999996</v>
      </c>
      <c r="O1975" s="8">
        <f t="array" ref="O1975">INDEX(TechRate,MATCH(H1975,TechNum,0))</f>
        <v>80</v>
      </c>
      <c r="P1975" s="10">
        <f>WorkOrders279[[#This Row],[Techs]]*(WorkOrders279[[#This Row],[PartsCost]]*WorkOrders279[[#This Row],[LbrHrs]])</f>
        <v>15.997499999999999</v>
      </c>
      <c r="Q1975" s="10">
        <f t="shared" si="179"/>
        <v>15.997499999999999</v>
      </c>
      <c r="R1975" s="10">
        <f t="shared" si="180"/>
        <v>21.33</v>
      </c>
      <c r="S1975" s="10">
        <f t="shared" si="181"/>
        <v>37.327500000000001</v>
      </c>
      <c r="T1975" s="10">
        <f t="shared" si="182"/>
        <v>37.327500000000001</v>
      </c>
      <c r="U1975" s="8" t="str">
        <f t="shared" si="183"/>
        <v>Tue</v>
      </c>
      <c r="V1975" s="8" t="str">
        <f t="shared" si="184"/>
        <v>Fri</v>
      </c>
    </row>
    <row r="1976" spans="1:22" hidden="1" x14ac:dyDescent="0.25">
      <c r="A1976" t="s">
        <v>518</v>
      </c>
      <c r="B1976" t="s">
        <v>40</v>
      </c>
      <c r="C1976" t="s">
        <v>7</v>
      </c>
      <c r="D1976" t="s">
        <v>11</v>
      </c>
      <c r="E1976" t="s">
        <v>3</v>
      </c>
      <c r="F1976" s="5">
        <v>44292</v>
      </c>
      <c r="G1976" s="5">
        <v>44326</v>
      </c>
      <c r="H1976" s="2">
        <v>1</v>
      </c>
      <c r="I1976" s="6"/>
      <c r="J1976" s="6"/>
      <c r="K1976" s="7">
        <v>0.25</v>
      </c>
      <c r="L1976" s="7">
        <v>21.6</v>
      </c>
      <c r="M1976" t="s">
        <v>17</v>
      </c>
      <c r="N1976" s="16">
        <f>POWER(SQRT(WorkOrders279[[#This Row],[WorkDate]]-WorkOrders279[[#This Row],[ReqDate]]),2)</f>
        <v>34</v>
      </c>
      <c r="O1976" s="8">
        <f t="array" ref="O1976">INDEX(TechRate,MATCH(H1976,TechNum,0))</f>
        <v>80</v>
      </c>
      <c r="P1976" s="10">
        <f>WorkOrders279[[#This Row],[Techs]]*(WorkOrders279[[#This Row],[PartsCost]]*WorkOrders279[[#This Row],[LbrHrs]])</f>
        <v>5.4</v>
      </c>
      <c r="Q1976" s="10">
        <f t="shared" si="179"/>
        <v>5.4</v>
      </c>
      <c r="R1976" s="10">
        <f t="shared" si="180"/>
        <v>21.6</v>
      </c>
      <c r="S1976" s="10">
        <f t="shared" si="181"/>
        <v>27</v>
      </c>
      <c r="T1976" s="10">
        <f t="shared" si="182"/>
        <v>27</v>
      </c>
      <c r="U1976" s="8" t="str">
        <f t="shared" si="183"/>
        <v>Tue</v>
      </c>
      <c r="V1976" s="8" t="str">
        <f t="shared" si="184"/>
        <v>Mon</v>
      </c>
    </row>
    <row r="1977" spans="1:22" hidden="1" x14ac:dyDescent="0.25">
      <c r="A1977" t="s">
        <v>519</v>
      </c>
      <c r="B1977" t="s">
        <v>39</v>
      </c>
      <c r="C1977" t="s">
        <v>9</v>
      </c>
      <c r="D1977" t="s">
        <v>11</v>
      </c>
      <c r="E1977" t="s">
        <v>3</v>
      </c>
      <c r="F1977" s="5">
        <v>44292</v>
      </c>
      <c r="G1977" s="5">
        <v>44336</v>
      </c>
      <c r="H1977" s="2">
        <v>1</v>
      </c>
      <c r="I1977" s="6"/>
      <c r="J1977" s="6"/>
      <c r="K1977" s="7">
        <v>0.25</v>
      </c>
      <c r="L1977" s="7">
        <v>108.9568</v>
      </c>
      <c r="M1977" t="s">
        <v>18</v>
      </c>
      <c r="N1977" s="16">
        <f>POWER(SQRT(WorkOrders279[[#This Row],[WorkDate]]-WorkOrders279[[#This Row],[ReqDate]]),2)</f>
        <v>44</v>
      </c>
      <c r="O1977" s="8">
        <f t="array" ref="O1977">INDEX(TechRate,MATCH(H1977,TechNum,0))</f>
        <v>80</v>
      </c>
      <c r="P1977" s="10">
        <f>WorkOrders279[[#This Row],[Techs]]*(WorkOrders279[[#This Row],[PartsCost]]*WorkOrders279[[#This Row],[LbrHrs]])</f>
        <v>27.2392</v>
      </c>
      <c r="Q1977" s="10">
        <f t="shared" si="179"/>
        <v>27.2392</v>
      </c>
      <c r="R1977" s="10">
        <f t="shared" si="180"/>
        <v>108.9568</v>
      </c>
      <c r="S1977" s="10">
        <f t="shared" si="181"/>
        <v>136.196</v>
      </c>
      <c r="T1977" s="10">
        <f t="shared" si="182"/>
        <v>136.196</v>
      </c>
      <c r="U1977" s="8" t="str">
        <f t="shared" si="183"/>
        <v>Tue</v>
      </c>
      <c r="V1977" s="8" t="str">
        <f t="shared" si="184"/>
        <v>Thu</v>
      </c>
    </row>
    <row r="1978" spans="1:22" hidden="1" x14ac:dyDescent="0.25">
      <c r="A1978" t="s">
        <v>520</v>
      </c>
      <c r="B1978" t="s">
        <v>38</v>
      </c>
      <c r="C1978" t="s">
        <v>8</v>
      </c>
      <c r="D1978" t="s">
        <v>11</v>
      </c>
      <c r="F1978" s="5">
        <v>44292</v>
      </c>
      <c r="G1978" s="5">
        <v>44341</v>
      </c>
      <c r="H1978" s="2">
        <v>1</v>
      </c>
      <c r="I1978" s="6"/>
      <c r="J1978" s="6"/>
      <c r="K1978" s="7">
        <v>0.25</v>
      </c>
      <c r="L1978" s="7">
        <v>42.66</v>
      </c>
      <c r="M1978" t="s">
        <v>19</v>
      </c>
      <c r="N1978" s="16">
        <f>POWER(SQRT(WorkOrders279[[#This Row],[WorkDate]]-WorkOrders279[[#This Row],[ReqDate]]),2)</f>
        <v>49</v>
      </c>
      <c r="O1978" s="8">
        <f t="array" ref="O1978">INDEX(TechRate,MATCH(H1978,TechNum,0))</f>
        <v>80</v>
      </c>
      <c r="P1978" s="10">
        <f>WorkOrders279[[#This Row],[Techs]]*(WorkOrders279[[#This Row],[PartsCost]]*WorkOrders279[[#This Row],[LbrHrs]])</f>
        <v>10.664999999999999</v>
      </c>
      <c r="Q1978" s="10">
        <f t="shared" si="179"/>
        <v>10.664999999999999</v>
      </c>
      <c r="R1978" s="10">
        <f t="shared" si="180"/>
        <v>42.66</v>
      </c>
      <c r="S1978" s="10">
        <f t="shared" si="181"/>
        <v>53.324999999999996</v>
      </c>
      <c r="T1978" s="10">
        <f t="shared" si="182"/>
        <v>53.324999999999996</v>
      </c>
      <c r="U1978" s="8" t="str">
        <f t="shared" si="183"/>
        <v>Tue</v>
      </c>
      <c r="V1978" s="8" t="str">
        <f t="shared" si="184"/>
        <v>Tue</v>
      </c>
    </row>
    <row r="1979" spans="1:22" hidden="1" x14ac:dyDescent="0.25">
      <c r="A1979" t="s">
        <v>521</v>
      </c>
      <c r="B1979" t="s">
        <v>42</v>
      </c>
      <c r="C1979" t="s">
        <v>8</v>
      </c>
      <c r="D1979" t="s">
        <v>12</v>
      </c>
      <c r="F1979" s="5">
        <v>44292</v>
      </c>
      <c r="G1979" s="5">
        <v>44343</v>
      </c>
      <c r="H1979" s="2">
        <v>1</v>
      </c>
      <c r="I1979" s="6"/>
      <c r="J1979" s="6"/>
      <c r="K1979" s="7">
        <v>1.75</v>
      </c>
      <c r="L1979" s="7">
        <v>342.6</v>
      </c>
      <c r="M1979" t="s">
        <v>18</v>
      </c>
      <c r="N1979" s="16">
        <f>POWER(SQRT(WorkOrders279[[#This Row],[WorkDate]]-WorkOrders279[[#This Row],[ReqDate]]),2)</f>
        <v>51.000000000000007</v>
      </c>
      <c r="O1979" s="8">
        <f t="array" ref="O1979">INDEX(TechRate,MATCH(H1979,TechNum,0))</f>
        <v>80</v>
      </c>
      <c r="P1979" s="10">
        <f>WorkOrders279[[#This Row],[Techs]]*(WorkOrders279[[#This Row],[PartsCost]]*WorkOrders279[[#This Row],[LbrHrs]])</f>
        <v>599.55000000000007</v>
      </c>
      <c r="Q1979" s="10">
        <f t="shared" si="179"/>
        <v>599.55000000000007</v>
      </c>
      <c r="R1979" s="10">
        <f t="shared" si="180"/>
        <v>342.6</v>
      </c>
      <c r="S1979" s="10">
        <f t="shared" si="181"/>
        <v>942.15000000000009</v>
      </c>
      <c r="T1979" s="10">
        <f t="shared" si="182"/>
        <v>942.15000000000009</v>
      </c>
      <c r="U1979" s="8" t="str">
        <f t="shared" si="183"/>
        <v>Tue</v>
      </c>
      <c r="V1979" s="8" t="str">
        <f t="shared" si="184"/>
        <v>Thu</v>
      </c>
    </row>
    <row r="1980" spans="1:22" hidden="1" x14ac:dyDescent="0.25">
      <c r="A1980" t="s">
        <v>522</v>
      </c>
      <c r="B1980" t="s">
        <v>41</v>
      </c>
      <c r="C1980" t="s">
        <v>8</v>
      </c>
      <c r="D1980" t="s">
        <v>13</v>
      </c>
      <c r="F1980" s="5">
        <v>44292</v>
      </c>
      <c r="G1980" s="5">
        <v>44376</v>
      </c>
      <c r="H1980" s="2">
        <v>2</v>
      </c>
      <c r="I1980" s="6"/>
      <c r="J1980" s="6"/>
      <c r="K1980" s="7">
        <v>0.75</v>
      </c>
      <c r="L1980" s="7">
        <v>40</v>
      </c>
      <c r="M1980" t="s">
        <v>19</v>
      </c>
      <c r="N1980" s="16">
        <f>POWER(SQRT(WorkOrders279[[#This Row],[WorkDate]]-WorkOrders279[[#This Row],[ReqDate]]),2)</f>
        <v>84</v>
      </c>
      <c r="O1980" s="8">
        <f t="array" ref="O1980">INDEX(TechRate,MATCH(H1980,TechNum,0))</f>
        <v>140</v>
      </c>
      <c r="P1980" s="10">
        <f>WorkOrders279[[#This Row],[Techs]]*(WorkOrders279[[#This Row],[PartsCost]]*WorkOrders279[[#This Row],[LbrHrs]])</f>
        <v>60</v>
      </c>
      <c r="Q1980" s="10">
        <f t="shared" si="179"/>
        <v>60</v>
      </c>
      <c r="R1980" s="10">
        <f t="shared" si="180"/>
        <v>40</v>
      </c>
      <c r="S1980" s="10">
        <f t="shared" si="181"/>
        <v>100</v>
      </c>
      <c r="T1980" s="10">
        <f t="shared" si="182"/>
        <v>100</v>
      </c>
      <c r="U1980" s="8" t="str">
        <f t="shared" si="183"/>
        <v>Tue</v>
      </c>
      <c r="V1980" s="8" t="str">
        <f t="shared" si="184"/>
        <v>Tue</v>
      </c>
    </row>
    <row r="1981" spans="1:22" hidden="1" x14ac:dyDescent="0.25">
      <c r="A1981" t="s">
        <v>523</v>
      </c>
      <c r="B1981" t="s">
        <v>36</v>
      </c>
      <c r="C1981" t="s">
        <v>7</v>
      </c>
      <c r="D1981" t="s">
        <v>11</v>
      </c>
      <c r="E1981" t="s">
        <v>3</v>
      </c>
      <c r="F1981" s="5">
        <v>44293</v>
      </c>
      <c r="G1981" s="5">
        <v>44300</v>
      </c>
      <c r="H1981" s="2">
        <v>1</v>
      </c>
      <c r="I1981" s="6"/>
      <c r="J1981" s="6"/>
      <c r="K1981" s="7">
        <v>0.25</v>
      </c>
      <c r="L1981" s="7">
        <v>259.2</v>
      </c>
      <c r="M1981" t="s">
        <v>18</v>
      </c>
      <c r="N1981" s="16">
        <f>POWER(SQRT(WorkOrders279[[#This Row],[WorkDate]]-WorkOrders279[[#This Row],[ReqDate]]),2)</f>
        <v>7.0000000000000009</v>
      </c>
      <c r="O1981" s="8">
        <f t="array" ref="O1981">INDEX(TechRate,MATCH(H1981,TechNum,0))</f>
        <v>80</v>
      </c>
      <c r="P1981" s="10">
        <f>WorkOrders279[[#This Row],[Techs]]*(WorkOrders279[[#This Row],[PartsCost]]*WorkOrders279[[#This Row],[LbrHrs]])</f>
        <v>64.8</v>
      </c>
      <c r="Q1981" s="10">
        <f t="shared" si="179"/>
        <v>64.8</v>
      </c>
      <c r="R1981" s="10">
        <f t="shared" si="180"/>
        <v>259.2</v>
      </c>
      <c r="S1981" s="10">
        <f t="shared" si="181"/>
        <v>324</v>
      </c>
      <c r="T1981" s="10">
        <f t="shared" si="182"/>
        <v>324</v>
      </c>
      <c r="U1981" s="8" t="str">
        <f t="shared" si="183"/>
        <v>Wed</v>
      </c>
      <c r="V1981" s="8" t="str">
        <f t="shared" si="184"/>
        <v>Wed</v>
      </c>
    </row>
    <row r="1982" spans="1:22" hidden="1" x14ac:dyDescent="0.25">
      <c r="A1982" t="s">
        <v>524</v>
      </c>
      <c r="B1982" t="s">
        <v>36</v>
      </c>
      <c r="C1982" t="s">
        <v>7</v>
      </c>
      <c r="D1982" t="s">
        <v>12</v>
      </c>
      <c r="F1982" s="5">
        <v>44293</v>
      </c>
      <c r="G1982" s="5">
        <v>44314</v>
      </c>
      <c r="H1982" s="2">
        <v>2</v>
      </c>
      <c r="I1982" s="6"/>
      <c r="J1982" s="6"/>
      <c r="K1982" s="7">
        <v>0.25</v>
      </c>
      <c r="L1982" s="7">
        <v>26.582599999999999</v>
      </c>
      <c r="M1982" t="s">
        <v>17</v>
      </c>
      <c r="N1982" s="16">
        <f>POWER(SQRT(WorkOrders279[[#This Row],[WorkDate]]-WorkOrders279[[#This Row],[ReqDate]]),2)</f>
        <v>21</v>
      </c>
      <c r="O1982" s="8">
        <f t="array" ref="O1982">INDEX(TechRate,MATCH(H1982,TechNum,0))</f>
        <v>140</v>
      </c>
      <c r="P1982" s="10">
        <f>WorkOrders279[[#This Row],[Techs]]*(WorkOrders279[[#This Row],[PartsCost]]*WorkOrders279[[#This Row],[LbrHrs]])</f>
        <v>13.2913</v>
      </c>
      <c r="Q1982" s="10">
        <f t="shared" si="179"/>
        <v>13.2913</v>
      </c>
      <c r="R1982" s="10">
        <f t="shared" si="180"/>
        <v>26.582599999999999</v>
      </c>
      <c r="S1982" s="10">
        <f t="shared" si="181"/>
        <v>39.873899999999999</v>
      </c>
      <c r="T1982" s="10">
        <f t="shared" si="182"/>
        <v>39.873899999999999</v>
      </c>
      <c r="U1982" s="8" t="str">
        <f t="shared" si="183"/>
        <v>Wed</v>
      </c>
      <c r="V1982" s="8" t="str">
        <f t="shared" si="184"/>
        <v>Wed</v>
      </c>
    </row>
    <row r="1983" spans="1:22" hidden="1" x14ac:dyDescent="0.25">
      <c r="A1983" t="s">
        <v>525</v>
      </c>
      <c r="B1983" t="s">
        <v>37</v>
      </c>
      <c r="C1983" t="s">
        <v>44</v>
      </c>
      <c r="D1983" t="s">
        <v>12</v>
      </c>
      <c r="F1983" s="5">
        <v>44293</v>
      </c>
      <c r="G1983" s="5">
        <v>44315</v>
      </c>
      <c r="H1983" s="2">
        <v>1</v>
      </c>
      <c r="I1983" s="6"/>
      <c r="J1983" s="6"/>
      <c r="K1983" s="7">
        <v>0.25</v>
      </c>
      <c r="L1983" s="7">
        <v>52.019799999999996</v>
      </c>
      <c r="M1983" t="s">
        <v>17</v>
      </c>
      <c r="N1983" s="16">
        <f>POWER(SQRT(WorkOrders279[[#This Row],[WorkDate]]-WorkOrders279[[#This Row],[ReqDate]]),2)</f>
        <v>22</v>
      </c>
      <c r="O1983" s="8">
        <f t="array" ref="O1983">INDEX(TechRate,MATCH(H1983,TechNum,0))</f>
        <v>80</v>
      </c>
      <c r="P1983" s="10">
        <f>WorkOrders279[[#This Row],[Techs]]*(WorkOrders279[[#This Row],[PartsCost]]*WorkOrders279[[#This Row],[LbrHrs]])</f>
        <v>13.004949999999999</v>
      </c>
      <c r="Q1983" s="10">
        <f t="shared" si="179"/>
        <v>13.004949999999999</v>
      </c>
      <c r="R1983" s="10">
        <f t="shared" si="180"/>
        <v>52.019799999999996</v>
      </c>
      <c r="S1983" s="10">
        <f t="shared" si="181"/>
        <v>65.024749999999997</v>
      </c>
      <c r="T1983" s="10">
        <f t="shared" si="182"/>
        <v>65.024749999999997</v>
      </c>
      <c r="U1983" s="8" t="str">
        <f t="shared" si="183"/>
        <v>Wed</v>
      </c>
      <c r="V1983" s="8" t="str">
        <f t="shared" si="184"/>
        <v>Thu</v>
      </c>
    </row>
    <row r="1984" spans="1:22" hidden="1" x14ac:dyDescent="0.25">
      <c r="A1984" t="s">
        <v>526</v>
      </c>
      <c r="B1984" t="s">
        <v>36</v>
      </c>
      <c r="C1984" t="s">
        <v>7</v>
      </c>
      <c r="D1984" t="s">
        <v>13</v>
      </c>
      <c r="F1984" s="5">
        <v>44293</v>
      </c>
      <c r="G1984" s="5">
        <v>44315</v>
      </c>
      <c r="H1984" s="2">
        <v>2</v>
      </c>
      <c r="I1984" s="6" t="s">
        <v>3</v>
      </c>
      <c r="J1984" s="6" t="s">
        <v>3</v>
      </c>
      <c r="K1984" s="7">
        <v>0.5</v>
      </c>
      <c r="L1984" s="7">
        <v>181.15710000000001</v>
      </c>
      <c r="M1984" t="s">
        <v>20</v>
      </c>
      <c r="N1984" s="16">
        <f>POWER(SQRT(WorkOrders279[[#This Row],[WorkDate]]-WorkOrders279[[#This Row],[ReqDate]]),2)</f>
        <v>22</v>
      </c>
      <c r="O1984" s="8">
        <f t="array" ref="O1984">INDEX(TechRate,MATCH(H1984,TechNum,0))</f>
        <v>140</v>
      </c>
      <c r="P1984" s="10">
        <f>WorkOrders279[[#This Row],[Techs]]*(WorkOrders279[[#This Row],[PartsCost]]*WorkOrders279[[#This Row],[LbrHrs]])</f>
        <v>181.15710000000001</v>
      </c>
      <c r="Q1984" s="10">
        <f t="shared" si="179"/>
        <v>0</v>
      </c>
      <c r="R1984" s="10">
        <f t="shared" si="180"/>
        <v>0</v>
      </c>
      <c r="S1984" s="10">
        <f t="shared" si="181"/>
        <v>362.31420000000003</v>
      </c>
      <c r="T1984" s="10">
        <f t="shared" si="182"/>
        <v>0</v>
      </c>
      <c r="U1984" s="8" t="str">
        <f t="shared" si="183"/>
        <v>Wed</v>
      </c>
      <c r="V1984" s="8" t="str">
        <f t="shared" si="184"/>
        <v>Thu</v>
      </c>
    </row>
    <row r="1985" spans="1:22" hidden="1" x14ac:dyDescent="0.25">
      <c r="A1985" t="s">
        <v>527</v>
      </c>
      <c r="B1985" t="s">
        <v>34</v>
      </c>
      <c r="C1985" t="s">
        <v>8</v>
      </c>
      <c r="D1985" t="s">
        <v>2</v>
      </c>
      <c r="F1985" s="5">
        <v>44293</v>
      </c>
      <c r="G1985" s="5">
        <v>44327</v>
      </c>
      <c r="H1985" s="2">
        <v>2</v>
      </c>
      <c r="I1985" s="6"/>
      <c r="J1985" s="6"/>
      <c r="K1985" s="7">
        <v>2</v>
      </c>
      <c r="L1985" s="7">
        <v>2050.6</v>
      </c>
      <c r="M1985" t="s">
        <v>17</v>
      </c>
      <c r="N1985" s="16">
        <f>POWER(SQRT(WorkOrders279[[#This Row],[WorkDate]]-WorkOrders279[[#This Row],[ReqDate]]),2)</f>
        <v>34</v>
      </c>
      <c r="O1985" s="8">
        <f t="array" ref="O1985">INDEX(TechRate,MATCH(H1985,TechNum,0))</f>
        <v>140</v>
      </c>
      <c r="P1985" s="10">
        <f>WorkOrders279[[#This Row],[Techs]]*(WorkOrders279[[#This Row],[PartsCost]]*WorkOrders279[[#This Row],[LbrHrs]])</f>
        <v>8202.4</v>
      </c>
      <c r="Q1985" s="10">
        <f t="shared" si="179"/>
        <v>8202.4</v>
      </c>
      <c r="R1985" s="10">
        <f t="shared" si="180"/>
        <v>2050.6</v>
      </c>
      <c r="S1985" s="10">
        <f t="shared" si="181"/>
        <v>10253</v>
      </c>
      <c r="T1985" s="10">
        <f t="shared" si="182"/>
        <v>10253</v>
      </c>
      <c r="U1985" s="8" t="str">
        <f t="shared" si="183"/>
        <v>Wed</v>
      </c>
      <c r="V1985" s="8" t="str">
        <f t="shared" si="184"/>
        <v>Tue</v>
      </c>
    </row>
    <row r="1986" spans="1:22" hidden="1" x14ac:dyDescent="0.25">
      <c r="A1986" t="s">
        <v>528</v>
      </c>
      <c r="B1986" t="s">
        <v>41</v>
      </c>
      <c r="C1986" t="s">
        <v>7</v>
      </c>
      <c r="D1986" t="s">
        <v>12</v>
      </c>
      <c r="F1986" s="5">
        <v>44293</v>
      </c>
      <c r="G1986" s="5"/>
      <c r="H1986" s="2">
        <v>2</v>
      </c>
      <c r="I1986" s="6"/>
      <c r="J1986" s="6" t="s">
        <v>3</v>
      </c>
      <c r="K1986" s="7"/>
      <c r="L1986" s="7">
        <v>1587.2547999999999</v>
      </c>
      <c r="M1986" t="s">
        <v>18</v>
      </c>
      <c r="N1986" s="16">
        <f>0</f>
        <v>0</v>
      </c>
      <c r="O1986" s="8">
        <f t="array" ref="O1986">INDEX(TechRate,MATCH(H1986,TechNum,0))</f>
        <v>140</v>
      </c>
      <c r="P1986" s="10">
        <f>WorkOrders279[[#This Row],[Techs]]*(WorkOrders279[[#This Row],[PartsCost]]*WorkOrders279[[#This Row],[LbrHrs]])</f>
        <v>0</v>
      </c>
      <c r="Q1986" s="10">
        <f t="shared" si="179"/>
        <v>0</v>
      </c>
      <c r="R1986" s="10">
        <f t="shared" si="180"/>
        <v>0</v>
      </c>
      <c r="S1986" s="10">
        <f t="shared" si="181"/>
        <v>1587.2547999999999</v>
      </c>
      <c r="T1986" s="10">
        <f t="shared" si="182"/>
        <v>0</v>
      </c>
      <c r="U1986" s="8" t="str">
        <f t="shared" si="183"/>
        <v>Wed</v>
      </c>
      <c r="V1986" s="8" t="str">
        <f t="shared" si="184"/>
        <v>Sat</v>
      </c>
    </row>
    <row r="1987" spans="1:22" hidden="1" x14ac:dyDescent="0.25">
      <c r="A1987" t="s">
        <v>529</v>
      </c>
      <c r="B1987" t="s">
        <v>36</v>
      </c>
      <c r="C1987" t="s">
        <v>7</v>
      </c>
      <c r="D1987" t="s">
        <v>13</v>
      </c>
      <c r="F1987" s="5">
        <v>44294</v>
      </c>
      <c r="G1987" s="5">
        <v>44308</v>
      </c>
      <c r="H1987" s="2">
        <v>2</v>
      </c>
      <c r="I1987" s="6"/>
      <c r="J1987" s="6"/>
      <c r="K1987" s="7">
        <v>0.75</v>
      </c>
      <c r="L1987" s="7">
        <v>158</v>
      </c>
      <c r="M1987" t="s">
        <v>17</v>
      </c>
      <c r="N1987" s="16">
        <f>POWER(SQRT(WorkOrders279[[#This Row],[WorkDate]]-WorkOrders279[[#This Row],[ReqDate]]),2)</f>
        <v>14</v>
      </c>
      <c r="O1987" s="8">
        <f t="array" ref="O1987">INDEX(TechRate,MATCH(H1987,TechNum,0))</f>
        <v>140</v>
      </c>
      <c r="P1987" s="10">
        <f>WorkOrders279[[#This Row],[Techs]]*(WorkOrders279[[#This Row],[PartsCost]]*WorkOrders279[[#This Row],[LbrHrs]])</f>
        <v>237</v>
      </c>
      <c r="Q1987" s="10">
        <f t="shared" si="179"/>
        <v>237</v>
      </c>
      <c r="R1987" s="10">
        <f t="shared" si="180"/>
        <v>158</v>
      </c>
      <c r="S1987" s="10">
        <f t="shared" si="181"/>
        <v>395</v>
      </c>
      <c r="T1987" s="10">
        <f t="shared" si="182"/>
        <v>395</v>
      </c>
      <c r="U1987" s="8" t="str">
        <f t="shared" si="183"/>
        <v>Thu</v>
      </c>
      <c r="V1987" s="8" t="str">
        <f t="shared" si="184"/>
        <v>Thu</v>
      </c>
    </row>
    <row r="1988" spans="1:22" hidden="1" x14ac:dyDescent="0.25">
      <c r="A1988" t="s">
        <v>530</v>
      </c>
      <c r="B1988" t="s">
        <v>34</v>
      </c>
      <c r="C1988" t="s">
        <v>8</v>
      </c>
      <c r="D1988" t="s">
        <v>11</v>
      </c>
      <c r="F1988" s="5">
        <v>44294</v>
      </c>
      <c r="G1988" s="5">
        <v>44314</v>
      </c>
      <c r="H1988" s="2">
        <v>1</v>
      </c>
      <c r="I1988" s="6" t="s">
        <v>3</v>
      </c>
      <c r="J1988" s="6" t="s">
        <v>3</v>
      </c>
      <c r="K1988" s="7">
        <v>0.25</v>
      </c>
      <c r="L1988" s="7">
        <v>30</v>
      </c>
      <c r="M1988" t="s">
        <v>20</v>
      </c>
      <c r="N1988" s="16">
        <f>POWER(SQRT(WorkOrders279[[#This Row],[WorkDate]]-WorkOrders279[[#This Row],[ReqDate]]),2)</f>
        <v>20.000000000000004</v>
      </c>
      <c r="O1988" s="8">
        <f t="array" ref="O1988">INDEX(TechRate,MATCH(H1988,TechNum,0))</f>
        <v>80</v>
      </c>
      <c r="P1988" s="10">
        <f>WorkOrders279[[#This Row],[Techs]]*(WorkOrders279[[#This Row],[PartsCost]]*WorkOrders279[[#This Row],[LbrHrs]])</f>
        <v>7.5</v>
      </c>
      <c r="Q1988" s="10">
        <f t="shared" si="179"/>
        <v>0</v>
      </c>
      <c r="R1988" s="10">
        <f t="shared" si="180"/>
        <v>0</v>
      </c>
      <c r="S1988" s="10">
        <f t="shared" si="181"/>
        <v>37.5</v>
      </c>
      <c r="T1988" s="10">
        <f t="shared" si="182"/>
        <v>0</v>
      </c>
      <c r="U1988" s="8" t="str">
        <f t="shared" si="183"/>
        <v>Thu</v>
      </c>
      <c r="V1988" s="8" t="str">
        <f t="shared" si="184"/>
        <v>Wed</v>
      </c>
    </row>
    <row r="1989" spans="1:22" hidden="1" x14ac:dyDescent="0.25">
      <c r="A1989" t="s">
        <v>531</v>
      </c>
      <c r="B1989" t="s">
        <v>41</v>
      </c>
      <c r="C1989" t="s">
        <v>9</v>
      </c>
      <c r="D1989" t="s">
        <v>2</v>
      </c>
      <c r="F1989" s="5">
        <v>44294</v>
      </c>
      <c r="G1989" s="5">
        <v>44315</v>
      </c>
      <c r="H1989" s="2">
        <v>2</v>
      </c>
      <c r="I1989" s="6"/>
      <c r="J1989" s="6" t="s">
        <v>3</v>
      </c>
      <c r="K1989" s="7">
        <v>1</v>
      </c>
      <c r="L1989" s="7">
        <v>54.28</v>
      </c>
      <c r="M1989" t="s">
        <v>18</v>
      </c>
      <c r="N1989" s="16">
        <f>POWER(SQRT(WorkOrders279[[#This Row],[WorkDate]]-WorkOrders279[[#This Row],[ReqDate]]),2)</f>
        <v>21</v>
      </c>
      <c r="O1989" s="8">
        <f t="array" ref="O1989">INDEX(TechRate,MATCH(H1989,TechNum,0))</f>
        <v>140</v>
      </c>
      <c r="P1989" s="10">
        <f>WorkOrders279[[#This Row],[Techs]]*(WorkOrders279[[#This Row],[PartsCost]]*WorkOrders279[[#This Row],[LbrHrs]])</f>
        <v>108.56</v>
      </c>
      <c r="Q1989" s="10">
        <f t="shared" si="179"/>
        <v>108.56</v>
      </c>
      <c r="R1989" s="10">
        <f t="shared" si="180"/>
        <v>0</v>
      </c>
      <c r="S1989" s="10">
        <f t="shared" si="181"/>
        <v>162.84</v>
      </c>
      <c r="T1989" s="10">
        <f t="shared" si="182"/>
        <v>108.56</v>
      </c>
      <c r="U1989" s="8" t="str">
        <f t="shared" si="183"/>
        <v>Thu</v>
      </c>
      <c r="V1989" s="8" t="str">
        <f t="shared" si="184"/>
        <v>Thu</v>
      </c>
    </row>
    <row r="1990" spans="1:22" hidden="1" x14ac:dyDescent="0.25">
      <c r="A1990" t="s">
        <v>532</v>
      </c>
      <c r="B1990" t="s">
        <v>36</v>
      </c>
      <c r="C1990" t="s">
        <v>7</v>
      </c>
      <c r="D1990" t="s">
        <v>11</v>
      </c>
      <c r="E1990" t="s">
        <v>3</v>
      </c>
      <c r="F1990" s="5">
        <v>44294</v>
      </c>
      <c r="G1990" s="5">
        <v>44319</v>
      </c>
      <c r="H1990" s="2">
        <v>1</v>
      </c>
      <c r="I1990" s="6"/>
      <c r="J1990" s="6"/>
      <c r="K1990" s="7">
        <v>0.25</v>
      </c>
      <c r="L1990" s="7">
        <v>85.32</v>
      </c>
      <c r="M1990" t="s">
        <v>18</v>
      </c>
      <c r="N1990" s="16">
        <f>POWER(SQRT(WorkOrders279[[#This Row],[WorkDate]]-WorkOrders279[[#This Row],[ReqDate]]),2)</f>
        <v>25</v>
      </c>
      <c r="O1990" s="8">
        <f t="array" ref="O1990">INDEX(TechRate,MATCH(H1990,TechNum,0))</f>
        <v>80</v>
      </c>
      <c r="P1990" s="10">
        <f>WorkOrders279[[#This Row],[Techs]]*(WorkOrders279[[#This Row],[PartsCost]]*WorkOrders279[[#This Row],[LbrHrs]])</f>
        <v>21.33</v>
      </c>
      <c r="Q1990" s="10">
        <f t="shared" si="179"/>
        <v>21.33</v>
      </c>
      <c r="R1990" s="10">
        <f t="shared" si="180"/>
        <v>85.32</v>
      </c>
      <c r="S1990" s="10">
        <f t="shared" si="181"/>
        <v>106.64999999999999</v>
      </c>
      <c r="T1990" s="10">
        <f t="shared" si="182"/>
        <v>106.64999999999999</v>
      </c>
      <c r="U1990" s="8" t="str">
        <f t="shared" si="183"/>
        <v>Thu</v>
      </c>
      <c r="V1990" s="8" t="str">
        <f t="shared" si="184"/>
        <v>Mon</v>
      </c>
    </row>
    <row r="1991" spans="1:22" hidden="1" x14ac:dyDescent="0.25">
      <c r="A1991" t="s">
        <v>533</v>
      </c>
      <c r="B1991" t="s">
        <v>41</v>
      </c>
      <c r="C1991" t="s">
        <v>7</v>
      </c>
      <c r="D1991" t="s">
        <v>12</v>
      </c>
      <c r="F1991" s="5">
        <v>44294</v>
      </c>
      <c r="G1991" s="5">
        <v>44329</v>
      </c>
      <c r="H1991" s="2">
        <v>2</v>
      </c>
      <c r="I1991" s="6"/>
      <c r="J1991" s="6"/>
      <c r="K1991" s="7">
        <v>0.25</v>
      </c>
      <c r="L1991" s="7">
        <v>30</v>
      </c>
      <c r="M1991" t="s">
        <v>18</v>
      </c>
      <c r="N1991" s="16">
        <f>POWER(SQRT(WorkOrders279[[#This Row],[WorkDate]]-WorkOrders279[[#This Row],[ReqDate]]),2)</f>
        <v>35</v>
      </c>
      <c r="O1991" s="8">
        <f t="array" ref="O1991">INDEX(TechRate,MATCH(H1991,TechNum,0))</f>
        <v>140</v>
      </c>
      <c r="P1991" s="10">
        <f>WorkOrders279[[#This Row],[Techs]]*(WorkOrders279[[#This Row],[PartsCost]]*WorkOrders279[[#This Row],[LbrHrs]])</f>
        <v>15</v>
      </c>
      <c r="Q1991" s="10">
        <f t="shared" si="179"/>
        <v>15</v>
      </c>
      <c r="R1991" s="10">
        <f t="shared" si="180"/>
        <v>30</v>
      </c>
      <c r="S1991" s="10">
        <f t="shared" si="181"/>
        <v>45</v>
      </c>
      <c r="T1991" s="10">
        <f t="shared" si="182"/>
        <v>45</v>
      </c>
      <c r="U1991" s="8" t="str">
        <f t="shared" si="183"/>
        <v>Thu</v>
      </c>
      <c r="V1991" s="8" t="str">
        <f t="shared" si="184"/>
        <v>Thu</v>
      </c>
    </row>
    <row r="1992" spans="1:22" hidden="1" x14ac:dyDescent="0.25">
      <c r="A1992" t="s">
        <v>534</v>
      </c>
      <c r="B1992" t="s">
        <v>35</v>
      </c>
      <c r="C1992" t="s">
        <v>44</v>
      </c>
      <c r="D1992" t="s">
        <v>12</v>
      </c>
      <c r="E1992" t="s">
        <v>3</v>
      </c>
      <c r="F1992" s="5">
        <v>44294</v>
      </c>
      <c r="G1992" s="5">
        <v>44337</v>
      </c>
      <c r="H1992" s="2">
        <v>2</v>
      </c>
      <c r="I1992" s="6"/>
      <c r="J1992" s="6"/>
      <c r="K1992" s="7">
        <v>0.25</v>
      </c>
      <c r="L1992" s="7">
        <v>2.54</v>
      </c>
      <c r="M1992" t="s">
        <v>17</v>
      </c>
      <c r="N1992" s="16">
        <f>POWER(SQRT(WorkOrders279[[#This Row],[WorkDate]]-WorkOrders279[[#This Row],[ReqDate]]),2)</f>
        <v>42.999999999999993</v>
      </c>
      <c r="O1992" s="8">
        <f t="array" ref="O1992">INDEX(TechRate,MATCH(H1992,TechNum,0))</f>
        <v>140</v>
      </c>
      <c r="P1992" s="10">
        <f>WorkOrders279[[#This Row],[Techs]]*(WorkOrders279[[#This Row],[PartsCost]]*WorkOrders279[[#This Row],[LbrHrs]])</f>
        <v>1.27</v>
      </c>
      <c r="Q1992" s="10">
        <f t="shared" si="179"/>
        <v>1.27</v>
      </c>
      <c r="R1992" s="10">
        <f t="shared" si="180"/>
        <v>2.54</v>
      </c>
      <c r="S1992" s="10">
        <f t="shared" si="181"/>
        <v>3.81</v>
      </c>
      <c r="T1992" s="10">
        <f t="shared" si="182"/>
        <v>3.81</v>
      </c>
      <c r="U1992" s="8" t="str">
        <f t="shared" si="183"/>
        <v>Thu</v>
      </c>
      <c r="V1992" s="8" t="str">
        <f t="shared" si="184"/>
        <v>Fri</v>
      </c>
    </row>
    <row r="1993" spans="1:22" hidden="1" x14ac:dyDescent="0.25">
      <c r="A1993" t="s">
        <v>535</v>
      </c>
      <c r="B1993" t="s">
        <v>36</v>
      </c>
      <c r="C1993" t="s">
        <v>7</v>
      </c>
      <c r="D1993" t="s">
        <v>11</v>
      </c>
      <c r="F1993" s="5">
        <v>44294</v>
      </c>
      <c r="G1993" s="5">
        <v>44355</v>
      </c>
      <c r="H1993" s="2">
        <v>1</v>
      </c>
      <c r="I1993" s="6"/>
      <c r="J1993" s="6"/>
      <c r="K1993" s="7">
        <v>0.25</v>
      </c>
      <c r="L1993" s="7">
        <v>66.864900000000006</v>
      </c>
      <c r="M1993" t="s">
        <v>17</v>
      </c>
      <c r="N1993" s="16">
        <f>POWER(SQRT(WorkOrders279[[#This Row],[WorkDate]]-WorkOrders279[[#This Row],[ReqDate]]),2)</f>
        <v>60.999999999999993</v>
      </c>
      <c r="O1993" s="8">
        <f t="array" ref="O1993">INDEX(TechRate,MATCH(H1993,TechNum,0))</f>
        <v>80</v>
      </c>
      <c r="P1993" s="10">
        <f>WorkOrders279[[#This Row],[Techs]]*(WorkOrders279[[#This Row],[PartsCost]]*WorkOrders279[[#This Row],[LbrHrs]])</f>
        <v>16.716225000000001</v>
      </c>
      <c r="Q1993" s="10">
        <f t="shared" si="179"/>
        <v>16.716225000000001</v>
      </c>
      <c r="R1993" s="10">
        <f t="shared" si="180"/>
        <v>66.864900000000006</v>
      </c>
      <c r="S1993" s="10">
        <f t="shared" si="181"/>
        <v>83.581125000000014</v>
      </c>
      <c r="T1993" s="10">
        <f t="shared" si="182"/>
        <v>83.581125000000014</v>
      </c>
      <c r="U1993" s="8" t="str">
        <f t="shared" si="183"/>
        <v>Thu</v>
      </c>
      <c r="V1993" s="8" t="str">
        <f t="shared" si="184"/>
        <v>Tue</v>
      </c>
    </row>
    <row r="1994" spans="1:22" hidden="1" x14ac:dyDescent="0.25">
      <c r="A1994" t="s">
        <v>536</v>
      </c>
      <c r="B1994" t="s">
        <v>36</v>
      </c>
      <c r="C1994" t="s">
        <v>7</v>
      </c>
      <c r="D1994" t="s">
        <v>13</v>
      </c>
      <c r="F1994" s="5">
        <v>44296</v>
      </c>
      <c r="G1994" s="5">
        <v>44307</v>
      </c>
      <c r="H1994" s="2">
        <v>2</v>
      </c>
      <c r="I1994" s="6"/>
      <c r="J1994" s="6"/>
      <c r="K1994" s="7">
        <v>0.75</v>
      </c>
      <c r="L1994" s="7">
        <v>108.9273</v>
      </c>
      <c r="M1994" t="s">
        <v>17</v>
      </c>
      <c r="N1994" s="16">
        <f>POWER(SQRT(WorkOrders279[[#This Row],[WorkDate]]-WorkOrders279[[#This Row],[ReqDate]]),2)</f>
        <v>11</v>
      </c>
      <c r="O1994" s="8">
        <f t="array" ref="O1994">INDEX(TechRate,MATCH(H1994,TechNum,0))</f>
        <v>140</v>
      </c>
      <c r="P1994" s="10">
        <f>WorkOrders279[[#This Row],[Techs]]*(WorkOrders279[[#This Row],[PartsCost]]*WorkOrders279[[#This Row],[LbrHrs]])</f>
        <v>163.39095</v>
      </c>
      <c r="Q1994" s="10">
        <f t="shared" si="179"/>
        <v>163.39095</v>
      </c>
      <c r="R1994" s="10">
        <f t="shared" si="180"/>
        <v>108.9273</v>
      </c>
      <c r="S1994" s="10">
        <f t="shared" si="181"/>
        <v>272.31825000000003</v>
      </c>
      <c r="T1994" s="10">
        <f t="shared" si="182"/>
        <v>272.31825000000003</v>
      </c>
      <c r="U1994" s="8" t="str">
        <f t="shared" si="183"/>
        <v>Sat</v>
      </c>
      <c r="V1994" s="8" t="str">
        <f t="shared" si="184"/>
        <v>Wed</v>
      </c>
    </row>
    <row r="1995" spans="1:22" hidden="1" x14ac:dyDescent="0.25">
      <c r="A1995" t="s">
        <v>537</v>
      </c>
      <c r="B1995" t="s">
        <v>39</v>
      </c>
      <c r="C1995" t="s">
        <v>44</v>
      </c>
      <c r="D1995" t="s">
        <v>2</v>
      </c>
      <c r="F1995" s="5">
        <v>44296</v>
      </c>
      <c r="G1995" s="5">
        <v>44326</v>
      </c>
      <c r="H1995" s="2">
        <v>1</v>
      </c>
      <c r="I1995" s="6" t="s">
        <v>3</v>
      </c>
      <c r="J1995" s="6" t="s">
        <v>3</v>
      </c>
      <c r="K1995" s="7">
        <v>4.75</v>
      </c>
      <c r="L1995" s="7">
        <v>397.36099999999999</v>
      </c>
      <c r="M1995" t="s">
        <v>20</v>
      </c>
      <c r="N1995" s="16">
        <f>POWER(SQRT(WorkOrders279[[#This Row],[WorkDate]]-WorkOrders279[[#This Row],[ReqDate]]),2)</f>
        <v>30</v>
      </c>
      <c r="O1995" s="8">
        <f t="array" ref="O1995">INDEX(TechRate,MATCH(H1995,TechNum,0))</f>
        <v>80</v>
      </c>
      <c r="P1995" s="10">
        <f>WorkOrders279[[#This Row],[Techs]]*(WorkOrders279[[#This Row],[PartsCost]]*WorkOrders279[[#This Row],[LbrHrs]])</f>
        <v>1887.4647499999999</v>
      </c>
      <c r="Q1995" s="10">
        <f t="shared" si="179"/>
        <v>0</v>
      </c>
      <c r="R1995" s="10">
        <f t="shared" si="180"/>
        <v>0</v>
      </c>
      <c r="S1995" s="10">
        <f t="shared" si="181"/>
        <v>2284.82575</v>
      </c>
      <c r="T1995" s="10">
        <f t="shared" si="182"/>
        <v>0</v>
      </c>
      <c r="U1995" s="8" t="str">
        <f t="shared" si="183"/>
        <v>Sat</v>
      </c>
      <c r="V1995" s="8" t="str">
        <f t="shared" si="184"/>
        <v>Mon</v>
      </c>
    </row>
    <row r="1996" spans="1:22" hidden="1" x14ac:dyDescent="0.25">
      <c r="A1996" t="s">
        <v>538</v>
      </c>
      <c r="B1996" t="s">
        <v>39</v>
      </c>
      <c r="C1996" t="s">
        <v>44</v>
      </c>
      <c r="D1996" t="s">
        <v>12</v>
      </c>
      <c r="F1996" s="5">
        <v>44298</v>
      </c>
      <c r="G1996" s="5">
        <v>44307</v>
      </c>
      <c r="H1996" s="2">
        <v>1</v>
      </c>
      <c r="I1996" s="6"/>
      <c r="J1996" s="6"/>
      <c r="K1996" s="7">
        <v>0.25</v>
      </c>
      <c r="L1996" s="7">
        <v>156.40209999999999</v>
      </c>
      <c r="M1996" t="s">
        <v>17</v>
      </c>
      <c r="N1996" s="16">
        <f>POWER(SQRT(WorkOrders279[[#This Row],[WorkDate]]-WorkOrders279[[#This Row],[ReqDate]]),2)</f>
        <v>9</v>
      </c>
      <c r="O1996" s="8">
        <f t="array" ref="O1996">INDEX(TechRate,MATCH(H1996,TechNum,0))</f>
        <v>80</v>
      </c>
      <c r="P1996" s="10">
        <f>WorkOrders279[[#This Row],[Techs]]*(WorkOrders279[[#This Row],[PartsCost]]*WorkOrders279[[#This Row],[LbrHrs]])</f>
        <v>39.100524999999998</v>
      </c>
      <c r="Q1996" s="10">
        <f t="shared" si="179"/>
        <v>39.100524999999998</v>
      </c>
      <c r="R1996" s="10">
        <f t="shared" si="180"/>
        <v>156.40209999999999</v>
      </c>
      <c r="S1996" s="10">
        <f t="shared" si="181"/>
        <v>195.50262499999999</v>
      </c>
      <c r="T1996" s="10">
        <f t="shared" si="182"/>
        <v>195.50262499999999</v>
      </c>
      <c r="U1996" s="8" t="str">
        <f t="shared" si="183"/>
        <v>Mon</v>
      </c>
      <c r="V1996" s="8" t="str">
        <f t="shared" si="184"/>
        <v>Wed</v>
      </c>
    </row>
    <row r="1997" spans="1:22" hidden="1" x14ac:dyDescent="0.25">
      <c r="A1997" t="s">
        <v>539</v>
      </c>
      <c r="B1997" t="s">
        <v>34</v>
      </c>
      <c r="C1997" t="s">
        <v>44</v>
      </c>
      <c r="D1997" t="s">
        <v>12</v>
      </c>
      <c r="F1997" s="5">
        <v>44298</v>
      </c>
      <c r="G1997" s="5">
        <v>44307</v>
      </c>
      <c r="H1997" s="2">
        <v>2</v>
      </c>
      <c r="I1997" s="6"/>
      <c r="J1997" s="6" t="s">
        <v>3</v>
      </c>
      <c r="K1997" s="7">
        <v>0.5</v>
      </c>
      <c r="L1997" s="7">
        <v>176.22120000000001</v>
      </c>
      <c r="M1997" t="s">
        <v>18</v>
      </c>
      <c r="N1997" s="16">
        <f>POWER(SQRT(WorkOrders279[[#This Row],[WorkDate]]-WorkOrders279[[#This Row],[ReqDate]]),2)</f>
        <v>9</v>
      </c>
      <c r="O1997" s="8">
        <f t="array" ref="O1997">INDEX(TechRate,MATCH(H1997,TechNum,0))</f>
        <v>140</v>
      </c>
      <c r="P1997" s="10">
        <f>WorkOrders279[[#This Row],[Techs]]*(WorkOrders279[[#This Row],[PartsCost]]*WorkOrders279[[#This Row],[LbrHrs]])</f>
        <v>176.22120000000001</v>
      </c>
      <c r="Q1997" s="10">
        <f t="shared" si="179"/>
        <v>176.22120000000001</v>
      </c>
      <c r="R1997" s="10">
        <f t="shared" si="180"/>
        <v>0</v>
      </c>
      <c r="S1997" s="10">
        <f t="shared" si="181"/>
        <v>352.44240000000002</v>
      </c>
      <c r="T1997" s="10">
        <f t="shared" si="182"/>
        <v>176.22120000000001</v>
      </c>
      <c r="U1997" s="8" t="str">
        <f t="shared" si="183"/>
        <v>Mon</v>
      </c>
      <c r="V1997" s="8" t="str">
        <f t="shared" si="184"/>
        <v>Wed</v>
      </c>
    </row>
    <row r="1998" spans="1:22" hidden="1" x14ac:dyDescent="0.25">
      <c r="A1998" t="s">
        <v>540</v>
      </c>
      <c r="B1998" t="s">
        <v>36</v>
      </c>
      <c r="C1998" t="s">
        <v>7</v>
      </c>
      <c r="D1998" t="s">
        <v>11</v>
      </c>
      <c r="F1998" s="5">
        <v>44298</v>
      </c>
      <c r="G1998" s="5">
        <v>44314</v>
      </c>
      <c r="H1998" s="2">
        <v>1</v>
      </c>
      <c r="I1998" s="6"/>
      <c r="J1998" s="6"/>
      <c r="K1998" s="7">
        <v>0.25</v>
      </c>
      <c r="L1998" s="7">
        <v>4.99</v>
      </c>
      <c r="M1998" t="s">
        <v>18</v>
      </c>
      <c r="N1998" s="16">
        <f>POWER(SQRT(WorkOrders279[[#This Row],[WorkDate]]-WorkOrders279[[#This Row],[ReqDate]]),2)</f>
        <v>16</v>
      </c>
      <c r="O1998" s="8">
        <f t="array" ref="O1998">INDEX(TechRate,MATCH(H1998,TechNum,0))</f>
        <v>80</v>
      </c>
      <c r="P1998" s="10">
        <f>WorkOrders279[[#This Row],[Techs]]*(WorkOrders279[[#This Row],[PartsCost]]*WorkOrders279[[#This Row],[LbrHrs]])</f>
        <v>1.2475000000000001</v>
      </c>
      <c r="Q1998" s="10">
        <f t="shared" si="179"/>
        <v>1.2475000000000001</v>
      </c>
      <c r="R1998" s="10">
        <f t="shared" si="180"/>
        <v>4.99</v>
      </c>
      <c r="S1998" s="10">
        <f t="shared" si="181"/>
        <v>6.2375000000000007</v>
      </c>
      <c r="T1998" s="10">
        <f t="shared" si="182"/>
        <v>6.2375000000000007</v>
      </c>
      <c r="U1998" s="8" t="str">
        <f t="shared" si="183"/>
        <v>Mon</v>
      </c>
      <c r="V1998" s="8" t="str">
        <f t="shared" si="184"/>
        <v>Wed</v>
      </c>
    </row>
    <row r="1999" spans="1:22" hidden="1" x14ac:dyDescent="0.25">
      <c r="A1999" t="s">
        <v>541</v>
      </c>
      <c r="B1999" t="s">
        <v>35</v>
      </c>
      <c r="C1999" t="s">
        <v>9</v>
      </c>
      <c r="D1999" t="s">
        <v>11</v>
      </c>
      <c r="F1999" s="5">
        <v>44298</v>
      </c>
      <c r="G1999" s="5">
        <v>44319</v>
      </c>
      <c r="H1999" s="2">
        <v>1</v>
      </c>
      <c r="I1999" s="6"/>
      <c r="J1999" s="6"/>
      <c r="K1999" s="7">
        <v>0.25</v>
      </c>
      <c r="L1999" s="7">
        <v>83.462900000000005</v>
      </c>
      <c r="M1999" t="s">
        <v>17</v>
      </c>
      <c r="N1999" s="16">
        <f>POWER(SQRT(WorkOrders279[[#This Row],[WorkDate]]-WorkOrders279[[#This Row],[ReqDate]]),2)</f>
        <v>21</v>
      </c>
      <c r="O1999" s="8">
        <f t="array" ref="O1999">INDEX(TechRate,MATCH(H1999,TechNum,0))</f>
        <v>80</v>
      </c>
      <c r="P1999" s="10">
        <f>WorkOrders279[[#This Row],[Techs]]*(WorkOrders279[[#This Row],[PartsCost]]*WorkOrders279[[#This Row],[LbrHrs]])</f>
        <v>20.865725000000001</v>
      </c>
      <c r="Q1999" s="10">
        <f t="shared" si="179"/>
        <v>20.865725000000001</v>
      </c>
      <c r="R1999" s="10">
        <f t="shared" si="180"/>
        <v>83.462900000000005</v>
      </c>
      <c r="S1999" s="10">
        <f t="shared" si="181"/>
        <v>104.328625</v>
      </c>
      <c r="T1999" s="10">
        <f t="shared" si="182"/>
        <v>104.328625</v>
      </c>
      <c r="U1999" s="8" t="str">
        <f t="shared" si="183"/>
        <v>Mon</v>
      </c>
      <c r="V1999" s="8" t="str">
        <f t="shared" si="184"/>
        <v>Mon</v>
      </c>
    </row>
    <row r="2000" spans="1:22" hidden="1" x14ac:dyDescent="0.25">
      <c r="A2000" t="s">
        <v>542</v>
      </c>
      <c r="B2000" t="s">
        <v>34</v>
      </c>
      <c r="C2000" t="s">
        <v>9</v>
      </c>
      <c r="D2000" t="s">
        <v>1</v>
      </c>
      <c r="F2000" s="5">
        <v>44298</v>
      </c>
      <c r="G2000" s="5">
        <v>44320</v>
      </c>
      <c r="H2000" s="2">
        <v>2</v>
      </c>
      <c r="I2000" s="6"/>
      <c r="J2000" s="6"/>
      <c r="K2000" s="7">
        <v>2.25</v>
      </c>
      <c r="L2000" s="7">
        <v>52</v>
      </c>
      <c r="M2000" t="s">
        <v>17</v>
      </c>
      <c r="N2000" s="16">
        <f>POWER(SQRT(WorkOrders279[[#This Row],[WorkDate]]-WorkOrders279[[#This Row],[ReqDate]]),2)</f>
        <v>22</v>
      </c>
      <c r="O2000" s="8">
        <f t="array" ref="O2000">INDEX(TechRate,MATCH(H2000,TechNum,0))</f>
        <v>140</v>
      </c>
      <c r="P2000" s="10">
        <f>WorkOrders279[[#This Row],[Techs]]*(WorkOrders279[[#This Row],[PartsCost]]*WorkOrders279[[#This Row],[LbrHrs]])</f>
        <v>234</v>
      </c>
      <c r="Q2000" s="10">
        <f t="shared" si="179"/>
        <v>234</v>
      </c>
      <c r="R2000" s="10">
        <f t="shared" si="180"/>
        <v>52</v>
      </c>
      <c r="S2000" s="10">
        <f t="shared" si="181"/>
        <v>286</v>
      </c>
      <c r="T2000" s="10">
        <f t="shared" si="182"/>
        <v>286</v>
      </c>
      <c r="U2000" s="8" t="str">
        <f t="shared" si="183"/>
        <v>Mon</v>
      </c>
      <c r="V2000" s="8" t="str">
        <f t="shared" si="184"/>
        <v>Tue</v>
      </c>
    </row>
    <row r="2001" spans="1:22" hidden="1" x14ac:dyDescent="0.25">
      <c r="A2001" t="s">
        <v>543</v>
      </c>
      <c r="B2001" t="s">
        <v>37</v>
      </c>
      <c r="C2001" t="s">
        <v>43</v>
      </c>
      <c r="D2001" t="s">
        <v>12</v>
      </c>
      <c r="F2001" s="5">
        <v>44298</v>
      </c>
      <c r="G2001" s="5">
        <v>44320</v>
      </c>
      <c r="H2001" s="2">
        <v>1</v>
      </c>
      <c r="I2001" s="6"/>
      <c r="J2001" s="6"/>
      <c r="K2001" s="7">
        <v>0.5</v>
      </c>
      <c r="L2001" s="7">
        <v>743.18399999999997</v>
      </c>
      <c r="M2001" t="s">
        <v>19</v>
      </c>
      <c r="N2001" s="16">
        <f>POWER(SQRT(WorkOrders279[[#This Row],[WorkDate]]-WorkOrders279[[#This Row],[ReqDate]]),2)</f>
        <v>22</v>
      </c>
      <c r="O2001" s="8">
        <f t="array" ref="O2001">INDEX(TechRate,MATCH(H2001,TechNum,0))</f>
        <v>80</v>
      </c>
      <c r="P2001" s="10">
        <f>WorkOrders279[[#This Row],[Techs]]*(WorkOrders279[[#This Row],[PartsCost]]*WorkOrders279[[#This Row],[LbrHrs]])</f>
        <v>371.59199999999998</v>
      </c>
      <c r="Q2001" s="10">
        <f t="shared" si="179"/>
        <v>371.59199999999998</v>
      </c>
      <c r="R2001" s="10">
        <f t="shared" si="180"/>
        <v>743.18399999999997</v>
      </c>
      <c r="S2001" s="10">
        <f t="shared" si="181"/>
        <v>1114.7759999999998</v>
      </c>
      <c r="T2001" s="10">
        <f t="shared" si="182"/>
        <v>1114.7759999999998</v>
      </c>
      <c r="U2001" s="8" t="str">
        <f t="shared" si="183"/>
        <v>Mon</v>
      </c>
      <c r="V2001" s="8" t="str">
        <f t="shared" si="184"/>
        <v>Tue</v>
      </c>
    </row>
    <row r="2002" spans="1:22" hidden="1" x14ac:dyDescent="0.25">
      <c r="A2002" t="s">
        <v>544</v>
      </c>
      <c r="B2002" t="s">
        <v>34</v>
      </c>
      <c r="C2002" t="s">
        <v>44</v>
      </c>
      <c r="D2002" t="s">
        <v>13</v>
      </c>
      <c r="F2002" s="5">
        <v>44298</v>
      </c>
      <c r="G2002" s="5">
        <v>44363</v>
      </c>
      <c r="H2002" s="2">
        <v>1</v>
      </c>
      <c r="I2002" s="6"/>
      <c r="J2002" s="6"/>
      <c r="K2002" s="7">
        <v>0.5</v>
      </c>
      <c r="L2002" s="7">
        <v>144</v>
      </c>
      <c r="M2002" t="s">
        <v>18</v>
      </c>
      <c r="N2002" s="16">
        <f>POWER(SQRT(WorkOrders279[[#This Row],[WorkDate]]-WorkOrders279[[#This Row],[ReqDate]]),2)</f>
        <v>64.999999999999986</v>
      </c>
      <c r="O2002" s="8">
        <f t="array" ref="O2002">INDEX(TechRate,MATCH(H2002,TechNum,0))</f>
        <v>80</v>
      </c>
      <c r="P2002" s="10">
        <f>WorkOrders279[[#This Row],[Techs]]*(WorkOrders279[[#This Row],[PartsCost]]*WorkOrders279[[#This Row],[LbrHrs]])</f>
        <v>72</v>
      </c>
      <c r="Q2002" s="10">
        <f t="shared" si="179"/>
        <v>72</v>
      </c>
      <c r="R2002" s="10">
        <f t="shared" si="180"/>
        <v>144</v>
      </c>
      <c r="S2002" s="10">
        <f t="shared" si="181"/>
        <v>216</v>
      </c>
      <c r="T2002" s="10">
        <f t="shared" si="182"/>
        <v>216</v>
      </c>
      <c r="U2002" s="8" t="str">
        <f t="shared" si="183"/>
        <v>Mon</v>
      </c>
      <c r="V2002" s="8" t="str">
        <f t="shared" si="184"/>
        <v>Wed</v>
      </c>
    </row>
    <row r="2003" spans="1:22" hidden="1" x14ac:dyDescent="0.25">
      <c r="A2003" t="s">
        <v>545</v>
      </c>
      <c r="B2003" t="s">
        <v>36</v>
      </c>
      <c r="C2003" t="s">
        <v>7</v>
      </c>
      <c r="D2003" t="s">
        <v>11</v>
      </c>
      <c r="F2003" s="5">
        <v>44299</v>
      </c>
      <c r="G2003" s="5">
        <v>44314</v>
      </c>
      <c r="H2003" s="2">
        <v>1</v>
      </c>
      <c r="I2003" s="6" t="s">
        <v>3</v>
      </c>
      <c r="J2003" s="6" t="s">
        <v>3</v>
      </c>
      <c r="K2003" s="7">
        <v>0.25</v>
      </c>
      <c r="L2003" s="7">
        <v>38.124600000000001</v>
      </c>
      <c r="M2003" t="s">
        <v>20</v>
      </c>
      <c r="N2003" s="16">
        <f>POWER(SQRT(WorkOrders279[[#This Row],[WorkDate]]-WorkOrders279[[#This Row],[ReqDate]]),2)</f>
        <v>15.000000000000002</v>
      </c>
      <c r="O2003" s="8">
        <f t="array" ref="O2003">INDEX(TechRate,MATCH(H2003,TechNum,0))</f>
        <v>80</v>
      </c>
      <c r="P2003" s="10">
        <f>WorkOrders279[[#This Row],[Techs]]*(WorkOrders279[[#This Row],[PartsCost]]*WorkOrders279[[#This Row],[LbrHrs]])</f>
        <v>9.5311500000000002</v>
      </c>
      <c r="Q2003" s="10">
        <f t="shared" si="179"/>
        <v>0</v>
      </c>
      <c r="R2003" s="10">
        <f t="shared" si="180"/>
        <v>0</v>
      </c>
      <c r="S2003" s="10">
        <f t="shared" si="181"/>
        <v>47.655749999999998</v>
      </c>
      <c r="T2003" s="10">
        <f t="shared" si="182"/>
        <v>0</v>
      </c>
      <c r="U2003" s="8" t="str">
        <f t="shared" si="183"/>
        <v>Tue</v>
      </c>
      <c r="V2003" s="8" t="str">
        <f t="shared" si="184"/>
        <v>Wed</v>
      </c>
    </row>
    <row r="2005" spans="1:22" x14ac:dyDescent="0.25">
      <c r="A2005" t="s">
        <v>547</v>
      </c>
      <c r="B2005">
        <f>MAX(WorkOrders27[TotalCost])</f>
        <v>86555</v>
      </c>
    </row>
    <row r="2006" spans="1:22" x14ac:dyDescent="0.25">
      <c r="A2006" t="s">
        <v>548</v>
      </c>
      <c r="B2006">
        <f>MIN(WorkOrders27[TotalCost])</f>
        <v>0.91200000000000003</v>
      </c>
    </row>
    <row r="2008" spans="1:22" x14ac:dyDescent="0.25">
      <c r="A2008" s="11" t="s">
        <v>5</v>
      </c>
      <c r="B2008" s="11" t="s">
        <v>24</v>
      </c>
      <c r="C2008" s="11" t="s">
        <v>10</v>
      </c>
      <c r="D2008" s="11" t="s">
        <v>0</v>
      </c>
      <c r="E2008" s="11" t="s">
        <v>23</v>
      </c>
      <c r="F2008" s="11" t="s">
        <v>14</v>
      </c>
      <c r="G2008" s="11" t="s">
        <v>15</v>
      </c>
      <c r="H2008" s="11" t="s">
        <v>4</v>
      </c>
      <c r="I2008" s="11" t="s">
        <v>25</v>
      </c>
      <c r="J2008" s="11" t="s">
        <v>26</v>
      </c>
      <c r="K2008" s="12" t="s">
        <v>27</v>
      </c>
      <c r="L2008" s="12" t="s">
        <v>28</v>
      </c>
      <c r="M2008" s="11" t="s">
        <v>16</v>
      </c>
      <c r="N2008" s="13" t="s">
        <v>22</v>
      </c>
      <c r="O2008" s="11" t="s">
        <v>546</v>
      </c>
      <c r="P2008" s="12" t="s">
        <v>29</v>
      </c>
      <c r="Q2008" s="12" t="s">
        <v>30</v>
      </c>
      <c r="R2008" s="12" t="s">
        <v>31</v>
      </c>
      <c r="S2008" s="12" t="s">
        <v>32</v>
      </c>
      <c r="T2008" s="12" t="s">
        <v>33</v>
      </c>
      <c r="U2008" s="1" t="s">
        <v>45</v>
      </c>
      <c r="V2008" s="1" t="s">
        <v>46</v>
      </c>
    </row>
    <row r="2009" spans="1:22" hidden="1" x14ac:dyDescent="0.25">
      <c r="A2009" t="s">
        <v>47</v>
      </c>
      <c r="B2009" t="s">
        <v>36</v>
      </c>
      <c r="C2009" t="s">
        <v>8</v>
      </c>
      <c r="D2009" t="s">
        <v>12</v>
      </c>
      <c r="F2009" s="5">
        <v>44075</v>
      </c>
      <c r="G2009" s="5">
        <v>44089</v>
      </c>
      <c r="H2009" s="2">
        <v>2</v>
      </c>
      <c r="I2009" s="6"/>
      <c r="J2009" s="6"/>
      <c r="K2009" s="7">
        <v>0.5</v>
      </c>
      <c r="L2009" s="7">
        <v>360</v>
      </c>
      <c r="M2009" t="s">
        <v>17</v>
      </c>
      <c r="N2009" s="16">
        <f>POWER(SQRT(WorkOrders2710[[#This Row],[WorkDate]]-WorkOrders2710[[#This Row],[ReqDate]]),2)</f>
        <v>14</v>
      </c>
      <c r="O2009" s="8">
        <f t="array" ref="O2009">INDEX(TechRate,MATCH(H2009,TechNum,0))</f>
        <v>140</v>
      </c>
      <c r="P2009" s="10">
        <f>WorkOrders2710[[#This Row],[Techs]]*(WorkOrders2710[[#This Row],[PartsCost]]*WorkOrders2710[[#This Row],[LbrHrs]])</f>
        <v>360</v>
      </c>
      <c r="Q2009" s="10">
        <f t="shared" ref="Q2009:Q2072" si="185">IF(I2009="Yes",0,P2009)</f>
        <v>360</v>
      </c>
      <c r="R2009" s="10">
        <f t="shared" ref="R2009:R2072" si="186">IF(J2009="Yes",0,L2009)</f>
        <v>360</v>
      </c>
      <c r="S2009" s="10">
        <f t="shared" ref="S2009:S2072" si="187">SUM(L2009,P2009)</f>
        <v>720</v>
      </c>
      <c r="T2009" s="10">
        <f t="shared" ref="T2009:T2072" si="188">SUM(Q2009,R2009)</f>
        <v>720</v>
      </c>
      <c r="U2009" s="8" t="str">
        <f t="shared" ref="U2009:U2072" si="189">TEXT(F2009,"ddd")</f>
        <v>Tue</v>
      </c>
      <c r="V2009" s="8" t="str">
        <f t="shared" ref="V2009:V2072" si="190">TEXT(G2009,"ddd")</f>
        <v>Tue</v>
      </c>
    </row>
    <row r="2010" spans="1:22" hidden="1" x14ac:dyDescent="0.25">
      <c r="A2010" t="s">
        <v>48</v>
      </c>
      <c r="B2010" t="s">
        <v>37</v>
      </c>
      <c r="C2010" t="s">
        <v>43</v>
      </c>
      <c r="D2010" t="s">
        <v>13</v>
      </c>
      <c r="F2010" s="5">
        <v>44075</v>
      </c>
      <c r="G2010" s="5">
        <v>44078</v>
      </c>
      <c r="H2010" s="2">
        <v>1</v>
      </c>
      <c r="I2010" s="6"/>
      <c r="J2010" s="6"/>
      <c r="K2010" s="7">
        <v>0.5</v>
      </c>
      <c r="L2010" s="7">
        <v>90.041600000000003</v>
      </c>
      <c r="M2010" t="s">
        <v>17</v>
      </c>
      <c r="N2010" s="16">
        <f>POWER(SQRT(WorkOrders2710[[#This Row],[WorkDate]]-WorkOrders2710[[#This Row],[ReqDate]]),2)</f>
        <v>2.9999999999999996</v>
      </c>
      <c r="O2010" s="8">
        <f t="array" ref="O2010">INDEX(TechRate,MATCH(H2010,TechNum,0))</f>
        <v>80</v>
      </c>
      <c r="P2010" s="10">
        <f>WorkOrders2710[[#This Row],[Techs]]*(WorkOrders2710[[#This Row],[PartsCost]]*WorkOrders2710[[#This Row],[LbrHrs]])</f>
        <v>45.020800000000001</v>
      </c>
      <c r="Q2010" s="10">
        <f t="shared" si="185"/>
        <v>45.020800000000001</v>
      </c>
      <c r="R2010" s="10">
        <f t="shared" si="186"/>
        <v>90.041600000000003</v>
      </c>
      <c r="S2010" s="10">
        <f t="shared" si="187"/>
        <v>135.0624</v>
      </c>
      <c r="T2010" s="10">
        <f t="shared" si="188"/>
        <v>135.0624</v>
      </c>
      <c r="U2010" s="8" t="str">
        <f t="shared" si="189"/>
        <v>Tue</v>
      </c>
      <c r="V2010" s="8" t="str">
        <f t="shared" si="190"/>
        <v>Fri</v>
      </c>
    </row>
    <row r="2011" spans="1:22" hidden="1" x14ac:dyDescent="0.25">
      <c r="A2011" t="s">
        <v>49</v>
      </c>
      <c r="B2011" t="s">
        <v>34</v>
      </c>
      <c r="C2011" t="s">
        <v>44</v>
      </c>
      <c r="D2011" t="s">
        <v>11</v>
      </c>
      <c r="F2011" s="5">
        <v>44075</v>
      </c>
      <c r="G2011" s="5">
        <v>44091</v>
      </c>
      <c r="H2011" s="2">
        <v>1</v>
      </c>
      <c r="I2011" s="6"/>
      <c r="J2011" s="6"/>
      <c r="K2011" s="7">
        <v>0.25</v>
      </c>
      <c r="L2011" s="7">
        <v>120</v>
      </c>
      <c r="M2011" t="s">
        <v>19</v>
      </c>
      <c r="N2011" s="16">
        <f>POWER(SQRT(WorkOrders2710[[#This Row],[WorkDate]]-WorkOrders2710[[#This Row],[ReqDate]]),2)</f>
        <v>16</v>
      </c>
      <c r="O2011" s="8">
        <f t="array" ref="O2011">INDEX(TechRate,MATCH(H2011,TechNum,0))</f>
        <v>80</v>
      </c>
      <c r="P2011" s="10">
        <f>WorkOrders2710[[#This Row],[Techs]]*(WorkOrders2710[[#This Row],[PartsCost]]*WorkOrders2710[[#This Row],[LbrHrs]])</f>
        <v>30</v>
      </c>
      <c r="Q2011" s="10">
        <f t="shared" si="185"/>
        <v>30</v>
      </c>
      <c r="R2011" s="10">
        <f t="shared" si="186"/>
        <v>120</v>
      </c>
      <c r="S2011" s="10">
        <f t="shared" si="187"/>
        <v>150</v>
      </c>
      <c r="T2011" s="10">
        <f t="shared" si="188"/>
        <v>150</v>
      </c>
      <c r="U2011" s="8" t="str">
        <f t="shared" si="189"/>
        <v>Tue</v>
      </c>
      <c r="V2011" s="8" t="str">
        <f t="shared" si="190"/>
        <v>Thu</v>
      </c>
    </row>
    <row r="2012" spans="1:22" hidden="1" x14ac:dyDescent="0.25">
      <c r="A2012" t="s">
        <v>50</v>
      </c>
      <c r="B2012" t="s">
        <v>37</v>
      </c>
      <c r="C2012" t="s">
        <v>43</v>
      </c>
      <c r="D2012" t="s">
        <v>11</v>
      </c>
      <c r="F2012" s="5">
        <v>44075</v>
      </c>
      <c r="G2012" s="5">
        <v>44091</v>
      </c>
      <c r="H2012" s="2">
        <v>1</v>
      </c>
      <c r="I2012" s="6"/>
      <c r="J2012" s="6"/>
      <c r="K2012" s="7">
        <v>0.25</v>
      </c>
      <c r="L2012" s="7">
        <v>16.25</v>
      </c>
      <c r="M2012" t="s">
        <v>17</v>
      </c>
      <c r="N2012" s="16">
        <f>POWER(SQRT(WorkOrders2710[[#This Row],[WorkDate]]-WorkOrders2710[[#This Row],[ReqDate]]),2)</f>
        <v>16</v>
      </c>
      <c r="O2012" s="8">
        <f t="array" ref="O2012">INDEX(TechRate,MATCH(H2012,TechNum,0))</f>
        <v>80</v>
      </c>
      <c r="P2012" s="10">
        <f>WorkOrders2710[[#This Row],[Techs]]*(WorkOrders2710[[#This Row],[PartsCost]]*WorkOrders2710[[#This Row],[LbrHrs]])</f>
        <v>4.0625</v>
      </c>
      <c r="Q2012" s="10">
        <f t="shared" si="185"/>
        <v>4.0625</v>
      </c>
      <c r="R2012" s="10">
        <f t="shared" si="186"/>
        <v>16.25</v>
      </c>
      <c r="S2012" s="10">
        <f t="shared" si="187"/>
        <v>20.3125</v>
      </c>
      <c r="T2012" s="10">
        <f t="shared" si="188"/>
        <v>20.3125</v>
      </c>
      <c r="U2012" s="8" t="str">
        <f t="shared" si="189"/>
        <v>Tue</v>
      </c>
      <c r="V2012" s="8" t="str">
        <f t="shared" si="190"/>
        <v>Thu</v>
      </c>
    </row>
    <row r="2013" spans="1:22" hidden="1" x14ac:dyDescent="0.25">
      <c r="A2013" t="s">
        <v>51</v>
      </c>
      <c r="B2013" t="s">
        <v>35</v>
      </c>
      <c r="C2013" t="s">
        <v>44</v>
      </c>
      <c r="D2013" t="s">
        <v>11</v>
      </c>
      <c r="E2013" t="s">
        <v>3</v>
      </c>
      <c r="F2013" s="5">
        <v>44075</v>
      </c>
      <c r="G2013" s="5">
        <v>44091</v>
      </c>
      <c r="H2013" s="2">
        <v>1</v>
      </c>
      <c r="I2013" s="6"/>
      <c r="J2013" s="6"/>
      <c r="K2013" s="7">
        <v>0.25</v>
      </c>
      <c r="L2013" s="7">
        <v>45.237400000000001</v>
      </c>
      <c r="M2013" t="s">
        <v>17</v>
      </c>
      <c r="N2013" s="16">
        <f>POWER(SQRT(WorkOrders2710[[#This Row],[WorkDate]]-WorkOrders2710[[#This Row],[ReqDate]]),2)</f>
        <v>16</v>
      </c>
      <c r="O2013" s="8">
        <f t="array" ref="O2013">INDEX(TechRate,MATCH(H2013,TechNum,0))</f>
        <v>80</v>
      </c>
      <c r="P2013" s="10">
        <f>WorkOrders2710[[#This Row],[Techs]]*(WorkOrders2710[[#This Row],[PartsCost]]*WorkOrders2710[[#This Row],[LbrHrs]])</f>
        <v>11.30935</v>
      </c>
      <c r="Q2013" s="10">
        <f t="shared" si="185"/>
        <v>11.30935</v>
      </c>
      <c r="R2013" s="10">
        <f t="shared" si="186"/>
        <v>45.237400000000001</v>
      </c>
      <c r="S2013" s="10">
        <f t="shared" si="187"/>
        <v>56.546750000000003</v>
      </c>
      <c r="T2013" s="10">
        <f t="shared" si="188"/>
        <v>56.546750000000003</v>
      </c>
      <c r="U2013" s="8" t="str">
        <f t="shared" si="189"/>
        <v>Tue</v>
      </c>
      <c r="V2013" s="8" t="str">
        <f t="shared" si="190"/>
        <v>Thu</v>
      </c>
    </row>
    <row r="2014" spans="1:22" hidden="1" x14ac:dyDescent="0.25">
      <c r="A2014" t="s">
        <v>52</v>
      </c>
      <c r="B2014" t="s">
        <v>37</v>
      </c>
      <c r="C2014" t="s">
        <v>43</v>
      </c>
      <c r="D2014" t="s">
        <v>12</v>
      </c>
      <c r="F2014" s="5">
        <v>44075</v>
      </c>
      <c r="G2014" s="5">
        <v>44089</v>
      </c>
      <c r="H2014" s="2">
        <v>1</v>
      </c>
      <c r="I2014" s="6"/>
      <c r="J2014" s="6"/>
      <c r="K2014" s="7">
        <v>0.25</v>
      </c>
      <c r="L2014" s="7">
        <v>97.626300000000001</v>
      </c>
      <c r="M2014" t="s">
        <v>17</v>
      </c>
      <c r="N2014" s="16">
        <f>POWER(SQRT(WorkOrders2710[[#This Row],[WorkDate]]-WorkOrders2710[[#This Row],[ReqDate]]),2)</f>
        <v>14</v>
      </c>
      <c r="O2014" s="8">
        <f t="array" ref="O2014">INDEX(TechRate,MATCH(H2014,TechNum,0))</f>
        <v>80</v>
      </c>
      <c r="P2014" s="10">
        <f>WorkOrders2710[[#This Row],[Techs]]*(WorkOrders2710[[#This Row],[PartsCost]]*WorkOrders2710[[#This Row],[LbrHrs]])</f>
        <v>24.406575</v>
      </c>
      <c r="Q2014" s="10">
        <f t="shared" si="185"/>
        <v>24.406575</v>
      </c>
      <c r="R2014" s="10">
        <f t="shared" si="186"/>
        <v>97.626300000000001</v>
      </c>
      <c r="S2014" s="10">
        <f t="shared" si="187"/>
        <v>122.032875</v>
      </c>
      <c r="T2014" s="10">
        <f t="shared" si="188"/>
        <v>122.032875</v>
      </c>
      <c r="U2014" s="8" t="str">
        <f t="shared" si="189"/>
        <v>Tue</v>
      </c>
      <c r="V2014" s="8" t="str">
        <f t="shared" si="190"/>
        <v>Tue</v>
      </c>
    </row>
    <row r="2015" spans="1:22" hidden="1" x14ac:dyDescent="0.25">
      <c r="A2015" t="s">
        <v>53</v>
      </c>
      <c r="B2015" t="s">
        <v>34</v>
      </c>
      <c r="C2015" t="s">
        <v>44</v>
      </c>
      <c r="D2015" t="s">
        <v>12</v>
      </c>
      <c r="F2015" s="5">
        <v>44076</v>
      </c>
      <c r="G2015" s="5">
        <v>44090</v>
      </c>
      <c r="H2015" s="2">
        <v>2</v>
      </c>
      <c r="I2015" s="6"/>
      <c r="J2015" s="6"/>
      <c r="K2015" s="7">
        <v>0.25</v>
      </c>
      <c r="L2015" s="7">
        <v>29.13</v>
      </c>
      <c r="M2015" t="s">
        <v>17</v>
      </c>
      <c r="N2015" s="16">
        <f>POWER(SQRT(WorkOrders2710[[#This Row],[WorkDate]]-WorkOrders2710[[#This Row],[ReqDate]]),2)</f>
        <v>14</v>
      </c>
      <c r="O2015" s="8">
        <f t="array" ref="O2015">INDEX(TechRate,MATCH(H2015,TechNum,0))</f>
        <v>140</v>
      </c>
      <c r="P2015" s="10">
        <f>WorkOrders2710[[#This Row],[Techs]]*(WorkOrders2710[[#This Row],[PartsCost]]*WorkOrders2710[[#This Row],[LbrHrs]])</f>
        <v>14.565</v>
      </c>
      <c r="Q2015" s="10">
        <f t="shared" si="185"/>
        <v>14.565</v>
      </c>
      <c r="R2015" s="10">
        <f t="shared" si="186"/>
        <v>29.13</v>
      </c>
      <c r="S2015" s="10">
        <f t="shared" si="187"/>
        <v>43.695</v>
      </c>
      <c r="T2015" s="10">
        <f t="shared" si="188"/>
        <v>43.695</v>
      </c>
      <c r="U2015" s="8" t="str">
        <f t="shared" si="189"/>
        <v>Wed</v>
      </c>
      <c r="V2015" s="8" t="str">
        <f t="shared" si="190"/>
        <v>Wed</v>
      </c>
    </row>
    <row r="2016" spans="1:22" hidden="1" x14ac:dyDescent="0.25">
      <c r="A2016" t="s">
        <v>54</v>
      </c>
      <c r="B2016" t="s">
        <v>37</v>
      </c>
      <c r="C2016" t="s">
        <v>43</v>
      </c>
      <c r="D2016" t="s">
        <v>13</v>
      </c>
      <c r="F2016" s="5">
        <v>44076</v>
      </c>
      <c r="G2016" s="5">
        <v>44106</v>
      </c>
      <c r="H2016" s="2">
        <v>1</v>
      </c>
      <c r="I2016" s="6"/>
      <c r="J2016" s="6"/>
      <c r="K2016" s="7">
        <v>0.75</v>
      </c>
      <c r="L2016" s="7">
        <v>35.1</v>
      </c>
      <c r="M2016" t="s">
        <v>17</v>
      </c>
      <c r="N2016" s="16">
        <f>POWER(SQRT(WorkOrders2710[[#This Row],[WorkDate]]-WorkOrders2710[[#This Row],[ReqDate]]),2)</f>
        <v>30</v>
      </c>
      <c r="O2016" s="8">
        <f t="array" ref="O2016">INDEX(TechRate,MATCH(H2016,TechNum,0))</f>
        <v>80</v>
      </c>
      <c r="P2016" s="10">
        <f>WorkOrders2710[[#This Row],[Techs]]*(WorkOrders2710[[#This Row],[PartsCost]]*WorkOrders2710[[#This Row],[LbrHrs]])</f>
        <v>26.325000000000003</v>
      </c>
      <c r="Q2016" s="10">
        <f t="shared" si="185"/>
        <v>26.325000000000003</v>
      </c>
      <c r="R2016" s="10">
        <f t="shared" si="186"/>
        <v>35.1</v>
      </c>
      <c r="S2016" s="10">
        <f t="shared" si="187"/>
        <v>61.425000000000004</v>
      </c>
      <c r="T2016" s="10">
        <f t="shared" si="188"/>
        <v>61.425000000000004</v>
      </c>
      <c r="U2016" s="8" t="str">
        <f t="shared" si="189"/>
        <v>Wed</v>
      </c>
      <c r="V2016" s="8" t="str">
        <f t="shared" si="190"/>
        <v>Fri</v>
      </c>
    </row>
    <row r="2017" spans="1:22" hidden="1" x14ac:dyDescent="0.25">
      <c r="A2017" t="s">
        <v>55</v>
      </c>
      <c r="B2017" t="s">
        <v>35</v>
      </c>
      <c r="C2017" t="s">
        <v>9</v>
      </c>
      <c r="D2017" t="s">
        <v>11</v>
      </c>
      <c r="F2017" s="5">
        <v>44076</v>
      </c>
      <c r="G2017" s="5">
        <v>44105</v>
      </c>
      <c r="H2017" s="2">
        <v>1</v>
      </c>
      <c r="I2017" s="6"/>
      <c r="J2017" s="6"/>
      <c r="K2017" s="7">
        <v>0.25</v>
      </c>
      <c r="L2017" s="7">
        <v>76.7</v>
      </c>
      <c r="M2017" t="s">
        <v>18</v>
      </c>
      <c r="N2017" s="16">
        <f>POWER(SQRT(WorkOrders2710[[#This Row],[WorkDate]]-WorkOrders2710[[#This Row],[ReqDate]]),2)</f>
        <v>28.999999999999996</v>
      </c>
      <c r="O2017" s="8">
        <f t="array" ref="O2017">INDEX(TechRate,MATCH(H2017,TechNum,0))</f>
        <v>80</v>
      </c>
      <c r="P2017" s="10">
        <f>WorkOrders2710[[#This Row],[Techs]]*(WorkOrders2710[[#This Row],[PartsCost]]*WorkOrders2710[[#This Row],[LbrHrs]])</f>
        <v>19.175000000000001</v>
      </c>
      <c r="Q2017" s="10">
        <f t="shared" si="185"/>
        <v>19.175000000000001</v>
      </c>
      <c r="R2017" s="10">
        <f t="shared" si="186"/>
        <v>76.7</v>
      </c>
      <c r="S2017" s="10">
        <f t="shared" si="187"/>
        <v>95.875</v>
      </c>
      <c r="T2017" s="10">
        <f t="shared" si="188"/>
        <v>95.875</v>
      </c>
      <c r="U2017" s="8" t="str">
        <f t="shared" si="189"/>
        <v>Wed</v>
      </c>
      <c r="V2017" s="8" t="str">
        <f t="shared" si="190"/>
        <v>Thu</v>
      </c>
    </row>
    <row r="2018" spans="1:22" hidden="1" x14ac:dyDescent="0.25">
      <c r="A2018" t="s">
        <v>56</v>
      </c>
      <c r="B2018" t="s">
        <v>34</v>
      </c>
      <c r="C2018" t="s">
        <v>8</v>
      </c>
      <c r="D2018" t="s">
        <v>2</v>
      </c>
      <c r="E2018" t="s">
        <v>3</v>
      </c>
      <c r="F2018" s="5">
        <v>44076</v>
      </c>
      <c r="G2018" s="5">
        <v>44110</v>
      </c>
      <c r="H2018" s="2">
        <v>1</v>
      </c>
      <c r="I2018" s="6"/>
      <c r="J2018" s="6"/>
      <c r="K2018" s="7">
        <v>1.5</v>
      </c>
      <c r="L2018" s="7">
        <v>374.07940000000002</v>
      </c>
      <c r="M2018" t="s">
        <v>18</v>
      </c>
      <c r="N2018" s="16">
        <f>POWER(SQRT(WorkOrders2710[[#This Row],[WorkDate]]-WorkOrders2710[[#This Row],[ReqDate]]),2)</f>
        <v>34</v>
      </c>
      <c r="O2018" s="8">
        <f t="array" ref="O2018">INDEX(TechRate,MATCH(H2018,TechNum,0))</f>
        <v>80</v>
      </c>
      <c r="P2018" s="10">
        <f>WorkOrders2710[[#This Row],[Techs]]*(WorkOrders2710[[#This Row],[PartsCost]]*WorkOrders2710[[#This Row],[LbrHrs]])</f>
        <v>561.1191</v>
      </c>
      <c r="Q2018" s="10">
        <f t="shared" si="185"/>
        <v>561.1191</v>
      </c>
      <c r="R2018" s="10">
        <f t="shared" si="186"/>
        <v>374.07940000000002</v>
      </c>
      <c r="S2018" s="10">
        <f t="shared" si="187"/>
        <v>935.19849999999997</v>
      </c>
      <c r="T2018" s="10">
        <f t="shared" si="188"/>
        <v>935.19849999999997</v>
      </c>
      <c r="U2018" s="8" t="str">
        <f t="shared" si="189"/>
        <v>Wed</v>
      </c>
      <c r="V2018" s="8" t="str">
        <f t="shared" si="190"/>
        <v>Tue</v>
      </c>
    </row>
    <row r="2019" spans="1:22" hidden="1" x14ac:dyDescent="0.25">
      <c r="A2019" t="s">
        <v>57</v>
      </c>
      <c r="B2019" t="s">
        <v>38</v>
      </c>
      <c r="C2019" t="s">
        <v>9</v>
      </c>
      <c r="D2019" t="s">
        <v>13</v>
      </c>
      <c r="F2019" s="5">
        <v>44076</v>
      </c>
      <c r="G2019" s="5">
        <v>44173</v>
      </c>
      <c r="H2019" s="2">
        <v>2</v>
      </c>
      <c r="I2019" s="6"/>
      <c r="J2019" s="6"/>
      <c r="K2019" s="7">
        <v>4.75</v>
      </c>
      <c r="L2019" s="7">
        <v>832.15830000000005</v>
      </c>
      <c r="M2019" t="s">
        <v>17</v>
      </c>
      <c r="N2019" s="16">
        <f>POWER(SQRT(WorkOrders2710[[#This Row],[WorkDate]]-WorkOrders2710[[#This Row],[ReqDate]]),2)</f>
        <v>96.999999999999986</v>
      </c>
      <c r="O2019" s="8">
        <f t="array" ref="O2019">INDEX(TechRate,MATCH(H2019,TechNum,0))</f>
        <v>140</v>
      </c>
      <c r="P2019" s="10">
        <f>WorkOrders2710[[#This Row],[Techs]]*(WorkOrders2710[[#This Row],[PartsCost]]*WorkOrders2710[[#This Row],[LbrHrs]])</f>
        <v>7905.503850000001</v>
      </c>
      <c r="Q2019" s="10">
        <f t="shared" si="185"/>
        <v>7905.503850000001</v>
      </c>
      <c r="R2019" s="10">
        <f t="shared" si="186"/>
        <v>832.15830000000005</v>
      </c>
      <c r="S2019" s="10">
        <f t="shared" si="187"/>
        <v>8737.6621500000001</v>
      </c>
      <c r="T2019" s="10">
        <f t="shared" si="188"/>
        <v>8737.6621500000001</v>
      </c>
      <c r="U2019" s="8" t="str">
        <f t="shared" si="189"/>
        <v>Wed</v>
      </c>
      <c r="V2019" s="8" t="str">
        <f t="shared" si="190"/>
        <v>Tue</v>
      </c>
    </row>
    <row r="2020" spans="1:22" hidden="1" x14ac:dyDescent="0.25">
      <c r="A2020" t="s">
        <v>58</v>
      </c>
      <c r="B2020" t="s">
        <v>37</v>
      </c>
      <c r="C2020" t="s">
        <v>43</v>
      </c>
      <c r="D2020" t="s">
        <v>11</v>
      </c>
      <c r="E2020" t="s">
        <v>3</v>
      </c>
      <c r="F2020" s="5">
        <v>44077</v>
      </c>
      <c r="G2020" s="5">
        <v>44097</v>
      </c>
      <c r="H2020" s="2">
        <v>1</v>
      </c>
      <c r="I2020" s="6"/>
      <c r="J2020" s="6"/>
      <c r="K2020" s="7">
        <v>0.25</v>
      </c>
      <c r="L2020" s="7">
        <v>70.212999999999994</v>
      </c>
      <c r="M2020" t="s">
        <v>17</v>
      </c>
      <c r="N2020" s="16">
        <f>POWER(SQRT(WorkOrders2710[[#This Row],[WorkDate]]-WorkOrders2710[[#This Row],[ReqDate]]),2)</f>
        <v>20.000000000000004</v>
      </c>
      <c r="O2020" s="8">
        <f t="array" ref="O2020">INDEX(TechRate,MATCH(H2020,TechNum,0))</f>
        <v>80</v>
      </c>
      <c r="P2020" s="10">
        <f>WorkOrders2710[[#This Row],[Techs]]*(WorkOrders2710[[#This Row],[PartsCost]]*WorkOrders2710[[#This Row],[LbrHrs]])</f>
        <v>17.553249999999998</v>
      </c>
      <c r="Q2020" s="10">
        <f t="shared" si="185"/>
        <v>17.553249999999998</v>
      </c>
      <c r="R2020" s="10">
        <f t="shared" si="186"/>
        <v>70.212999999999994</v>
      </c>
      <c r="S2020" s="10">
        <f t="shared" si="187"/>
        <v>87.766249999999985</v>
      </c>
      <c r="T2020" s="10">
        <f t="shared" si="188"/>
        <v>87.766249999999985</v>
      </c>
      <c r="U2020" s="8" t="str">
        <f t="shared" si="189"/>
        <v>Thu</v>
      </c>
      <c r="V2020" s="8" t="str">
        <f t="shared" si="190"/>
        <v>Wed</v>
      </c>
    </row>
    <row r="2021" spans="1:22" hidden="1" x14ac:dyDescent="0.25">
      <c r="A2021" t="s">
        <v>59</v>
      </c>
      <c r="B2021" t="s">
        <v>38</v>
      </c>
      <c r="C2021" t="s">
        <v>9</v>
      </c>
      <c r="D2021" t="s">
        <v>12</v>
      </c>
      <c r="F2021" s="5">
        <v>44078</v>
      </c>
      <c r="G2021" s="5">
        <v>44104</v>
      </c>
      <c r="H2021" s="2">
        <v>1</v>
      </c>
      <c r="I2021" s="6"/>
      <c r="J2021" s="6"/>
      <c r="K2021" s="7">
        <v>0.5</v>
      </c>
      <c r="L2021" s="7">
        <v>150</v>
      </c>
      <c r="M2021" t="s">
        <v>19</v>
      </c>
      <c r="N2021" s="16">
        <f>POWER(SQRT(WorkOrders2710[[#This Row],[WorkDate]]-WorkOrders2710[[#This Row],[ReqDate]]),2)</f>
        <v>25.999999999999996</v>
      </c>
      <c r="O2021" s="8">
        <f t="array" ref="O2021">INDEX(TechRate,MATCH(H2021,TechNum,0))</f>
        <v>80</v>
      </c>
      <c r="P2021" s="10">
        <f>WorkOrders2710[[#This Row],[Techs]]*(WorkOrders2710[[#This Row],[PartsCost]]*WorkOrders2710[[#This Row],[LbrHrs]])</f>
        <v>75</v>
      </c>
      <c r="Q2021" s="10">
        <f t="shared" si="185"/>
        <v>75</v>
      </c>
      <c r="R2021" s="10">
        <f t="shared" si="186"/>
        <v>150</v>
      </c>
      <c r="S2021" s="10">
        <f t="shared" si="187"/>
        <v>225</v>
      </c>
      <c r="T2021" s="10">
        <f t="shared" si="188"/>
        <v>225</v>
      </c>
      <c r="U2021" s="8" t="str">
        <f t="shared" si="189"/>
        <v>Fri</v>
      </c>
      <c r="V2021" s="8" t="str">
        <f t="shared" si="190"/>
        <v>Wed</v>
      </c>
    </row>
    <row r="2022" spans="1:22" hidden="1" x14ac:dyDescent="0.25">
      <c r="A2022" t="s">
        <v>60</v>
      </c>
      <c r="B2022" t="s">
        <v>34</v>
      </c>
      <c r="C2022" t="s">
        <v>6</v>
      </c>
      <c r="D2022" t="s">
        <v>12</v>
      </c>
      <c r="F2022" s="5">
        <v>44078</v>
      </c>
      <c r="G2022" s="5">
        <v>44128</v>
      </c>
      <c r="H2022" s="2">
        <v>2</v>
      </c>
      <c r="I2022" s="6"/>
      <c r="J2022" s="6"/>
      <c r="K2022" s="7">
        <v>1.5</v>
      </c>
      <c r="L2022" s="7">
        <v>275</v>
      </c>
      <c r="M2022" t="s">
        <v>18</v>
      </c>
      <c r="N2022" s="16">
        <f>POWER(SQRT(WorkOrders2710[[#This Row],[WorkDate]]-WorkOrders2710[[#This Row],[ReqDate]]),2)</f>
        <v>50.000000000000007</v>
      </c>
      <c r="O2022" s="8">
        <f t="array" ref="O2022">INDEX(TechRate,MATCH(H2022,TechNum,0))</f>
        <v>140</v>
      </c>
      <c r="P2022" s="10">
        <f>WorkOrders2710[[#This Row],[Techs]]*(WorkOrders2710[[#This Row],[PartsCost]]*WorkOrders2710[[#This Row],[LbrHrs]])</f>
        <v>825</v>
      </c>
      <c r="Q2022" s="10">
        <f t="shared" si="185"/>
        <v>825</v>
      </c>
      <c r="R2022" s="10">
        <f t="shared" si="186"/>
        <v>275</v>
      </c>
      <c r="S2022" s="10">
        <f t="shared" si="187"/>
        <v>1100</v>
      </c>
      <c r="T2022" s="10">
        <f t="shared" si="188"/>
        <v>1100</v>
      </c>
      <c r="U2022" s="8" t="str">
        <f t="shared" si="189"/>
        <v>Fri</v>
      </c>
      <c r="V2022" s="8" t="str">
        <f t="shared" si="190"/>
        <v>Sat</v>
      </c>
    </row>
    <row r="2023" spans="1:22" hidden="1" x14ac:dyDescent="0.25">
      <c r="A2023" t="s">
        <v>61</v>
      </c>
      <c r="B2023" t="s">
        <v>35</v>
      </c>
      <c r="C2023" t="s">
        <v>8</v>
      </c>
      <c r="D2023" t="s">
        <v>13</v>
      </c>
      <c r="E2023" t="s">
        <v>3</v>
      </c>
      <c r="F2023" s="5">
        <v>44078</v>
      </c>
      <c r="G2023" s="5">
        <v>44145</v>
      </c>
      <c r="H2023" s="2">
        <v>1</v>
      </c>
      <c r="I2023" s="6"/>
      <c r="J2023" s="6"/>
      <c r="K2023" s="7">
        <v>0.75</v>
      </c>
      <c r="L2023" s="7">
        <v>938</v>
      </c>
      <c r="M2023" t="s">
        <v>18</v>
      </c>
      <c r="N2023" s="16">
        <f>POWER(SQRT(WorkOrders2710[[#This Row],[WorkDate]]-WorkOrders2710[[#This Row],[ReqDate]]),2)</f>
        <v>67</v>
      </c>
      <c r="O2023" s="8">
        <f t="array" ref="O2023">INDEX(TechRate,MATCH(H2023,TechNum,0))</f>
        <v>80</v>
      </c>
      <c r="P2023" s="10">
        <f>WorkOrders2710[[#This Row],[Techs]]*(WorkOrders2710[[#This Row],[PartsCost]]*WorkOrders2710[[#This Row],[LbrHrs]])</f>
        <v>703.5</v>
      </c>
      <c r="Q2023" s="10">
        <f t="shared" si="185"/>
        <v>703.5</v>
      </c>
      <c r="R2023" s="10">
        <f t="shared" si="186"/>
        <v>938</v>
      </c>
      <c r="S2023" s="10">
        <f t="shared" si="187"/>
        <v>1641.5</v>
      </c>
      <c r="T2023" s="10">
        <f t="shared" si="188"/>
        <v>1641.5</v>
      </c>
      <c r="U2023" s="8" t="str">
        <f t="shared" si="189"/>
        <v>Fri</v>
      </c>
      <c r="V2023" s="8" t="str">
        <f t="shared" si="190"/>
        <v>Tue</v>
      </c>
    </row>
    <row r="2024" spans="1:22" hidden="1" x14ac:dyDescent="0.25">
      <c r="A2024" t="s">
        <v>62</v>
      </c>
      <c r="B2024" t="s">
        <v>37</v>
      </c>
      <c r="C2024" t="s">
        <v>43</v>
      </c>
      <c r="D2024" t="s">
        <v>12</v>
      </c>
      <c r="F2024" s="5">
        <v>44079</v>
      </c>
      <c r="G2024" s="5">
        <v>44095</v>
      </c>
      <c r="H2024" s="2">
        <v>1</v>
      </c>
      <c r="I2024" s="6"/>
      <c r="J2024" s="6"/>
      <c r="K2024" s="7">
        <v>0.25</v>
      </c>
      <c r="L2024" s="7">
        <v>61.249699999999997</v>
      </c>
      <c r="M2024" t="s">
        <v>17</v>
      </c>
      <c r="N2024" s="16">
        <f>POWER(SQRT(WorkOrders2710[[#This Row],[WorkDate]]-WorkOrders2710[[#This Row],[ReqDate]]),2)</f>
        <v>16</v>
      </c>
      <c r="O2024" s="8">
        <f t="array" ref="O2024">INDEX(TechRate,MATCH(H2024,TechNum,0))</f>
        <v>80</v>
      </c>
      <c r="P2024" s="10">
        <f>WorkOrders2710[[#This Row],[Techs]]*(WorkOrders2710[[#This Row],[PartsCost]]*WorkOrders2710[[#This Row],[LbrHrs]])</f>
        <v>15.312424999999999</v>
      </c>
      <c r="Q2024" s="10">
        <f t="shared" si="185"/>
        <v>15.312424999999999</v>
      </c>
      <c r="R2024" s="10">
        <f t="shared" si="186"/>
        <v>61.249699999999997</v>
      </c>
      <c r="S2024" s="10">
        <f t="shared" si="187"/>
        <v>76.562124999999995</v>
      </c>
      <c r="T2024" s="10">
        <f t="shared" si="188"/>
        <v>76.562124999999995</v>
      </c>
      <c r="U2024" s="8" t="str">
        <f t="shared" si="189"/>
        <v>Sat</v>
      </c>
      <c r="V2024" s="8" t="str">
        <f t="shared" si="190"/>
        <v>Mon</v>
      </c>
    </row>
    <row r="2025" spans="1:22" hidden="1" x14ac:dyDescent="0.25">
      <c r="A2025" t="s">
        <v>63</v>
      </c>
      <c r="B2025" t="s">
        <v>38</v>
      </c>
      <c r="C2025" t="s">
        <v>9</v>
      </c>
      <c r="D2025" t="s">
        <v>12</v>
      </c>
      <c r="F2025" s="5">
        <v>44079</v>
      </c>
      <c r="G2025" s="5">
        <v>44096</v>
      </c>
      <c r="H2025" s="2">
        <v>1</v>
      </c>
      <c r="I2025" s="6"/>
      <c r="J2025" s="6"/>
      <c r="K2025" s="7">
        <v>1.5</v>
      </c>
      <c r="L2025" s="7">
        <v>48</v>
      </c>
      <c r="M2025" t="s">
        <v>18</v>
      </c>
      <c r="N2025" s="16">
        <f>POWER(SQRT(WorkOrders2710[[#This Row],[WorkDate]]-WorkOrders2710[[#This Row],[ReqDate]]),2)</f>
        <v>17</v>
      </c>
      <c r="O2025" s="8">
        <f t="array" ref="O2025">INDEX(TechRate,MATCH(H2025,TechNum,0))</f>
        <v>80</v>
      </c>
      <c r="P2025" s="10">
        <f>WorkOrders2710[[#This Row],[Techs]]*(WorkOrders2710[[#This Row],[PartsCost]]*WorkOrders2710[[#This Row],[LbrHrs]])</f>
        <v>72</v>
      </c>
      <c r="Q2025" s="10">
        <f t="shared" si="185"/>
        <v>72</v>
      </c>
      <c r="R2025" s="10">
        <f t="shared" si="186"/>
        <v>48</v>
      </c>
      <c r="S2025" s="10">
        <f t="shared" si="187"/>
        <v>120</v>
      </c>
      <c r="T2025" s="10">
        <f t="shared" si="188"/>
        <v>120</v>
      </c>
      <c r="U2025" s="8" t="str">
        <f t="shared" si="189"/>
        <v>Sat</v>
      </c>
      <c r="V2025" s="8" t="str">
        <f t="shared" si="190"/>
        <v>Tue</v>
      </c>
    </row>
    <row r="2026" spans="1:22" hidden="1" x14ac:dyDescent="0.25">
      <c r="A2026" t="s">
        <v>64</v>
      </c>
      <c r="B2026" t="s">
        <v>35</v>
      </c>
      <c r="C2026" t="s">
        <v>9</v>
      </c>
      <c r="D2026" t="s">
        <v>12</v>
      </c>
      <c r="F2026" s="5">
        <v>44081</v>
      </c>
      <c r="G2026" s="5">
        <v>44084</v>
      </c>
      <c r="H2026" s="2">
        <v>2</v>
      </c>
      <c r="I2026" s="6"/>
      <c r="J2026" s="6"/>
      <c r="K2026" s="7">
        <v>0.25</v>
      </c>
      <c r="L2026" s="7">
        <v>204.28399999999999</v>
      </c>
      <c r="M2026" t="s">
        <v>17</v>
      </c>
      <c r="N2026" s="16">
        <f>POWER(SQRT(WorkOrders2710[[#This Row],[WorkDate]]-WorkOrders2710[[#This Row],[ReqDate]]),2)</f>
        <v>2.9999999999999996</v>
      </c>
      <c r="O2026" s="8">
        <f t="array" ref="O2026">INDEX(TechRate,MATCH(H2026,TechNum,0))</f>
        <v>140</v>
      </c>
      <c r="P2026" s="10">
        <f>WorkOrders2710[[#This Row],[Techs]]*(WorkOrders2710[[#This Row],[PartsCost]]*WorkOrders2710[[#This Row],[LbrHrs]])</f>
        <v>102.142</v>
      </c>
      <c r="Q2026" s="10">
        <f t="shared" si="185"/>
        <v>102.142</v>
      </c>
      <c r="R2026" s="10">
        <f t="shared" si="186"/>
        <v>204.28399999999999</v>
      </c>
      <c r="S2026" s="10">
        <f t="shared" si="187"/>
        <v>306.42599999999999</v>
      </c>
      <c r="T2026" s="10">
        <f t="shared" si="188"/>
        <v>306.42599999999999</v>
      </c>
      <c r="U2026" s="8" t="str">
        <f t="shared" si="189"/>
        <v>Mon</v>
      </c>
      <c r="V2026" s="8" t="str">
        <f t="shared" si="190"/>
        <v>Thu</v>
      </c>
    </row>
    <row r="2027" spans="1:22" hidden="1" x14ac:dyDescent="0.25">
      <c r="A2027" t="s">
        <v>65</v>
      </c>
      <c r="B2027" t="s">
        <v>35</v>
      </c>
      <c r="C2027" t="s">
        <v>44</v>
      </c>
      <c r="D2027" t="s">
        <v>13</v>
      </c>
      <c r="F2027" s="5">
        <v>44082</v>
      </c>
      <c r="G2027" s="5">
        <v>44089</v>
      </c>
      <c r="H2027" s="2">
        <v>2</v>
      </c>
      <c r="I2027" s="6"/>
      <c r="J2027" s="6"/>
      <c r="K2027" s="7">
        <v>0.5</v>
      </c>
      <c r="L2027" s="7">
        <v>240</v>
      </c>
      <c r="M2027" t="s">
        <v>17</v>
      </c>
      <c r="N2027" s="16">
        <f>POWER(SQRT(WorkOrders2710[[#This Row],[WorkDate]]-WorkOrders2710[[#This Row],[ReqDate]]),2)</f>
        <v>7.0000000000000009</v>
      </c>
      <c r="O2027" s="8">
        <f t="array" ref="O2027">INDEX(TechRate,MATCH(H2027,TechNum,0))</f>
        <v>140</v>
      </c>
      <c r="P2027" s="10">
        <f>WorkOrders2710[[#This Row],[Techs]]*(WorkOrders2710[[#This Row],[PartsCost]]*WorkOrders2710[[#This Row],[LbrHrs]])</f>
        <v>240</v>
      </c>
      <c r="Q2027" s="10">
        <f t="shared" si="185"/>
        <v>240</v>
      </c>
      <c r="R2027" s="10">
        <f t="shared" si="186"/>
        <v>240</v>
      </c>
      <c r="S2027" s="10">
        <f t="shared" si="187"/>
        <v>480</v>
      </c>
      <c r="T2027" s="10">
        <f t="shared" si="188"/>
        <v>480</v>
      </c>
      <c r="U2027" s="8" t="str">
        <f t="shared" si="189"/>
        <v>Tue</v>
      </c>
      <c r="V2027" s="8" t="str">
        <f t="shared" si="190"/>
        <v>Tue</v>
      </c>
    </row>
    <row r="2028" spans="1:22" hidden="1" x14ac:dyDescent="0.25">
      <c r="A2028" t="s">
        <v>66</v>
      </c>
      <c r="B2028" t="s">
        <v>39</v>
      </c>
      <c r="C2028" t="s">
        <v>8</v>
      </c>
      <c r="D2028" t="s">
        <v>13</v>
      </c>
      <c r="F2028" s="5">
        <v>44082</v>
      </c>
      <c r="G2028" s="5">
        <v>44091</v>
      </c>
      <c r="H2028" s="2">
        <v>2</v>
      </c>
      <c r="I2028" s="6"/>
      <c r="J2028" s="6"/>
      <c r="K2028" s="7">
        <v>0.5</v>
      </c>
      <c r="L2028" s="7">
        <v>120</v>
      </c>
      <c r="M2028" t="s">
        <v>17</v>
      </c>
      <c r="N2028" s="16">
        <f>POWER(SQRT(WorkOrders2710[[#This Row],[WorkDate]]-WorkOrders2710[[#This Row],[ReqDate]]),2)</f>
        <v>9</v>
      </c>
      <c r="O2028" s="8">
        <f t="array" ref="O2028">INDEX(TechRate,MATCH(H2028,TechNum,0))</f>
        <v>140</v>
      </c>
      <c r="P2028" s="10">
        <f>WorkOrders2710[[#This Row],[Techs]]*(WorkOrders2710[[#This Row],[PartsCost]]*WorkOrders2710[[#This Row],[LbrHrs]])</f>
        <v>120</v>
      </c>
      <c r="Q2028" s="10">
        <f t="shared" si="185"/>
        <v>120</v>
      </c>
      <c r="R2028" s="10">
        <f t="shared" si="186"/>
        <v>120</v>
      </c>
      <c r="S2028" s="10">
        <f t="shared" si="187"/>
        <v>240</v>
      </c>
      <c r="T2028" s="10">
        <f t="shared" si="188"/>
        <v>240</v>
      </c>
      <c r="U2028" s="8" t="str">
        <f t="shared" si="189"/>
        <v>Tue</v>
      </c>
      <c r="V2028" s="8" t="str">
        <f t="shared" si="190"/>
        <v>Thu</v>
      </c>
    </row>
    <row r="2029" spans="1:22" hidden="1" x14ac:dyDescent="0.25">
      <c r="A2029" t="s">
        <v>67</v>
      </c>
      <c r="B2029" t="s">
        <v>34</v>
      </c>
      <c r="C2029" t="s">
        <v>44</v>
      </c>
      <c r="D2029" t="s">
        <v>2</v>
      </c>
      <c r="F2029" s="5">
        <v>44082</v>
      </c>
      <c r="G2029" s="5">
        <v>44095</v>
      </c>
      <c r="H2029" s="2">
        <v>1</v>
      </c>
      <c r="I2029" s="6"/>
      <c r="J2029" s="6"/>
      <c r="K2029" s="7">
        <v>1.75</v>
      </c>
      <c r="L2029" s="7">
        <v>475</v>
      </c>
      <c r="M2029" t="s">
        <v>17</v>
      </c>
      <c r="N2029" s="16">
        <f>POWER(SQRT(WorkOrders2710[[#This Row],[WorkDate]]-WorkOrders2710[[#This Row],[ReqDate]]),2)</f>
        <v>12.999999999999998</v>
      </c>
      <c r="O2029" s="8">
        <f t="array" ref="O2029">INDEX(TechRate,MATCH(H2029,TechNum,0))</f>
        <v>80</v>
      </c>
      <c r="P2029" s="10">
        <f>WorkOrders2710[[#This Row],[Techs]]*(WorkOrders2710[[#This Row],[PartsCost]]*WorkOrders2710[[#This Row],[LbrHrs]])</f>
        <v>831.25</v>
      </c>
      <c r="Q2029" s="10">
        <f t="shared" si="185"/>
        <v>831.25</v>
      </c>
      <c r="R2029" s="10">
        <f t="shared" si="186"/>
        <v>475</v>
      </c>
      <c r="S2029" s="10">
        <f t="shared" si="187"/>
        <v>1306.25</v>
      </c>
      <c r="T2029" s="10">
        <f t="shared" si="188"/>
        <v>1306.25</v>
      </c>
      <c r="U2029" s="8" t="str">
        <f t="shared" si="189"/>
        <v>Tue</v>
      </c>
      <c r="V2029" s="8" t="str">
        <f t="shared" si="190"/>
        <v>Mon</v>
      </c>
    </row>
    <row r="2030" spans="1:22" hidden="1" x14ac:dyDescent="0.25">
      <c r="A2030" t="s">
        <v>68</v>
      </c>
      <c r="B2030" t="s">
        <v>39</v>
      </c>
      <c r="C2030" t="s">
        <v>8</v>
      </c>
      <c r="D2030" t="s">
        <v>13</v>
      </c>
      <c r="F2030" s="5">
        <v>44082</v>
      </c>
      <c r="G2030" s="5">
        <v>44096</v>
      </c>
      <c r="H2030" s="2">
        <v>1</v>
      </c>
      <c r="I2030" s="6"/>
      <c r="J2030" s="6"/>
      <c r="K2030" s="7">
        <v>1.75</v>
      </c>
      <c r="L2030" s="7">
        <v>341</v>
      </c>
      <c r="M2030" t="s">
        <v>18</v>
      </c>
      <c r="N2030" s="16">
        <f>POWER(SQRT(WorkOrders2710[[#This Row],[WorkDate]]-WorkOrders2710[[#This Row],[ReqDate]]),2)</f>
        <v>14</v>
      </c>
      <c r="O2030" s="8">
        <f t="array" ref="O2030">INDEX(TechRate,MATCH(H2030,TechNum,0))</f>
        <v>80</v>
      </c>
      <c r="P2030" s="10">
        <f>WorkOrders2710[[#This Row],[Techs]]*(WorkOrders2710[[#This Row],[PartsCost]]*WorkOrders2710[[#This Row],[LbrHrs]])</f>
        <v>596.75</v>
      </c>
      <c r="Q2030" s="10">
        <f t="shared" si="185"/>
        <v>596.75</v>
      </c>
      <c r="R2030" s="10">
        <f t="shared" si="186"/>
        <v>341</v>
      </c>
      <c r="S2030" s="10">
        <f t="shared" si="187"/>
        <v>937.75</v>
      </c>
      <c r="T2030" s="10">
        <f t="shared" si="188"/>
        <v>937.75</v>
      </c>
      <c r="U2030" s="8" t="str">
        <f t="shared" si="189"/>
        <v>Tue</v>
      </c>
      <c r="V2030" s="8" t="str">
        <f t="shared" si="190"/>
        <v>Tue</v>
      </c>
    </row>
    <row r="2031" spans="1:22" hidden="1" x14ac:dyDescent="0.25">
      <c r="A2031" t="s">
        <v>69</v>
      </c>
      <c r="B2031" t="s">
        <v>35</v>
      </c>
      <c r="C2031" t="s">
        <v>8</v>
      </c>
      <c r="D2031" t="s">
        <v>12</v>
      </c>
      <c r="F2031" s="5">
        <v>44082</v>
      </c>
      <c r="G2031" s="5">
        <v>44132</v>
      </c>
      <c r="H2031" s="2">
        <v>1</v>
      </c>
      <c r="I2031" s="6"/>
      <c r="J2031" s="6"/>
      <c r="K2031" s="7">
        <v>0.75</v>
      </c>
      <c r="L2031" s="7">
        <v>61.180599999999998</v>
      </c>
      <c r="M2031" t="s">
        <v>18</v>
      </c>
      <c r="N2031" s="16">
        <f>POWER(SQRT(WorkOrders2710[[#This Row],[WorkDate]]-WorkOrders2710[[#This Row],[ReqDate]]),2)</f>
        <v>50.000000000000007</v>
      </c>
      <c r="O2031" s="8">
        <f t="array" ref="O2031">INDEX(TechRate,MATCH(H2031,TechNum,0))</f>
        <v>80</v>
      </c>
      <c r="P2031" s="10">
        <f>WorkOrders2710[[#This Row],[Techs]]*(WorkOrders2710[[#This Row],[PartsCost]]*WorkOrders2710[[#This Row],[LbrHrs]])</f>
        <v>45.885449999999999</v>
      </c>
      <c r="Q2031" s="10">
        <f t="shared" si="185"/>
        <v>45.885449999999999</v>
      </c>
      <c r="R2031" s="10">
        <f t="shared" si="186"/>
        <v>61.180599999999998</v>
      </c>
      <c r="S2031" s="10">
        <f t="shared" si="187"/>
        <v>107.06604999999999</v>
      </c>
      <c r="T2031" s="10">
        <f t="shared" si="188"/>
        <v>107.06604999999999</v>
      </c>
      <c r="U2031" s="8" t="str">
        <f t="shared" si="189"/>
        <v>Tue</v>
      </c>
      <c r="V2031" s="8" t="str">
        <f t="shared" si="190"/>
        <v>Wed</v>
      </c>
    </row>
    <row r="2032" spans="1:22" hidden="1" x14ac:dyDescent="0.25">
      <c r="A2032" t="s">
        <v>70</v>
      </c>
      <c r="B2032" t="s">
        <v>37</v>
      </c>
      <c r="C2032" t="s">
        <v>43</v>
      </c>
      <c r="D2032" t="s">
        <v>13</v>
      </c>
      <c r="F2032" s="5">
        <v>44082</v>
      </c>
      <c r="G2032" s="5">
        <v>44152</v>
      </c>
      <c r="H2032" s="2">
        <v>1</v>
      </c>
      <c r="I2032" s="6"/>
      <c r="J2032" s="6"/>
      <c r="K2032" s="7">
        <v>0.5</v>
      </c>
      <c r="L2032" s="7">
        <v>155.3931</v>
      </c>
      <c r="M2032" t="s">
        <v>17</v>
      </c>
      <c r="N2032" s="16">
        <f>POWER(SQRT(WorkOrders2710[[#This Row],[WorkDate]]-WorkOrders2710[[#This Row],[ReqDate]]),2)</f>
        <v>70</v>
      </c>
      <c r="O2032" s="8">
        <f t="array" ref="O2032">INDEX(TechRate,MATCH(H2032,TechNum,0))</f>
        <v>80</v>
      </c>
      <c r="P2032" s="10">
        <f>WorkOrders2710[[#This Row],[Techs]]*(WorkOrders2710[[#This Row],[PartsCost]]*WorkOrders2710[[#This Row],[LbrHrs]])</f>
        <v>77.696550000000002</v>
      </c>
      <c r="Q2032" s="10">
        <f t="shared" si="185"/>
        <v>77.696550000000002</v>
      </c>
      <c r="R2032" s="10">
        <f t="shared" si="186"/>
        <v>155.3931</v>
      </c>
      <c r="S2032" s="10">
        <f t="shared" si="187"/>
        <v>233.08965000000001</v>
      </c>
      <c r="T2032" s="10">
        <f t="shared" si="188"/>
        <v>233.08965000000001</v>
      </c>
      <c r="U2032" s="8" t="str">
        <f t="shared" si="189"/>
        <v>Tue</v>
      </c>
      <c r="V2032" s="8" t="str">
        <f t="shared" si="190"/>
        <v>Tue</v>
      </c>
    </row>
    <row r="2033" spans="1:22" hidden="1" x14ac:dyDescent="0.25">
      <c r="A2033" t="s">
        <v>71</v>
      </c>
      <c r="B2033" t="s">
        <v>35</v>
      </c>
      <c r="C2033" t="s">
        <v>6</v>
      </c>
      <c r="D2033" t="s">
        <v>13</v>
      </c>
      <c r="E2033" t="s">
        <v>3</v>
      </c>
      <c r="F2033" s="5">
        <v>44083</v>
      </c>
      <c r="G2033" s="5">
        <v>44098</v>
      </c>
      <c r="H2033" s="2">
        <v>2</v>
      </c>
      <c r="I2033" s="6"/>
      <c r="J2033" s="6"/>
      <c r="K2033" s="7">
        <v>0.5</v>
      </c>
      <c r="L2033" s="7">
        <v>204.28399999999999</v>
      </c>
      <c r="M2033" t="s">
        <v>18</v>
      </c>
      <c r="N2033" s="16">
        <f>POWER(SQRT(WorkOrders2710[[#This Row],[WorkDate]]-WorkOrders2710[[#This Row],[ReqDate]]),2)</f>
        <v>15.000000000000002</v>
      </c>
      <c r="O2033" s="8">
        <f t="array" ref="O2033">INDEX(TechRate,MATCH(H2033,TechNum,0))</f>
        <v>140</v>
      </c>
      <c r="P2033" s="10">
        <f>WorkOrders2710[[#This Row],[Techs]]*(WorkOrders2710[[#This Row],[PartsCost]]*WorkOrders2710[[#This Row],[LbrHrs]])</f>
        <v>204.28399999999999</v>
      </c>
      <c r="Q2033" s="10">
        <f t="shared" si="185"/>
        <v>204.28399999999999</v>
      </c>
      <c r="R2033" s="10">
        <f t="shared" si="186"/>
        <v>204.28399999999999</v>
      </c>
      <c r="S2033" s="10">
        <f t="shared" si="187"/>
        <v>408.56799999999998</v>
      </c>
      <c r="T2033" s="10">
        <f t="shared" si="188"/>
        <v>408.56799999999998</v>
      </c>
      <c r="U2033" s="8" t="str">
        <f t="shared" si="189"/>
        <v>Wed</v>
      </c>
      <c r="V2033" s="8" t="str">
        <f t="shared" si="190"/>
        <v>Thu</v>
      </c>
    </row>
    <row r="2034" spans="1:22" hidden="1" x14ac:dyDescent="0.25">
      <c r="A2034" t="s">
        <v>72</v>
      </c>
      <c r="B2034" t="s">
        <v>37</v>
      </c>
      <c r="C2034" t="s">
        <v>43</v>
      </c>
      <c r="D2034" t="s">
        <v>12</v>
      </c>
      <c r="F2034" s="5">
        <v>44083</v>
      </c>
      <c r="G2034" s="5">
        <v>44103</v>
      </c>
      <c r="H2034" s="2">
        <v>1</v>
      </c>
      <c r="I2034" s="6"/>
      <c r="J2034" s="6"/>
      <c r="K2034" s="7">
        <v>0.5</v>
      </c>
      <c r="L2034" s="7">
        <v>37.917400000000001</v>
      </c>
      <c r="M2034" t="s">
        <v>17</v>
      </c>
      <c r="N2034" s="16">
        <f>POWER(SQRT(WorkOrders2710[[#This Row],[WorkDate]]-WorkOrders2710[[#This Row],[ReqDate]]),2)</f>
        <v>20.000000000000004</v>
      </c>
      <c r="O2034" s="8">
        <f t="array" ref="O2034">INDEX(TechRate,MATCH(H2034,TechNum,0))</f>
        <v>80</v>
      </c>
      <c r="P2034" s="10">
        <f>WorkOrders2710[[#This Row],[Techs]]*(WorkOrders2710[[#This Row],[PartsCost]]*WorkOrders2710[[#This Row],[LbrHrs]])</f>
        <v>18.9587</v>
      </c>
      <c r="Q2034" s="10">
        <f t="shared" si="185"/>
        <v>18.9587</v>
      </c>
      <c r="R2034" s="10">
        <f t="shared" si="186"/>
        <v>37.917400000000001</v>
      </c>
      <c r="S2034" s="10">
        <f t="shared" si="187"/>
        <v>56.876100000000001</v>
      </c>
      <c r="T2034" s="10">
        <f t="shared" si="188"/>
        <v>56.876100000000001</v>
      </c>
      <c r="U2034" s="8" t="str">
        <f t="shared" si="189"/>
        <v>Wed</v>
      </c>
      <c r="V2034" s="8" t="str">
        <f t="shared" si="190"/>
        <v>Tue</v>
      </c>
    </row>
    <row r="2035" spans="1:22" hidden="1" x14ac:dyDescent="0.25">
      <c r="A2035" t="s">
        <v>73</v>
      </c>
      <c r="B2035" t="s">
        <v>35</v>
      </c>
      <c r="C2035" t="s">
        <v>9</v>
      </c>
      <c r="D2035" t="s">
        <v>11</v>
      </c>
      <c r="E2035" t="s">
        <v>3</v>
      </c>
      <c r="F2035" s="5">
        <v>44083</v>
      </c>
      <c r="G2035" s="5">
        <v>44103</v>
      </c>
      <c r="H2035" s="2">
        <v>1</v>
      </c>
      <c r="I2035" s="6"/>
      <c r="J2035" s="6"/>
      <c r="K2035" s="7">
        <v>0.25</v>
      </c>
      <c r="L2035" s="7">
        <v>88.405699999999996</v>
      </c>
      <c r="M2035" t="s">
        <v>17</v>
      </c>
      <c r="N2035" s="16">
        <f>POWER(SQRT(WorkOrders2710[[#This Row],[WorkDate]]-WorkOrders2710[[#This Row],[ReqDate]]),2)</f>
        <v>20.000000000000004</v>
      </c>
      <c r="O2035" s="8">
        <f t="array" ref="O2035">INDEX(TechRate,MATCH(H2035,TechNum,0))</f>
        <v>80</v>
      </c>
      <c r="P2035" s="10">
        <f>WorkOrders2710[[#This Row],[Techs]]*(WorkOrders2710[[#This Row],[PartsCost]]*WorkOrders2710[[#This Row],[LbrHrs]])</f>
        <v>22.101424999999999</v>
      </c>
      <c r="Q2035" s="10">
        <f t="shared" si="185"/>
        <v>22.101424999999999</v>
      </c>
      <c r="R2035" s="10">
        <f t="shared" si="186"/>
        <v>88.405699999999996</v>
      </c>
      <c r="S2035" s="10">
        <f t="shared" si="187"/>
        <v>110.507125</v>
      </c>
      <c r="T2035" s="10">
        <f t="shared" si="188"/>
        <v>110.507125</v>
      </c>
      <c r="U2035" s="8" t="str">
        <f t="shared" si="189"/>
        <v>Wed</v>
      </c>
      <c r="V2035" s="8" t="str">
        <f t="shared" si="190"/>
        <v>Tue</v>
      </c>
    </row>
    <row r="2036" spans="1:22" hidden="1" x14ac:dyDescent="0.25">
      <c r="A2036" t="s">
        <v>74</v>
      </c>
      <c r="B2036" t="s">
        <v>37</v>
      </c>
      <c r="C2036" t="s">
        <v>43</v>
      </c>
      <c r="D2036" t="s">
        <v>11</v>
      </c>
      <c r="F2036" s="5">
        <v>44083</v>
      </c>
      <c r="G2036" s="5">
        <v>44103</v>
      </c>
      <c r="H2036" s="2">
        <v>1</v>
      </c>
      <c r="I2036" s="6"/>
      <c r="J2036" s="6"/>
      <c r="K2036" s="7">
        <v>0.25</v>
      </c>
      <c r="L2036" s="7">
        <v>202.28639999999999</v>
      </c>
      <c r="M2036" t="s">
        <v>17</v>
      </c>
      <c r="N2036" s="16">
        <f>POWER(SQRT(WorkOrders2710[[#This Row],[WorkDate]]-WorkOrders2710[[#This Row],[ReqDate]]),2)</f>
        <v>20.000000000000004</v>
      </c>
      <c r="O2036" s="8">
        <f t="array" ref="O2036">INDEX(TechRate,MATCH(H2036,TechNum,0))</f>
        <v>80</v>
      </c>
      <c r="P2036" s="10">
        <f>WorkOrders2710[[#This Row],[Techs]]*(WorkOrders2710[[#This Row],[PartsCost]]*WorkOrders2710[[#This Row],[LbrHrs]])</f>
        <v>50.571599999999997</v>
      </c>
      <c r="Q2036" s="10">
        <f t="shared" si="185"/>
        <v>50.571599999999997</v>
      </c>
      <c r="R2036" s="10">
        <f t="shared" si="186"/>
        <v>202.28639999999999</v>
      </c>
      <c r="S2036" s="10">
        <f t="shared" si="187"/>
        <v>252.85799999999998</v>
      </c>
      <c r="T2036" s="10">
        <f t="shared" si="188"/>
        <v>252.85799999999998</v>
      </c>
      <c r="U2036" s="8" t="str">
        <f t="shared" si="189"/>
        <v>Wed</v>
      </c>
      <c r="V2036" s="8" t="str">
        <f t="shared" si="190"/>
        <v>Tue</v>
      </c>
    </row>
    <row r="2037" spans="1:22" hidden="1" x14ac:dyDescent="0.25">
      <c r="A2037" t="s">
        <v>75</v>
      </c>
      <c r="B2037" t="s">
        <v>38</v>
      </c>
      <c r="C2037" t="s">
        <v>8</v>
      </c>
      <c r="D2037" t="s">
        <v>12</v>
      </c>
      <c r="F2037" s="5">
        <v>44084</v>
      </c>
      <c r="G2037" s="5">
        <v>44102</v>
      </c>
      <c r="H2037" s="2">
        <v>1</v>
      </c>
      <c r="I2037" s="6"/>
      <c r="J2037" s="6"/>
      <c r="K2037" s="7">
        <v>0.5</v>
      </c>
      <c r="L2037" s="7">
        <v>120</v>
      </c>
      <c r="M2037" t="s">
        <v>19</v>
      </c>
      <c r="N2037" s="16">
        <f>POWER(SQRT(WorkOrders2710[[#This Row],[WorkDate]]-WorkOrders2710[[#This Row],[ReqDate]]),2)</f>
        <v>17.999999999999996</v>
      </c>
      <c r="O2037" s="8">
        <f t="array" ref="O2037">INDEX(TechRate,MATCH(H2037,TechNum,0))</f>
        <v>80</v>
      </c>
      <c r="P2037" s="10">
        <f>WorkOrders2710[[#This Row],[Techs]]*(WorkOrders2710[[#This Row],[PartsCost]]*WorkOrders2710[[#This Row],[LbrHrs]])</f>
        <v>60</v>
      </c>
      <c r="Q2037" s="10">
        <f t="shared" si="185"/>
        <v>60</v>
      </c>
      <c r="R2037" s="10">
        <f t="shared" si="186"/>
        <v>120</v>
      </c>
      <c r="S2037" s="10">
        <f t="shared" si="187"/>
        <v>180</v>
      </c>
      <c r="T2037" s="10">
        <f t="shared" si="188"/>
        <v>180</v>
      </c>
      <c r="U2037" s="8" t="str">
        <f t="shared" si="189"/>
        <v>Thu</v>
      </c>
      <c r="V2037" s="8" t="str">
        <f t="shared" si="190"/>
        <v>Mon</v>
      </c>
    </row>
    <row r="2038" spans="1:22" hidden="1" x14ac:dyDescent="0.25">
      <c r="A2038" t="s">
        <v>76</v>
      </c>
      <c r="B2038" t="s">
        <v>35</v>
      </c>
      <c r="C2038" t="s">
        <v>6</v>
      </c>
      <c r="D2038" t="s">
        <v>11</v>
      </c>
      <c r="F2038" s="5">
        <v>44085</v>
      </c>
      <c r="G2038" s="5">
        <v>44088</v>
      </c>
      <c r="H2038" s="2">
        <v>1</v>
      </c>
      <c r="I2038" s="6"/>
      <c r="J2038" s="6"/>
      <c r="K2038" s="7">
        <v>0.25</v>
      </c>
      <c r="L2038" s="7">
        <v>120</v>
      </c>
      <c r="M2038" t="s">
        <v>17</v>
      </c>
      <c r="N2038" s="16">
        <f>POWER(SQRT(WorkOrders2710[[#This Row],[WorkDate]]-WorkOrders2710[[#This Row],[ReqDate]]),2)</f>
        <v>2.9999999999999996</v>
      </c>
      <c r="O2038" s="8">
        <f t="array" ref="O2038">INDEX(TechRate,MATCH(H2038,TechNum,0))</f>
        <v>80</v>
      </c>
      <c r="P2038" s="10">
        <f>WorkOrders2710[[#This Row],[Techs]]*(WorkOrders2710[[#This Row],[PartsCost]]*WorkOrders2710[[#This Row],[LbrHrs]])</f>
        <v>30</v>
      </c>
      <c r="Q2038" s="10">
        <f t="shared" si="185"/>
        <v>30</v>
      </c>
      <c r="R2038" s="10">
        <f t="shared" si="186"/>
        <v>120</v>
      </c>
      <c r="S2038" s="10">
        <f t="shared" si="187"/>
        <v>150</v>
      </c>
      <c r="T2038" s="10">
        <f t="shared" si="188"/>
        <v>150</v>
      </c>
      <c r="U2038" s="8" t="str">
        <f t="shared" si="189"/>
        <v>Fri</v>
      </c>
      <c r="V2038" s="8" t="str">
        <f t="shared" si="190"/>
        <v>Mon</v>
      </c>
    </row>
    <row r="2039" spans="1:22" hidden="1" x14ac:dyDescent="0.25">
      <c r="A2039" t="s">
        <v>77</v>
      </c>
      <c r="B2039" t="s">
        <v>42</v>
      </c>
      <c r="C2039" t="s">
        <v>44</v>
      </c>
      <c r="D2039" t="s">
        <v>13</v>
      </c>
      <c r="F2039" s="5">
        <v>44085</v>
      </c>
      <c r="G2039" s="5">
        <v>44089</v>
      </c>
      <c r="H2039" s="2">
        <v>2</v>
      </c>
      <c r="I2039" s="6"/>
      <c r="J2039" s="6"/>
      <c r="K2039" s="7">
        <v>0.5</v>
      </c>
      <c r="L2039" s="7">
        <v>535.62480000000005</v>
      </c>
      <c r="M2039" t="s">
        <v>18</v>
      </c>
      <c r="N2039" s="16">
        <f>POWER(SQRT(WorkOrders2710[[#This Row],[WorkDate]]-WorkOrders2710[[#This Row],[ReqDate]]),2)</f>
        <v>4</v>
      </c>
      <c r="O2039" s="8">
        <f t="array" ref="O2039">INDEX(TechRate,MATCH(H2039,TechNum,0))</f>
        <v>140</v>
      </c>
      <c r="P2039" s="10">
        <f>WorkOrders2710[[#This Row],[Techs]]*(WorkOrders2710[[#This Row],[PartsCost]]*WorkOrders2710[[#This Row],[LbrHrs]])</f>
        <v>535.62480000000005</v>
      </c>
      <c r="Q2039" s="10">
        <f t="shared" si="185"/>
        <v>535.62480000000005</v>
      </c>
      <c r="R2039" s="10">
        <f t="shared" si="186"/>
        <v>535.62480000000005</v>
      </c>
      <c r="S2039" s="10">
        <f t="shared" si="187"/>
        <v>1071.2496000000001</v>
      </c>
      <c r="T2039" s="10">
        <f t="shared" si="188"/>
        <v>1071.2496000000001</v>
      </c>
      <c r="U2039" s="8" t="str">
        <f t="shared" si="189"/>
        <v>Fri</v>
      </c>
      <c r="V2039" s="8" t="str">
        <f t="shared" si="190"/>
        <v>Tue</v>
      </c>
    </row>
    <row r="2040" spans="1:22" hidden="1" x14ac:dyDescent="0.25">
      <c r="A2040" t="s">
        <v>78</v>
      </c>
      <c r="B2040" t="s">
        <v>35</v>
      </c>
      <c r="C2040" t="s">
        <v>8</v>
      </c>
      <c r="D2040" t="s">
        <v>12</v>
      </c>
      <c r="F2040" s="5">
        <v>44085</v>
      </c>
      <c r="G2040" s="5">
        <v>44097</v>
      </c>
      <c r="H2040" s="2">
        <v>2</v>
      </c>
      <c r="I2040" s="6"/>
      <c r="J2040" s="6"/>
      <c r="K2040" s="7">
        <v>0.25</v>
      </c>
      <c r="L2040" s="7">
        <v>24.63</v>
      </c>
      <c r="M2040" t="s">
        <v>17</v>
      </c>
      <c r="N2040" s="16">
        <f>POWER(SQRT(WorkOrders2710[[#This Row],[WorkDate]]-WorkOrders2710[[#This Row],[ReqDate]]),2)</f>
        <v>11.999999999999998</v>
      </c>
      <c r="O2040" s="8">
        <f t="array" ref="O2040">INDEX(TechRate,MATCH(H2040,TechNum,0))</f>
        <v>140</v>
      </c>
      <c r="P2040" s="10">
        <f>WorkOrders2710[[#This Row],[Techs]]*(WorkOrders2710[[#This Row],[PartsCost]]*WorkOrders2710[[#This Row],[LbrHrs]])</f>
        <v>12.315</v>
      </c>
      <c r="Q2040" s="10">
        <f t="shared" si="185"/>
        <v>12.315</v>
      </c>
      <c r="R2040" s="10">
        <f t="shared" si="186"/>
        <v>24.63</v>
      </c>
      <c r="S2040" s="10">
        <f t="shared" si="187"/>
        <v>36.945</v>
      </c>
      <c r="T2040" s="10">
        <f t="shared" si="188"/>
        <v>36.945</v>
      </c>
      <c r="U2040" s="8" t="str">
        <f t="shared" si="189"/>
        <v>Fri</v>
      </c>
      <c r="V2040" s="8" t="str">
        <f t="shared" si="190"/>
        <v>Wed</v>
      </c>
    </row>
    <row r="2041" spans="1:22" hidden="1" x14ac:dyDescent="0.25">
      <c r="A2041" t="s">
        <v>79</v>
      </c>
      <c r="B2041" t="s">
        <v>35</v>
      </c>
      <c r="C2041" t="s">
        <v>8</v>
      </c>
      <c r="D2041" t="s">
        <v>13</v>
      </c>
      <c r="F2041" s="5">
        <v>44085</v>
      </c>
      <c r="G2041" s="5">
        <v>44100</v>
      </c>
      <c r="H2041" s="2">
        <v>2</v>
      </c>
      <c r="I2041" s="6"/>
      <c r="J2041" s="6"/>
      <c r="K2041" s="7">
        <v>0.5</v>
      </c>
      <c r="L2041" s="7">
        <v>43.26</v>
      </c>
      <c r="M2041" t="s">
        <v>17</v>
      </c>
      <c r="N2041" s="16">
        <f>POWER(SQRT(WorkOrders2710[[#This Row],[WorkDate]]-WorkOrders2710[[#This Row],[ReqDate]]),2)</f>
        <v>15.000000000000002</v>
      </c>
      <c r="O2041" s="8">
        <f t="array" ref="O2041">INDEX(TechRate,MATCH(H2041,TechNum,0))</f>
        <v>140</v>
      </c>
      <c r="P2041" s="10">
        <f>WorkOrders2710[[#This Row],[Techs]]*(WorkOrders2710[[#This Row],[PartsCost]]*WorkOrders2710[[#This Row],[LbrHrs]])</f>
        <v>43.26</v>
      </c>
      <c r="Q2041" s="10">
        <f t="shared" si="185"/>
        <v>43.26</v>
      </c>
      <c r="R2041" s="10">
        <f t="shared" si="186"/>
        <v>43.26</v>
      </c>
      <c r="S2041" s="10">
        <f t="shared" si="187"/>
        <v>86.52</v>
      </c>
      <c r="T2041" s="10">
        <f t="shared" si="188"/>
        <v>86.52</v>
      </c>
      <c r="U2041" s="8" t="str">
        <f t="shared" si="189"/>
        <v>Fri</v>
      </c>
      <c r="V2041" s="8" t="str">
        <f t="shared" si="190"/>
        <v>Sat</v>
      </c>
    </row>
    <row r="2042" spans="1:22" hidden="1" x14ac:dyDescent="0.25">
      <c r="A2042" t="s">
        <v>80</v>
      </c>
      <c r="B2042" t="s">
        <v>38</v>
      </c>
      <c r="C2042" t="s">
        <v>8</v>
      </c>
      <c r="D2042" t="s">
        <v>12</v>
      </c>
      <c r="F2042" s="5">
        <v>44085</v>
      </c>
      <c r="G2042" s="5">
        <v>44110</v>
      </c>
      <c r="H2042" s="2">
        <v>1</v>
      </c>
      <c r="I2042" s="6"/>
      <c r="J2042" s="6"/>
      <c r="K2042" s="7">
        <v>0.25</v>
      </c>
      <c r="L2042" s="7">
        <v>21.33</v>
      </c>
      <c r="M2042" t="s">
        <v>17</v>
      </c>
      <c r="N2042" s="16">
        <f>POWER(SQRT(WorkOrders2710[[#This Row],[WorkDate]]-WorkOrders2710[[#This Row],[ReqDate]]),2)</f>
        <v>25</v>
      </c>
      <c r="O2042" s="8">
        <f t="array" ref="O2042">INDEX(TechRate,MATCH(H2042,TechNum,0))</f>
        <v>80</v>
      </c>
      <c r="P2042" s="10">
        <f>WorkOrders2710[[#This Row],[Techs]]*(WorkOrders2710[[#This Row],[PartsCost]]*WorkOrders2710[[#This Row],[LbrHrs]])</f>
        <v>5.3324999999999996</v>
      </c>
      <c r="Q2042" s="10">
        <f t="shared" si="185"/>
        <v>5.3324999999999996</v>
      </c>
      <c r="R2042" s="10">
        <f t="shared" si="186"/>
        <v>21.33</v>
      </c>
      <c r="S2042" s="10">
        <f t="shared" si="187"/>
        <v>26.662499999999998</v>
      </c>
      <c r="T2042" s="10">
        <f t="shared" si="188"/>
        <v>26.662499999999998</v>
      </c>
      <c r="U2042" s="8" t="str">
        <f t="shared" si="189"/>
        <v>Fri</v>
      </c>
      <c r="V2042" s="8" t="str">
        <f t="shared" si="190"/>
        <v>Tue</v>
      </c>
    </row>
    <row r="2043" spans="1:22" x14ac:dyDescent="0.25">
      <c r="A2043" t="s">
        <v>81</v>
      </c>
      <c r="B2043" t="s">
        <v>38</v>
      </c>
      <c r="C2043" t="s">
        <v>8</v>
      </c>
      <c r="D2043" t="s">
        <v>13</v>
      </c>
      <c r="F2043" s="5">
        <v>44086</v>
      </c>
      <c r="G2043" s="5">
        <v>44102</v>
      </c>
      <c r="H2043" s="2">
        <v>1</v>
      </c>
      <c r="I2043" s="6"/>
      <c r="J2043" s="6"/>
      <c r="K2043" s="7">
        <v>1</v>
      </c>
      <c r="L2043" s="7">
        <v>0.45600000000000002</v>
      </c>
      <c r="M2043" t="s">
        <v>18</v>
      </c>
      <c r="N2043" s="16">
        <f>POWER(SQRT(WorkOrders2710[[#This Row],[WorkDate]]-WorkOrders2710[[#This Row],[ReqDate]]),2)</f>
        <v>16</v>
      </c>
      <c r="O2043" s="8">
        <f t="array" ref="O2043">INDEX(TechRate,MATCH(H2043,TechNum,0))</f>
        <v>80</v>
      </c>
      <c r="P2043" s="10">
        <f>WorkOrders2710[[#This Row],[Techs]]*(WorkOrders2710[[#This Row],[PartsCost]]*WorkOrders2710[[#This Row],[LbrHrs]])</f>
        <v>0.45600000000000002</v>
      </c>
      <c r="Q2043" s="10">
        <f t="shared" si="185"/>
        <v>0.45600000000000002</v>
      </c>
      <c r="R2043" s="10">
        <f t="shared" si="186"/>
        <v>0.45600000000000002</v>
      </c>
      <c r="S2043" s="10">
        <f t="shared" si="187"/>
        <v>0.91200000000000003</v>
      </c>
      <c r="T2043" s="10">
        <f t="shared" si="188"/>
        <v>0.91200000000000003</v>
      </c>
      <c r="U2043" s="8" t="str">
        <f t="shared" si="189"/>
        <v>Sat</v>
      </c>
      <c r="V2043" s="8" t="str">
        <f t="shared" si="190"/>
        <v>Mon</v>
      </c>
    </row>
    <row r="2044" spans="1:22" hidden="1" x14ac:dyDescent="0.25">
      <c r="A2044" t="s">
        <v>82</v>
      </c>
      <c r="B2044" t="s">
        <v>35</v>
      </c>
      <c r="C2044" t="s">
        <v>8</v>
      </c>
      <c r="D2044" t="s">
        <v>12</v>
      </c>
      <c r="F2044" s="5">
        <v>44088</v>
      </c>
      <c r="G2044" s="5">
        <v>44098</v>
      </c>
      <c r="H2044" s="2">
        <v>2</v>
      </c>
      <c r="I2044" s="6"/>
      <c r="J2044" s="6"/>
      <c r="K2044" s="7">
        <v>0.25</v>
      </c>
      <c r="L2044" s="7">
        <v>126.62309999999999</v>
      </c>
      <c r="M2044" t="s">
        <v>18</v>
      </c>
      <c r="N2044" s="16">
        <f>POWER(SQRT(WorkOrders2710[[#This Row],[WorkDate]]-WorkOrders2710[[#This Row],[ReqDate]]),2)</f>
        <v>10.000000000000002</v>
      </c>
      <c r="O2044" s="8">
        <f t="array" ref="O2044">INDEX(TechRate,MATCH(H2044,TechNum,0))</f>
        <v>140</v>
      </c>
      <c r="P2044" s="10">
        <f>WorkOrders2710[[#This Row],[Techs]]*(WorkOrders2710[[#This Row],[PartsCost]]*WorkOrders2710[[#This Row],[LbrHrs]])</f>
        <v>63.311549999999997</v>
      </c>
      <c r="Q2044" s="10">
        <f t="shared" si="185"/>
        <v>63.311549999999997</v>
      </c>
      <c r="R2044" s="10">
        <f t="shared" si="186"/>
        <v>126.62309999999999</v>
      </c>
      <c r="S2044" s="10">
        <f t="shared" si="187"/>
        <v>189.93464999999998</v>
      </c>
      <c r="T2044" s="10">
        <f t="shared" si="188"/>
        <v>189.93464999999998</v>
      </c>
      <c r="U2044" s="8" t="str">
        <f t="shared" si="189"/>
        <v>Mon</v>
      </c>
      <c r="V2044" s="8" t="str">
        <f t="shared" si="190"/>
        <v>Thu</v>
      </c>
    </row>
    <row r="2045" spans="1:22" hidden="1" x14ac:dyDescent="0.25">
      <c r="A2045" t="s">
        <v>83</v>
      </c>
      <c r="B2045" t="s">
        <v>38</v>
      </c>
      <c r="C2045" t="s">
        <v>8</v>
      </c>
      <c r="D2045" t="s">
        <v>13</v>
      </c>
      <c r="F2045" s="5">
        <v>44088</v>
      </c>
      <c r="G2045" s="5">
        <v>44102</v>
      </c>
      <c r="H2045" s="2">
        <v>1</v>
      </c>
      <c r="I2045" s="6"/>
      <c r="J2045" s="6"/>
      <c r="K2045" s="7">
        <v>1.5</v>
      </c>
      <c r="L2045" s="7">
        <v>251.0033</v>
      </c>
      <c r="M2045" t="s">
        <v>17</v>
      </c>
      <c r="N2045" s="16">
        <f>POWER(SQRT(WorkOrders2710[[#This Row],[WorkDate]]-WorkOrders2710[[#This Row],[ReqDate]]),2)</f>
        <v>14</v>
      </c>
      <c r="O2045" s="8">
        <f t="array" ref="O2045">INDEX(TechRate,MATCH(H2045,TechNum,0))</f>
        <v>80</v>
      </c>
      <c r="P2045" s="10">
        <f>WorkOrders2710[[#This Row],[Techs]]*(WorkOrders2710[[#This Row],[PartsCost]]*WorkOrders2710[[#This Row],[LbrHrs]])</f>
        <v>376.50495000000001</v>
      </c>
      <c r="Q2045" s="10">
        <f t="shared" si="185"/>
        <v>376.50495000000001</v>
      </c>
      <c r="R2045" s="10">
        <f t="shared" si="186"/>
        <v>251.0033</v>
      </c>
      <c r="S2045" s="10">
        <f t="shared" si="187"/>
        <v>627.50824999999998</v>
      </c>
      <c r="T2045" s="10">
        <f t="shared" si="188"/>
        <v>627.50824999999998</v>
      </c>
      <c r="U2045" s="8" t="str">
        <f t="shared" si="189"/>
        <v>Mon</v>
      </c>
      <c r="V2045" s="8" t="str">
        <f t="shared" si="190"/>
        <v>Mon</v>
      </c>
    </row>
    <row r="2046" spans="1:22" hidden="1" x14ac:dyDescent="0.25">
      <c r="A2046" t="s">
        <v>84</v>
      </c>
      <c r="B2046" t="s">
        <v>39</v>
      </c>
      <c r="C2046" t="s">
        <v>44</v>
      </c>
      <c r="D2046" t="s">
        <v>12</v>
      </c>
      <c r="E2046" t="s">
        <v>3</v>
      </c>
      <c r="F2046" s="5">
        <v>44088</v>
      </c>
      <c r="G2046" s="5">
        <v>44109</v>
      </c>
      <c r="H2046" s="2">
        <v>1</v>
      </c>
      <c r="I2046" s="6"/>
      <c r="J2046" s="6"/>
      <c r="K2046" s="7">
        <v>0.5</v>
      </c>
      <c r="L2046" s="7">
        <v>395.28</v>
      </c>
      <c r="M2046" t="s">
        <v>19</v>
      </c>
      <c r="N2046" s="16">
        <f>POWER(SQRT(WorkOrders2710[[#This Row],[WorkDate]]-WorkOrders2710[[#This Row],[ReqDate]]),2)</f>
        <v>21</v>
      </c>
      <c r="O2046" s="8">
        <f t="array" ref="O2046">INDEX(TechRate,MATCH(H2046,TechNum,0))</f>
        <v>80</v>
      </c>
      <c r="P2046" s="10">
        <f>WorkOrders2710[[#This Row],[Techs]]*(WorkOrders2710[[#This Row],[PartsCost]]*WorkOrders2710[[#This Row],[LbrHrs]])</f>
        <v>197.64</v>
      </c>
      <c r="Q2046" s="10">
        <f t="shared" si="185"/>
        <v>197.64</v>
      </c>
      <c r="R2046" s="10">
        <f t="shared" si="186"/>
        <v>395.28</v>
      </c>
      <c r="S2046" s="10">
        <f t="shared" si="187"/>
        <v>592.91999999999996</v>
      </c>
      <c r="T2046" s="10">
        <f t="shared" si="188"/>
        <v>592.91999999999996</v>
      </c>
      <c r="U2046" s="8" t="str">
        <f t="shared" si="189"/>
        <v>Mon</v>
      </c>
      <c r="V2046" s="8" t="str">
        <f t="shared" si="190"/>
        <v>Mon</v>
      </c>
    </row>
    <row r="2047" spans="1:22" hidden="1" x14ac:dyDescent="0.25">
      <c r="A2047" t="s">
        <v>85</v>
      </c>
      <c r="B2047" t="s">
        <v>35</v>
      </c>
      <c r="C2047" t="s">
        <v>6</v>
      </c>
      <c r="D2047" t="s">
        <v>11</v>
      </c>
      <c r="E2047" t="s">
        <v>3</v>
      </c>
      <c r="F2047" s="5">
        <v>44088</v>
      </c>
      <c r="G2047" s="5">
        <v>44111</v>
      </c>
      <c r="H2047" s="2">
        <v>1</v>
      </c>
      <c r="I2047" s="6"/>
      <c r="J2047" s="6"/>
      <c r="K2047" s="7">
        <v>0.25</v>
      </c>
      <c r="L2047" s="7">
        <v>36</v>
      </c>
      <c r="M2047" t="s">
        <v>17</v>
      </c>
      <c r="N2047" s="16">
        <f>POWER(SQRT(WorkOrders2710[[#This Row],[WorkDate]]-WorkOrders2710[[#This Row],[ReqDate]]),2)</f>
        <v>22.999999999999996</v>
      </c>
      <c r="O2047" s="8">
        <f t="array" ref="O2047">INDEX(TechRate,MATCH(H2047,TechNum,0))</f>
        <v>80</v>
      </c>
      <c r="P2047" s="10">
        <f>WorkOrders2710[[#This Row],[Techs]]*(WorkOrders2710[[#This Row],[PartsCost]]*WorkOrders2710[[#This Row],[LbrHrs]])</f>
        <v>9</v>
      </c>
      <c r="Q2047" s="10">
        <f t="shared" si="185"/>
        <v>9</v>
      </c>
      <c r="R2047" s="10">
        <f t="shared" si="186"/>
        <v>36</v>
      </c>
      <c r="S2047" s="10">
        <f t="shared" si="187"/>
        <v>45</v>
      </c>
      <c r="T2047" s="10">
        <f t="shared" si="188"/>
        <v>45</v>
      </c>
      <c r="U2047" s="8" t="str">
        <f t="shared" si="189"/>
        <v>Mon</v>
      </c>
      <c r="V2047" s="8" t="str">
        <f t="shared" si="190"/>
        <v>Wed</v>
      </c>
    </row>
    <row r="2048" spans="1:22" hidden="1" x14ac:dyDescent="0.25">
      <c r="A2048" t="s">
        <v>86</v>
      </c>
      <c r="B2048" t="s">
        <v>37</v>
      </c>
      <c r="C2048" t="s">
        <v>43</v>
      </c>
      <c r="D2048" t="s">
        <v>12</v>
      </c>
      <c r="F2048" s="5">
        <v>44088</v>
      </c>
      <c r="G2048" s="5">
        <v>44158</v>
      </c>
      <c r="H2048" s="2">
        <v>1</v>
      </c>
      <c r="I2048" s="6"/>
      <c r="J2048" s="6"/>
      <c r="K2048" s="7">
        <v>1.75</v>
      </c>
      <c r="L2048" s="7">
        <v>510.67529999999999</v>
      </c>
      <c r="M2048" t="s">
        <v>19</v>
      </c>
      <c r="N2048" s="16">
        <f>POWER(SQRT(WorkOrders2710[[#This Row],[WorkDate]]-WorkOrders2710[[#This Row],[ReqDate]]),2)</f>
        <v>70</v>
      </c>
      <c r="O2048" s="8">
        <f t="array" ref="O2048">INDEX(TechRate,MATCH(H2048,TechNum,0))</f>
        <v>80</v>
      </c>
      <c r="P2048" s="10">
        <f>WorkOrders2710[[#This Row],[Techs]]*(WorkOrders2710[[#This Row],[PartsCost]]*WorkOrders2710[[#This Row],[LbrHrs]])</f>
        <v>893.68177500000002</v>
      </c>
      <c r="Q2048" s="10">
        <f t="shared" si="185"/>
        <v>893.68177500000002</v>
      </c>
      <c r="R2048" s="10">
        <f t="shared" si="186"/>
        <v>510.67529999999999</v>
      </c>
      <c r="S2048" s="10">
        <f t="shared" si="187"/>
        <v>1404.3570749999999</v>
      </c>
      <c r="T2048" s="10">
        <f t="shared" si="188"/>
        <v>1404.3570749999999</v>
      </c>
      <c r="U2048" s="8" t="str">
        <f t="shared" si="189"/>
        <v>Mon</v>
      </c>
      <c r="V2048" s="8" t="str">
        <f t="shared" si="190"/>
        <v>Mon</v>
      </c>
    </row>
    <row r="2049" spans="1:22" hidden="1" x14ac:dyDescent="0.25">
      <c r="A2049" t="s">
        <v>87</v>
      </c>
      <c r="B2049" t="s">
        <v>35</v>
      </c>
      <c r="C2049" t="s">
        <v>6</v>
      </c>
      <c r="D2049" t="s">
        <v>13</v>
      </c>
      <c r="F2049" s="5">
        <v>44089</v>
      </c>
      <c r="G2049" s="5">
        <v>44111</v>
      </c>
      <c r="H2049" s="2">
        <v>2</v>
      </c>
      <c r="I2049" s="6"/>
      <c r="J2049" s="6"/>
      <c r="K2049" s="7">
        <v>0.5</v>
      </c>
      <c r="L2049" s="7">
        <v>42.66</v>
      </c>
      <c r="M2049" t="s">
        <v>17</v>
      </c>
      <c r="N2049" s="16">
        <f>POWER(SQRT(WorkOrders2710[[#This Row],[WorkDate]]-WorkOrders2710[[#This Row],[ReqDate]]),2)</f>
        <v>22</v>
      </c>
      <c r="O2049" s="8">
        <f t="array" ref="O2049">INDEX(TechRate,MATCH(H2049,TechNum,0))</f>
        <v>140</v>
      </c>
      <c r="P2049" s="10">
        <f>WorkOrders2710[[#This Row],[Techs]]*(WorkOrders2710[[#This Row],[PartsCost]]*WorkOrders2710[[#This Row],[LbrHrs]])</f>
        <v>42.66</v>
      </c>
      <c r="Q2049" s="10">
        <f t="shared" si="185"/>
        <v>42.66</v>
      </c>
      <c r="R2049" s="10">
        <f t="shared" si="186"/>
        <v>42.66</v>
      </c>
      <c r="S2049" s="10">
        <f t="shared" si="187"/>
        <v>85.32</v>
      </c>
      <c r="T2049" s="10">
        <f t="shared" si="188"/>
        <v>85.32</v>
      </c>
      <c r="U2049" s="8" t="str">
        <f t="shared" si="189"/>
        <v>Tue</v>
      </c>
      <c r="V2049" s="8" t="str">
        <f t="shared" si="190"/>
        <v>Wed</v>
      </c>
    </row>
    <row r="2050" spans="1:22" hidden="1" x14ac:dyDescent="0.25">
      <c r="A2050" t="s">
        <v>88</v>
      </c>
      <c r="B2050" t="s">
        <v>38</v>
      </c>
      <c r="C2050" t="s">
        <v>8</v>
      </c>
      <c r="D2050" t="s">
        <v>13</v>
      </c>
      <c r="F2050" s="5">
        <v>44090</v>
      </c>
      <c r="G2050" s="5">
        <v>44102</v>
      </c>
      <c r="H2050" s="2">
        <v>1</v>
      </c>
      <c r="I2050" s="6"/>
      <c r="J2050" s="6"/>
      <c r="K2050" s="7">
        <v>1</v>
      </c>
      <c r="L2050" s="7">
        <v>5.4720000000000004</v>
      </c>
      <c r="M2050" t="s">
        <v>18</v>
      </c>
      <c r="N2050" s="16">
        <f>POWER(SQRT(WorkOrders2710[[#This Row],[WorkDate]]-WorkOrders2710[[#This Row],[ReqDate]]),2)</f>
        <v>11.999999999999998</v>
      </c>
      <c r="O2050" s="8">
        <f t="array" ref="O2050">INDEX(TechRate,MATCH(H2050,TechNum,0))</f>
        <v>80</v>
      </c>
      <c r="P2050" s="10">
        <f>WorkOrders2710[[#This Row],[Techs]]*(WorkOrders2710[[#This Row],[PartsCost]]*WorkOrders2710[[#This Row],[LbrHrs]])</f>
        <v>5.4720000000000004</v>
      </c>
      <c r="Q2050" s="10">
        <f t="shared" si="185"/>
        <v>5.4720000000000004</v>
      </c>
      <c r="R2050" s="10">
        <f t="shared" si="186"/>
        <v>5.4720000000000004</v>
      </c>
      <c r="S2050" s="10">
        <f t="shared" si="187"/>
        <v>10.944000000000001</v>
      </c>
      <c r="T2050" s="10">
        <f t="shared" si="188"/>
        <v>10.944000000000001</v>
      </c>
      <c r="U2050" s="8" t="str">
        <f t="shared" si="189"/>
        <v>Wed</v>
      </c>
      <c r="V2050" s="8" t="str">
        <f t="shared" si="190"/>
        <v>Mon</v>
      </c>
    </row>
    <row r="2051" spans="1:22" hidden="1" x14ac:dyDescent="0.25">
      <c r="A2051" t="s">
        <v>89</v>
      </c>
      <c r="B2051" t="s">
        <v>35</v>
      </c>
      <c r="C2051" t="s">
        <v>8</v>
      </c>
      <c r="D2051" t="s">
        <v>12</v>
      </c>
      <c r="E2051" t="s">
        <v>3</v>
      </c>
      <c r="F2051" s="5">
        <v>44090</v>
      </c>
      <c r="G2051" s="5">
        <v>44102</v>
      </c>
      <c r="H2051" s="2">
        <v>1</v>
      </c>
      <c r="I2051" s="6"/>
      <c r="J2051" s="6"/>
      <c r="K2051" s="7">
        <v>0.25</v>
      </c>
      <c r="L2051" s="7">
        <v>45.237400000000001</v>
      </c>
      <c r="M2051" t="s">
        <v>17</v>
      </c>
      <c r="N2051" s="16">
        <f>POWER(SQRT(WorkOrders2710[[#This Row],[WorkDate]]-WorkOrders2710[[#This Row],[ReqDate]]),2)</f>
        <v>11.999999999999998</v>
      </c>
      <c r="O2051" s="8">
        <f t="array" ref="O2051">INDEX(TechRate,MATCH(H2051,TechNum,0))</f>
        <v>80</v>
      </c>
      <c r="P2051" s="10">
        <f>WorkOrders2710[[#This Row],[Techs]]*(WorkOrders2710[[#This Row],[PartsCost]]*WorkOrders2710[[#This Row],[LbrHrs]])</f>
        <v>11.30935</v>
      </c>
      <c r="Q2051" s="10">
        <f t="shared" si="185"/>
        <v>11.30935</v>
      </c>
      <c r="R2051" s="10">
        <f t="shared" si="186"/>
        <v>45.237400000000001</v>
      </c>
      <c r="S2051" s="10">
        <f t="shared" si="187"/>
        <v>56.546750000000003</v>
      </c>
      <c r="T2051" s="10">
        <f t="shared" si="188"/>
        <v>56.546750000000003</v>
      </c>
      <c r="U2051" s="8" t="str">
        <f t="shared" si="189"/>
        <v>Wed</v>
      </c>
      <c r="V2051" s="8" t="str">
        <f t="shared" si="190"/>
        <v>Mon</v>
      </c>
    </row>
    <row r="2052" spans="1:22" hidden="1" x14ac:dyDescent="0.25">
      <c r="A2052" t="s">
        <v>90</v>
      </c>
      <c r="B2052" t="s">
        <v>35</v>
      </c>
      <c r="C2052" t="s">
        <v>9</v>
      </c>
      <c r="D2052" t="s">
        <v>12</v>
      </c>
      <c r="F2052" s="5">
        <v>44090</v>
      </c>
      <c r="G2052" s="5">
        <v>44105</v>
      </c>
      <c r="H2052" s="2">
        <v>2</v>
      </c>
      <c r="I2052" s="6"/>
      <c r="J2052" s="6"/>
      <c r="K2052" s="7">
        <v>0.75</v>
      </c>
      <c r="L2052" s="7">
        <v>199.452</v>
      </c>
      <c r="M2052" t="s">
        <v>18</v>
      </c>
      <c r="N2052" s="16">
        <f>POWER(SQRT(WorkOrders2710[[#This Row],[WorkDate]]-WorkOrders2710[[#This Row],[ReqDate]]),2)</f>
        <v>15.000000000000002</v>
      </c>
      <c r="O2052" s="8">
        <f t="array" ref="O2052">INDEX(TechRate,MATCH(H2052,TechNum,0))</f>
        <v>140</v>
      </c>
      <c r="P2052" s="10">
        <f>WorkOrders2710[[#This Row],[Techs]]*(WorkOrders2710[[#This Row],[PartsCost]]*WorkOrders2710[[#This Row],[LbrHrs]])</f>
        <v>299.178</v>
      </c>
      <c r="Q2052" s="10">
        <f t="shared" si="185"/>
        <v>299.178</v>
      </c>
      <c r="R2052" s="10">
        <f t="shared" si="186"/>
        <v>199.452</v>
      </c>
      <c r="S2052" s="10">
        <f t="shared" si="187"/>
        <v>498.63</v>
      </c>
      <c r="T2052" s="10">
        <f t="shared" si="188"/>
        <v>498.63</v>
      </c>
      <c r="U2052" s="8" t="str">
        <f t="shared" si="189"/>
        <v>Wed</v>
      </c>
      <c r="V2052" s="8" t="str">
        <f t="shared" si="190"/>
        <v>Thu</v>
      </c>
    </row>
    <row r="2053" spans="1:22" hidden="1" x14ac:dyDescent="0.25">
      <c r="A2053" t="s">
        <v>91</v>
      </c>
      <c r="B2053" t="s">
        <v>39</v>
      </c>
      <c r="C2053" t="s">
        <v>9</v>
      </c>
      <c r="D2053" t="s">
        <v>12</v>
      </c>
      <c r="F2053" s="5">
        <v>44090</v>
      </c>
      <c r="G2053" s="5">
        <v>44109</v>
      </c>
      <c r="H2053" s="2">
        <v>2</v>
      </c>
      <c r="I2053" s="6"/>
      <c r="J2053" s="6"/>
      <c r="K2053" s="7">
        <v>0.5</v>
      </c>
      <c r="L2053" s="7">
        <v>144</v>
      </c>
      <c r="M2053" t="s">
        <v>18</v>
      </c>
      <c r="N2053" s="16">
        <f>POWER(SQRT(WorkOrders2710[[#This Row],[WorkDate]]-WorkOrders2710[[#This Row],[ReqDate]]),2)</f>
        <v>19.000000000000004</v>
      </c>
      <c r="O2053" s="8">
        <f t="array" ref="O2053">INDEX(TechRate,MATCH(H2053,TechNum,0))</f>
        <v>140</v>
      </c>
      <c r="P2053" s="10">
        <f>WorkOrders2710[[#This Row],[Techs]]*(WorkOrders2710[[#This Row],[PartsCost]]*WorkOrders2710[[#This Row],[LbrHrs]])</f>
        <v>144</v>
      </c>
      <c r="Q2053" s="10">
        <f t="shared" si="185"/>
        <v>144</v>
      </c>
      <c r="R2053" s="10">
        <f t="shared" si="186"/>
        <v>144</v>
      </c>
      <c r="S2053" s="10">
        <f t="shared" si="187"/>
        <v>288</v>
      </c>
      <c r="T2053" s="10">
        <f t="shared" si="188"/>
        <v>288</v>
      </c>
      <c r="U2053" s="8" t="str">
        <f t="shared" si="189"/>
        <v>Wed</v>
      </c>
      <c r="V2053" s="8" t="str">
        <f t="shared" si="190"/>
        <v>Mon</v>
      </c>
    </row>
    <row r="2054" spans="1:22" hidden="1" x14ac:dyDescent="0.25">
      <c r="A2054" t="s">
        <v>92</v>
      </c>
      <c r="B2054" t="s">
        <v>39</v>
      </c>
      <c r="C2054" t="s">
        <v>9</v>
      </c>
      <c r="D2054" t="s">
        <v>11</v>
      </c>
      <c r="F2054" s="5">
        <v>44091</v>
      </c>
      <c r="G2054" s="5">
        <v>44110</v>
      </c>
      <c r="H2054" s="2">
        <v>1</v>
      </c>
      <c r="I2054" s="6"/>
      <c r="J2054" s="6"/>
      <c r="K2054" s="7">
        <v>0.25</v>
      </c>
      <c r="L2054" s="7">
        <v>6.2160000000000002</v>
      </c>
      <c r="M2054" t="s">
        <v>18</v>
      </c>
      <c r="N2054" s="16">
        <f>POWER(SQRT(WorkOrders2710[[#This Row],[WorkDate]]-WorkOrders2710[[#This Row],[ReqDate]]),2)</f>
        <v>19.000000000000004</v>
      </c>
      <c r="O2054" s="8">
        <f t="array" ref="O2054">INDEX(TechRate,MATCH(H2054,TechNum,0))</f>
        <v>80</v>
      </c>
      <c r="P2054" s="10">
        <f>WorkOrders2710[[#This Row],[Techs]]*(WorkOrders2710[[#This Row],[PartsCost]]*WorkOrders2710[[#This Row],[LbrHrs]])</f>
        <v>1.554</v>
      </c>
      <c r="Q2054" s="10">
        <f t="shared" si="185"/>
        <v>1.554</v>
      </c>
      <c r="R2054" s="10">
        <f t="shared" si="186"/>
        <v>6.2160000000000002</v>
      </c>
      <c r="S2054" s="10">
        <f t="shared" si="187"/>
        <v>7.7700000000000005</v>
      </c>
      <c r="T2054" s="10">
        <f t="shared" si="188"/>
        <v>7.7700000000000005</v>
      </c>
      <c r="U2054" s="8" t="str">
        <f t="shared" si="189"/>
        <v>Thu</v>
      </c>
      <c r="V2054" s="8" t="str">
        <f t="shared" si="190"/>
        <v>Tue</v>
      </c>
    </row>
    <row r="2055" spans="1:22" hidden="1" x14ac:dyDescent="0.25">
      <c r="A2055" t="s">
        <v>93</v>
      </c>
      <c r="B2055" t="s">
        <v>35</v>
      </c>
      <c r="C2055" t="s">
        <v>6</v>
      </c>
      <c r="D2055" t="s">
        <v>13</v>
      </c>
      <c r="F2055" s="5">
        <v>44091</v>
      </c>
      <c r="G2055" s="5">
        <v>44116</v>
      </c>
      <c r="H2055" s="2">
        <v>2</v>
      </c>
      <c r="I2055" s="6"/>
      <c r="J2055" s="6"/>
      <c r="K2055" s="7">
        <v>1</v>
      </c>
      <c r="L2055" s="7">
        <v>36</v>
      </c>
      <c r="M2055" t="s">
        <v>17</v>
      </c>
      <c r="N2055" s="16">
        <f>POWER(SQRT(WorkOrders2710[[#This Row],[WorkDate]]-WorkOrders2710[[#This Row],[ReqDate]]),2)</f>
        <v>25</v>
      </c>
      <c r="O2055" s="8">
        <f t="array" ref="O2055">INDEX(TechRate,MATCH(H2055,TechNum,0))</f>
        <v>140</v>
      </c>
      <c r="P2055" s="10">
        <f>WorkOrders2710[[#This Row],[Techs]]*(WorkOrders2710[[#This Row],[PartsCost]]*WorkOrders2710[[#This Row],[LbrHrs]])</f>
        <v>72</v>
      </c>
      <c r="Q2055" s="10">
        <f t="shared" si="185"/>
        <v>72</v>
      </c>
      <c r="R2055" s="10">
        <f t="shared" si="186"/>
        <v>36</v>
      </c>
      <c r="S2055" s="10">
        <f t="shared" si="187"/>
        <v>108</v>
      </c>
      <c r="T2055" s="10">
        <f t="shared" si="188"/>
        <v>108</v>
      </c>
      <c r="U2055" s="8" t="str">
        <f t="shared" si="189"/>
        <v>Thu</v>
      </c>
      <c r="V2055" s="8" t="str">
        <f t="shared" si="190"/>
        <v>Mon</v>
      </c>
    </row>
    <row r="2056" spans="1:22" hidden="1" x14ac:dyDescent="0.25">
      <c r="A2056" t="s">
        <v>94</v>
      </c>
      <c r="B2056" t="s">
        <v>34</v>
      </c>
      <c r="C2056" t="s">
        <v>44</v>
      </c>
      <c r="D2056" t="s">
        <v>12</v>
      </c>
      <c r="F2056" s="5">
        <v>44091</v>
      </c>
      <c r="G2056" s="5">
        <v>44116</v>
      </c>
      <c r="H2056" s="2">
        <v>2</v>
      </c>
      <c r="I2056" s="6"/>
      <c r="J2056" s="6"/>
      <c r="K2056" s="7">
        <v>0.75</v>
      </c>
      <c r="L2056" s="7">
        <v>40</v>
      </c>
      <c r="M2056" t="s">
        <v>18</v>
      </c>
      <c r="N2056" s="16">
        <f>POWER(SQRT(WorkOrders2710[[#This Row],[WorkDate]]-WorkOrders2710[[#This Row],[ReqDate]]),2)</f>
        <v>25</v>
      </c>
      <c r="O2056" s="8">
        <f t="array" ref="O2056">INDEX(TechRate,MATCH(H2056,TechNum,0))</f>
        <v>140</v>
      </c>
      <c r="P2056" s="10">
        <f>WorkOrders2710[[#This Row],[Techs]]*(WorkOrders2710[[#This Row],[PartsCost]]*WorkOrders2710[[#This Row],[LbrHrs]])</f>
        <v>60</v>
      </c>
      <c r="Q2056" s="10">
        <f t="shared" si="185"/>
        <v>60</v>
      </c>
      <c r="R2056" s="10">
        <f t="shared" si="186"/>
        <v>40</v>
      </c>
      <c r="S2056" s="10">
        <f t="shared" si="187"/>
        <v>100</v>
      </c>
      <c r="T2056" s="10">
        <f t="shared" si="188"/>
        <v>100</v>
      </c>
      <c r="U2056" s="8" t="str">
        <f t="shared" si="189"/>
        <v>Thu</v>
      </c>
      <c r="V2056" s="8" t="str">
        <f t="shared" si="190"/>
        <v>Mon</v>
      </c>
    </row>
    <row r="2057" spans="1:22" hidden="1" x14ac:dyDescent="0.25">
      <c r="A2057" t="s">
        <v>95</v>
      </c>
      <c r="B2057" t="s">
        <v>37</v>
      </c>
      <c r="C2057" t="s">
        <v>43</v>
      </c>
      <c r="D2057" t="s">
        <v>12</v>
      </c>
      <c r="F2057" s="5">
        <v>44091</v>
      </c>
      <c r="G2057" s="5">
        <v>44152</v>
      </c>
      <c r="H2057" s="2">
        <v>1</v>
      </c>
      <c r="I2057" s="6"/>
      <c r="J2057" s="6"/>
      <c r="K2057" s="7">
        <v>0.25</v>
      </c>
      <c r="L2057" s="7">
        <v>87.581299999999999</v>
      </c>
      <c r="M2057" t="s">
        <v>17</v>
      </c>
      <c r="N2057" s="16">
        <f>POWER(SQRT(WorkOrders2710[[#This Row],[WorkDate]]-WorkOrders2710[[#This Row],[ReqDate]]),2)</f>
        <v>60.999999999999993</v>
      </c>
      <c r="O2057" s="8">
        <f t="array" ref="O2057">INDEX(TechRate,MATCH(H2057,TechNum,0))</f>
        <v>80</v>
      </c>
      <c r="P2057" s="10">
        <f>WorkOrders2710[[#This Row],[Techs]]*(WorkOrders2710[[#This Row],[PartsCost]]*WorkOrders2710[[#This Row],[LbrHrs]])</f>
        <v>21.895325</v>
      </c>
      <c r="Q2057" s="10">
        <f t="shared" si="185"/>
        <v>21.895325</v>
      </c>
      <c r="R2057" s="10">
        <f t="shared" si="186"/>
        <v>87.581299999999999</v>
      </c>
      <c r="S2057" s="10">
        <f t="shared" si="187"/>
        <v>109.476625</v>
      </c>
      <c r="T2057" s="10">
        <f t="shared" si="188"/>
        <v>109.476625</v>
      </c>
      <c r="U2057" s="8" t="str">
        <f t="shared" si="189"/>
        <v>Thu</v>
      </c>
      <c r="V2057" s="8" t="str">
        <f t="shared" si="190"/>
        <v>Tue</v>
      </c>
    </row>
    <row r="2058" spans="1:22" hidden="1" x14ac:dyDescent="0.25">
      <c r="A2058" t="s">
        <v>96</v>
      </c>
      <c r="B2058" t="s">
        <v>38</v>
      </c>
      <c r="C2058" t="s">
        <v>8</v>
      </c>
      <c r="D2058" t="s">
        <v>13</v>
      </c>
      <c r="F2058" s="5">
        <v>44095</v>
      </c>
      <c r="G2058" s="5">
        <v>44102</v>
      </c>
      <c r="H2058" s="2">
        <v>1</v>
      </c>
      <c r="I2058" s="6"/>
      <c r="J2058" s="6"/>
      <c r="K2058" s="7">
        <v>0.5</v>
      </c>
      <c r="L2058" s="7">
        <v>30</v>
      </c>
      <c r="M2058" t="s">
        <v>18</v>
      </c>
      <c r="N2058" s="16">
        <f>POWER(SQRT(WorkOrders2710[[#This Row],[WorkDate]]-WorkOrders2710[[#This Row],[ReqDate]]),2)</f>
        <v>7.0000000000000009</v>
      </c>
      <c r="O2058" s="8">
        <f t="array" ref="O2058">INDEX(TechRate,MATCH(H2058,TechNum,0))</f>
        <v>80</v>
      </c>
      <c r="P2058" s="10">
        <f>WorkOrders2710[[#This Row],[Techs]]*(WorkOrders2710[[#This Row],[PartsCost]]*WorkOrders2710[[#This Row],[LbrHrs]])</f>
        <v>15</v>
      </c>
      <c r="Q2058" s="10">
        <f t="shared" si="185"/>
        <v>15</v>
      </c>
      <c r="R2058" s="10">
        <f t="shared" si="186"/>
        <v>30</v>
      </c>
      <c r="S2058" s="10">
        <f t="shared" si="187"/>
        <v>45</v>
      </c>
      <c r="T2058" s="10">
        <f t="shared" si="188"/>
        <v>45</v>
      </c>
      <c r="U2058" s="8" t="str">
        <f t="shared" si="189"/>
        <v>Mon</v>
      </c>
      <c r="V2058" s="8" t="str">
        <f t="shared" si="190"/>
        <v>Mon</v>
      </c>
    </row>
    <row r="2059" spans="1:22" hidden="1" x14ac:dyDescent="0.25">
      <c r="A2059" t="s">
        <v>97</v>
      </c>
      <c r="B2059" t="s">
        <v>39</v>
      </c>
      <c r="C2059" t="s">
        <v>6</v>
      </c>
      <c r="D2059" t="s">
        <v>11</v>
      </c>
      <c r="F2059" s="5">
        <v>44095</v>
      </c>
      <c r="G2059" s="5">
        <v>44123</v>
      </c>
      <c r="H2059" s="2">
        <v>1</v>
      </c>
      <c r="I2059" s="6"/>
      <c r="J2059" s="6"/>
      <c r="K2059" s="7">
        <v>0.25</v>
      </c>
      <c r="L2059" s="7">
        <v>144</v>
      </c>
      <c r="M2059" t="s">
        <v>19</v>
      </c>
      <c r="N2059" s="16">
        <f>POWER(SQRT(WorkOrders2710[[#This Row],[WorkDate]]-WorkOrders2710[[#This Row],[ReqDate]]),2)</f>
        <v>28.000000000000004</v>
      </c>
      <c r="O2059" s="8">
        <f t="array" ref="O2059">INDEX(TechRate,MATCH(H2059,TechNum,0))</f>
        <v>80</v>
      </c>
      <c r="P2059" s="10">
        <f>WorkOrders2710[[#This Row],[Techs]]*(WorkOrders2710[[#This Row],[PartsCost]]*WorkOrders2710[[#This Row],[LbrHrs]])</f>
        <v>36</v>
      </c>
      <c r="Q2059" s="10">
        <f t="shared" si="185"/>
        <v>36</v>
      </c>
      <c r="R2059" s="10">
        <f t="shared" si="186"/>
        <v>144</v>
      </c>
      <c r="S2059" s="10">
        <f t="shared" si="187"/>
        <v>180</v>
      </c>
      <c r="T2059" s="10">
        <f t="shared" si="188"/>
        <v>180</v>
      </c>
      <c r="U2059" s="8" t="str">
        <f t="shared" si="189"/>
        <v>Mon</v>
      </c>
      <c r="V2059" s="8" t="str">
        <f t="shared" si="190"/>
        <v>Mon</v>
      </c>
    </row>
    <row r="2060" spans="1:22" hidden="1" x14ac:dyDescent="0.25">
      <c r="A2060" t="s">
        <v>98</v>
      </c>
      <c r="B2060" t="s">
        <v>38</v>
      </c>
      <c r="C2060" t="s">
        <v>8</v>
      </c>
      <c r="D2060" t="s">
        <v>13</v>
      </c>
      <c r="E2060" t="s">
        <v>3</v>
      </c>
      <c r="F2060" s="5">
        <v>44095</v>
      </c>
      <c r="G2060" s="5">
        <v>44139</v>
      </c>
      <c r="H2060" s="2">
        <v>1</v>
      </c>
      <c r="I2060" s="6"/>
      <c r="J2060" s="6"/>
      <c r="K2060" s="7">
        <v>0.75</v>
      </c>
      <c r="L2060" s="7">
        <v>297.51229999999998</v>
      </c>
      <c r="M2060" t="s">
        <v>17</v>
      </c>
      <c r="N2060" s="16">
        <f>POWER(SQRT(WorkOrders2710[[#This Row],[WorkDate]]-WorkOrders2710[[#This Row],[ReqDate]]),2)</f>
        <v>44</v>
      </c>
      <c r="O2060" s="8">
        <f t="array" ref="O2060">INDEX(TechRate,MATCH(H2060,TechNum,0))</f>
        <v>80</v>
      </c>
      <c r="P2060" s="10">
        <f>WorkOrders2710[[#This Row],[Techs]]*(WorkOrders2710[[#This Row],[PartsCost]]*WorkOrders2710[[#This Row],[LbrHrs]])</f>
        <v>223.13422499999999</v>
      </c>
      <c r="Q2060" s="10">
        <f t="shared" si="185"/>
        <v>223.13422499999999</v>
      </c>
      <c r="R2060" s="10">
        <f t="shared" si="186"/>
        <v>297.51229999999998</v>
      </c>
      <c r="S2060" s="10">
        <f t="shared" si="187"/>
        <v>520.646525</v>
      </c>
      <c r="T2060" s="10">
        <f t="shared" si="188"/>
        <v>520.646525</v>
      </c>
      <c r="U2060" s="8" t="str">
        <f t="shared" si="189"/>
        <v>Mon</v>
      </c>
      <c r="V2060" s="8" t="str">
        <f t="shared" si="190"/>
        <v>Wed</v>
      </c>
    </row>
    <row r="2061" spans="1:22" hidden="1" x14ac:dyDescent="0.25">
      <c r="A2061" t="s">
        <v>99</v>
      </c>
      <c r="B2061" t="s">
        <v>38</v>
      </c>
      <c r="C2061" t="s">
        <v>6</v>
      </c>
      <c r="D2061" t="s">
        <v>12</v>
      </c>
      <c r="F2061" s="5">
        <v>44095</v>
      </c>
      <c r="G2061" s="5">
        <v>44160</v>
      </c>
      <c r="H2061" s="2">
        <v>1</v>
      </c>
      <c r="I2061" s="6"/>
      <c r="J2061" s="6"/>
      <c r="K2061" s="7">
        <v>0.5</v>
      </c>
      <c r="L2061" s="7">
        <v>64.171000000000006</v>
      </c>
      <c r="M2061" t="s">
        <v>19</v>
      </c>
      <c r="N2061" s="16">
        <f>POWER(SQRT(WorkOrders2710[[#This Row],[WorkDate]]-WorkOrders2710[[#This Row],[ReqDate]]),2)</f>
        <v>64.999999999999986</v>
      </c>
      <c r="O2061" s="8">
        <f t="array" ref="O2061">INDEX(TechRate,MATCH(H2061,TechNum,0))</f>
        <v>80</v>
      </c>
      <c r="P2061" s="10">
        <f>WorkOrders2710[[#This Row],[Techs]]*(WorkOrders2710[[#This Row],[PartsCost]]*WorkOrders2710[[#This Row],[LbrHrs]])</f>
        <v>32.085500000000003</v>
      </c>
      <c r="Q2061" s="10">
        <f t="shared" si="185"/>
        <v>32.085500000000003</v>
      </c>
      <c r="R2061" s="10">
        <f t="shared" si="186"/>
        <v>64.171000000000006</v>
      </c>
      <c r="S2061" s="10">
        <f t="shared" si="187"/>
        <v>96.256500000000017</v>
      </c>
      <c r="T2061" s="10">
        <f t="shared" si="188"/>
        <v>96.256500000000017</v>
      </c>
      <c r="U2061" s="8" t="str">
        <f t="shared" si="189"/>
        <v>Mon</v>
      </c>
      <c r="V2061" s="8" t="str">
        <f t="shared" si="190"/>
        <v>Wed</v>
      </c>
    </row>
    <row r="2062" spans="1:22" hidden="1" x14ac:dyDescent="0.25">
      <c r="A2062" t="s">
        <v>100</v>
      </c>
      <c r="B2062" t="s">
        <v>37</v>
      </c>
      <c r="C2062" t="s">
        <v>43</v>
      </c>
      <c r="D2062" t="s">
        <v>11</v>
      </c>
      <c r="F2062" s="5">
        <v>44096</v>
      </c>
      <c r="G2062" s="5">
        <v>44105</v>
      </c>
      <c r="H2062" s="2">
        <v>1</v>
      </c>
      <c r="I2062" s="6"/>
      <c r="J2062" s="6"/>
      <c r="K2062" s="7">
        <v>0.25</v>
      </c>
      <c r="L2062" s="7">
        <v>20.475000000000001</v>
      </c>
      <c r="M2062" t="s">
        <v>17</v>
      </c>
      <c r="N2062" s="16">
        <f>POWER(SQRT(WorkOrders2710[[#This Row],[WorkDate]]-WorkOrders2710[[#This Row],[ReqDate]]),2)</f>
        <v>9</v>
      </c>
      <c r="O2062" s="8">
        <f t="array" ref="O2062">INDEX(TechRate,MATCH(H2062,TechNum,0))</f>
        <v>80</v>
      </c>
      <c r="P2062" s="10">
        <f>WorkOrders2710[[#This Row],[Techs]]*(WorkOrders2710[[#This Row],[PartsCost]]*WorkOrders2710[[#This Row],[LbrHrs]])</f>
        <v>5.1187500000000004</v>
      </c>
      <c r="Q2062" s="10">
        <f t="shared" si="185"/>
        <v>5.1187500000000004</v>
      </c>
      <c r="R2062" s="10">
        <f t="shared" si="186"/>
        <v>20.475000000000001</v>
      </c>
      <c r="S2062" s="10">
        <f t="shared" si="187"/>
        <v>25.59375</v>
      </c>
      <c r="T2062" s="10">
        <f t="shared" si="188"/>
        <v>25.59375</v>
      </c>
      <c r="U2062" s="8" t="str">
        <f t="shared" si="189"/>
        <v>Tue</v>
      </c>
      <c r="V2062" s="8" t="str">
        <f t="shared" si="190"/>
        <v>Thu</v>
      </c>
    </row>
    <row r="2063" spans="1:22" hidden="1" x14ac:dyDescent="0.25">
      <c r="A2063" t="s">
        <v>101</v>
      </c>
      <c r="B2063" t="s">
        <v>38</v>
      </c>
      <c r="C2063" t="s">
        <v>8</v>
      </c>
      <c r="D2063" t="s">
        <v>2</v>
      </c>
      <c r="F2063" s="5">
        <v>44097</v>
      </c>
      <c r="G2063" s="5">
        <v>44111</v>
      </c>
      <c r="H2063" s="2">
        <v>1</v>
      </c>
      <c r="I2063" s="6"/>
      <c r="J2063" s="6"/>
      <c r="K2063" s="7">
        <v>1</v>
      </c>
      <c r="L2063" s="7">
        <v>200</v>
      </c>
      <c r="M2063" t="s">
        <v>18</v>
      </c>
      <c r="N2063" s="16">
        <f>POWER(SQRT(WorkOrders2710[[#This Row],[WorkDate]]-WorkOrders2710[[#This Row],[ReqDate]]),2)</f>
        <v>14</v>
      </c>
      <c r="O2063" s="8">
        <f t="array" ref="O2063">INDEX(TechRate,MATCH(H2063,TechNum,0))</f>
        <v>80</v>
      </c>
      <c r="P2063" s="10">
        <f>WorkOrders2710[[#This Row],[Techs]]*(WorkOrders2710[[#This Row],[PartsCost]]*WorkOrders2710[[#This Row],[LbrHrs]])</f>
        <v>200</v>
      </c>
      <c r="Q2063" s="10">
        <f t="shared" si="185"/>
        <v>200</v>
      </c>
      <c r="R2063" s="10">
        <f t="shared" si="186"/>
        <v>200</v>
      </c>
      <c r="S2063" s="10">
        <f t="shared" si="187"/>
        <v>400</v>
      </c>
      <c r="T2063" s="10">
        <f t="shared" si="188"/>
        <v>400</v>
      </c>
      <c r="U2063" s="8" t="str">
        <f t="shared" si="189"/>
        <v>Wed</v>
      </c>
      <c r="V2063" s="8" t="str">
        <f t="shared" si="190"/>
        <v>Wed</v>
      </c>
    </row>
    <row r="2064" spans="1:22" hidden="1" x14ac:dyDescent="0.25">
      <c r="A2064" t="s">
        <v>102</v>
      </c>
      <c r="B2064" t="s">
        <v>39</v>
      </c>
      <c r="C2064" t="s">
        <v>9</v>
      </c>
      <c r="D2064" t="s">
        <v>2</v>
      </c>
      <c r="F2064" s="5">
        <v>44097</v>
      </c>
      <c r="G2064" s="5">
        <v>44119</v>
      </c>
      <c r="H2064" s="2">
        <v>1</v>
      </c>
      <c r="I2064" s="6"/>
      <c r="J2064" s="6"/>
      <c r="K2064" s="7">
        <v>1.5</v>
      </c>
      <c r="L2064" s="7">
        <v>123.9555</v>
      </c>
      <c r="M2064" t="s">
        <v>18</v>
      </c>
      <c r="N2064" s="16">
        <f>POWER(SQRT(WorkOrders2710[[#This Row],[WorkDate]]-WorkOrders2710[[#This Row],[ReqDate]]),2)</f>
        <v>22</v>
      </c>
      <c r="O2064" s="8">
        <f t="array" ref="O2064">INDEX(TechRate,MATCH(H2064,TechNum,0))</f>
        <v>80</v>
      </c>
      <c r="P2064" s="10">
        <f>WorkOrders2710[[#This Row],[Techs]]*(WorkOrders2710[[#This Row],[PartsCost]]*WorkOrders2710[[#This Row],[LbrHrs]])</f>
        <v>185.93324999999999</v>
      </c>
      <c r="Q2064" s="10">
        <f t="shared" si="185"/>
        <v>185.93324999999999</v>
      </c>
      <c r="R2064" s="10">
        <f t="shared" si="186"/>
        <v>123.9555</v>
      </c>
      <c r="S2064" s="10">
        <f t="shared" si="187"/>
        <v>309.88874999999996</v>
      </c>
      <c r="T2064" s="10">
        <f t="shared" si="188"/>
        <v>309.88874999999996</v>
      </c>
      <c r="U2064" s="8" t="str">
        <f t="shared" si="189"/>
        <v>Wed</v>
      </c>
      <c r="V2064" s="8" t="str">
        <f t="shared" si="190"/>
        <v>Thu</v>
      </c>
    </row>
    <row r="2065" spans="1:22" hidden="1" x14ac:dyDescent="0.25">
      <c r="A2065" t="s">
        <v>103</v>
      </c>
      <c r="B2065" t="s">
        <v>34</v>
      </c>
      <c r="C2065" t="s">
        <v>44</v>
      </c>
      <c r="D2065" t="s">
        <v>13</v>
      </c>
      <c r="F2065" s="5">
        <v>44097</v>
      </c>
      <c r="G2065" s="5">
        <v>44128</v>
      </c>
      <c r="H2065" s="2">
        <v>1</v>
      </c>
      <c r="I2065" s="6"/>
      <c r="J2065" s="6"/>
      <c r="K2065" s="7">
        <v>0.5</v>
      </c>
      <c r="L2065" s="7">
        <v>193.88310000000001</v>
      </c>
      <c r="M2065" t="s">
        <v>17</v>
      </c>
      <c r="N2065" s="16">
        <f>POWER(SQRT(WorkOrders2710[[#This Row],[WorkDate]]-WorkOrders2710[[#This Row],[ReqDate]]),2)</f>
        <v>30.999999999999996</v>
      </c>
      <c r="O2065" s="8">
        <f t="array" ref="O2065">INDEX(TechRate,MATCH(H2065,TechNum,0))</f>
        <v>80</v>
      </c>
      <c r="P2065" s="10">
        <f>WorkOrders2710[[#This Row],[Techs]]*(WorkOrders2710[[#This Row],[PartsCost]]*WorkOrders2710[[#This Row],[LbrHrs]])</f>
        <v>96.941550000000007</v>
      </c>
      <c r="Q2065" s="10">
        <f t="shared" si="185"/>
        <v>96.941550000000007</v>
      </c>
      <c r="R2065" s="10">
        <f t="shared" si="186"/>
        <v>193.88310000000001</v>
      </c>
      <c r="S2065" s="10">
        <f t="shared" si="187"/>
        <v>290.82465000000002</v>
      </c>
      <c r="T2065" s="10">
        <f t="shared" si="188"/>
        <v>290.82465000000002</v>
      </c>
      <c r="U2065" s="8" t="str">
        <f t="shared" si="189"/>
        <v>Wed</v>
      </c>
      <c r="V2065" s="8" t="str">
        <f t="shared" si="190"/>
        <v>Sat</v>
      </c>
    </row>
    <row r="2066" spans="1:22" hidden="1" x14ac:dyDescent="0.25">
      <c r="A2066" t="s">
        <v>104</v>
      </c>
      <c r="B2066" t="s">
        <v>39</v>
      </c>
      <c r="C2066" t="s">
        <v>8</v>
      </c>
      <c r="D2066" t="s">
        <v>12</v>
      </c>
      <c r="F2066" s="5">
        <v>44097</v>
      </c>
      <c r="G2066" s="5">
        <v>44132</v>
      </c>
      <c r="H2066" s="2">
        <v>2</v>
      </c>
      <c r="I2066" s="6"/>
      <c r="J2066" s="6"/>
      <c r="K2066" s="7">
        <v>0.5</v>
      </c>
      <c r="L2066" s="7">
        <v>1.173</v>
      </c>
      <c r="M2066" t="s">
        <v>18</v>
      </c>
      <c r="N2066" s="16">
        <f>POWER(SQRT(WorkOrders2710[[#This Row],[WorkDate]]-WorkOrders2710[[#This Row],[ReqDate]]),2)</f>
        <v>35</v>
      </c>
      <c r="O2066" s="8">
        <f t="array" ref="O2066">INDEX(TechRate,MATCH(H2066,TechNum,0))</f>
        <v>140</v>
      </c>
      <c r="P2066" s="10">
        <f>WorkOrders2710[[#This Row],[Techs]]*(WorkOrders2710[[#This Row],[PartsCost]]*WorkOrders2710[[#This Row],[LbrHrs]])</f>
        <v>1.173</v>
      </c>
      <c r="Q2066" s="10">
        <f t="shared" si="185"/>
        <v>1.173</v>
      </c>
      <c r="R2066" s="10">
        <f t="shared" si="186"/>
        <v>1.173</v>
      </c>
      <c r="S2066" s="10">
        <f t="shared" si="187"/>
        <v>2.3460000000000001</v>
      </c>
      <c r="T2066" s="10">
        <f t="shared" si="188"/>
        <v>2.3460000000000001</v>
      </c>
      <c r="U2066" s="8" t="str">
        <f t="shared" si="189"/>
        <v>Wed</v>
      </c>
      <c r="V2066" s="8" t="str">
        <f t="shared" si="190"/>
        <v>Wed</v>
      </c>
    </row>
    <row r="2067" spans="1:22" hidden="1" x14ac:dyDescent="0.25">
      <c r="A2067" t="s">
        <v>105</v>
      </c>
      <c r="B2067" t="s">
        <v>34</v>
      </c>
      <c r="C2067" t="s">
        <v>6</v>
      </c>
      <c r="D2067" t="s">
        <v>12</v>
      </c>
      <c r="F2067" s="5">
        <v>44098</v>
      </c>
      <c r="G2067" s="5">
        <v>44109</v>
      </c>
      <c r="H2067" s="2">
        <v>2</v>
      </c>
      <c r="I2067" s="6"/>
      <c r="J2067" s="6"/>
      <c r="K2067" s="7">
        <v>0.75</v>
      </c>
      <c r="L2067" s="7">
        <v>664.78880000000004</v>
      </c>
      <c r="M2067" t="s">
        <v>17</v>
      </c>
      <c r="N2067" s="16">
        <f>POWER(SQRT(WorkOrders2710[[#This Row],[WorkDate]]-WorkOrders2710[[#This Row],[ReqDate]]),2)</f>
        <v>11</v>
      </c>
      <c r="O2067" s="8">
        <f t="array" ref="O2067">INDEX(TechRate,MATCH(H2067,TechNum,0))</f>
        <v>140</v>
      </c>
      <c r="P2067" s="10">
        <f>WorkOrders2710[[#This Row],[Techs]]*(WorkOrders2710[[#This Row],[PartsCost]]*WorkOrders2710[[#This Row],[LbrHrs]])</f>
        <v>997.18320000000006</v>
      </c>
      <c r="Q2067" s="10">
        <f t="shared" si="185"/>
        <v>997.18320000000006</v>
      </c>
      <c r="R2067" s="10">
        <f t="shared" si="186"/>
        <v>664.78880000000004</v>
      </c>
      <c r="S2067" s="10">
        <f t="shared" si="187"/>
        <v>1661.9720000000002</v>
      </c>
      <c r="T2067" s="10">
        <f t="shared" si="188"/>
        <v>1661.9720000000002</v>
      </c>
      <c r="U2067" s="8" t="str">
        <f t="shared" si="189"/>
        <v>Thu</v>
      </c>
      <c r="V2067" s="8" t="str">
        <f t="shared" si="190"/>
        <v>Mon</v>
      </c>
    </row>
    <row r="2068" spans="1:22" hidden="1" x14ac:dyDescent="0.25">
      <c r="A2068" t="s">
        <v>106</v>
      </c>
      <c r="B2068" t="s">
        <v>35</v>
      </c>
      <c r="C2068" t="s">
        <v>8</v>
      </c>
      <c r="D2068" t="s">
        <v>11</v>
      </c>
      <c r="F2068" s="5">
        <v>44098</v>
      </c>
      <c r="G2068" s="5">
        <v>44119</v>
      </c>
      <c r="H2068" s="2">
        <v>1</v>
      </c>
      <c r="I2068" s="6"/>
      <c r="J2068" s="6"/>
      <c r="K2068" s="7">
        <v>0.25</v>
      </c>
      <c r="L2068" s="7">
        <v>160</v>
      </c>
      <c r="M2068" t="s">
        <v>17</v>
      </c>
      <c r="N2068" s="16">
        <f>POWER(SQRT(WorkOrders2710[[#This Row],[WorkDate]]-WorkOrders2710[[#This Row],[ReqDate]]),2)</f>
        <v>21</v>
      </c>
      <c r="O2068" s="8">
        <f t="array" ref="O2068">INDEX(TechRate,MATCH(H2068,TechNum,0))</f>
        <v>80</v>
      </c>
      <c r="P2068" s="10">
        <f>WorkOrders2710[[#This Row],[Techs]]*(WorkOrders2710[[#This Row],[PartsCost]]*WorkOrders2710[[#This Row],[LbrHrs]])</f>
        <v>40</v>
      </c>
      <c r="Q2068" s="10">
        <f t="shared" si="185"/>
        <v>40</v>
      </c>
      <c r="R2068" s="10">
        <f t="shared" si="186"/>
        <v>160</v>
      </c>
      <c r="S2068" s="10">
        <f t="shared" si="187"/>
        <v>200</v>
      </c>
      <c r="T2068" s="10">
        <f t="shared" si="188"/>
        <v>200</v>
      </c>
      <c r="U2068" s="8" t="str">
        <f t="shared" si="189"/>
        <v>Thu</v>
      </c>
      <c r="V2068" s="8" t="str">
        <f t="shared" si="190"/>
        <v>Thu</v>
      </c>
    </row>
    <row r="2069" spans="1:22" hidden="1" x14ac:dyDescent="0.25">
      <c r="A2069" t="s">
        <v>107</v>
      </c>
      <c r="B2069" t="s">
        <v>35</v>
      </c>
      <c r="C2069" t="s">
        <v>9</v>
      </c>
      <c r="D2069" t="s">
        <v>13</v>
      </c>
      <c r="F2069" s="5">
        <v>44098</v>
      </c>
      <c r="G2069" s="5">
        <v>44140</v>
      </c>
      <c r="H2069" s="2">
        <v>2</v>
      </c>
      <c r="I2069" s="6"/>
      <c r="J2069" s="6"/>
      <c r="K2069" s="7">
        <v>0.75</v>
      </c>
      <c r="L2069" s="7">
        <v>159.50489999999999</v>
      </c>
      <c r="M2069" t="s">
        <v>17</v>
      </c>
      <c r="N2069" s="16">
        <f>POWER(SQRT(WorkOrders2710[[#This Row],[WorkDate]]-WorkOrders2710[[#This Row],[ReqDate]]),2)</f>
        <v>42</v>
      </c>
      <c r="O2069" s="8">
        <f t="array" ref="O2069">INDEX(TechRate,MATCH(H2069,TechNum,0))</f>
        <v>140</v>
      </c>
      <c r="P2069" s="10">
        <f>WorkOrders2710[[#This Row],[Techs]]*(WorkOrders2710[[#This Row],[PartsCost]]*WorkOrders2710[[#This Row],[LbrHrs]])</f>
        <v>239.25734999999997</v>
      </c>
      <c r="Q2069" s="10">
        <f t="shared" si="185"/>
        <v>239.25734999999997</v>
      </c>
      <c r="R2069" s="10">
        <f t="shared" si="186"/>
        <v>159.50489999999999</v>
      </c>
      <c r="S2069" s="10">
        <f t="shared" si="187"/>
        <v>398.76224999999999</v>
      </c>
      <c r="T2069" s="10">
        <f t="shared" si="188"/>
        <v>398.76224999999999</v>
      </c>
      <c r="U2069" s="8" t="str">
        <f t="shared" si="189"/>
        <v>Thu</v>
      </c>
      <c r="V2069" s="8" t="str">
        <f t="shared" si="190"/>
        <v>Thu</v>
      </c>
    </row>
    <row r="2070" spans="1:22" hidden="1" x14ac:dyDescent="0.25">
      <c r="A2070" t="s">
        <v>108</v>
      </c>
      <c r="B2070" t="s">
        <v>36</v>
      </c>
      <c r="C2070" t="s">
        <v>44</v>
      </c>
      <c r="D2070" t="s">
        <v>12</v>
      </c>
      <c r="F2070" s="5">
        <v>44098</v>
      </c>
      <c r="G2070" s="5">
        <v>44152</v>
      </c>
      <c r="H2070" s="2">
        <v>2</v>
      </c>
      <c r="I2070" s="6"/>
      <c r="J2070" s="6"/>
      <c r="K2070" s="7">
        <v>0.75</v>
      </c>
      <c r="L2070" s="7">
        <v>169.63499999999999</v>
      </c>
      <c r="M2070" t="s">
        <v>19</v>
      </c>
      <c r="N2070" s="16">
        <f>POWER(SQRT(WorkOrders2710[[#This Row],[WorkDate]]-WorkOrders2710[[#This Row],[ReqDate]]),2)</f>
        <v>54</v>
      </c>
      <c r="O2070" s="8">
        <f t="array" ref="O2070">INDEX(TechRate,MATCH(H2070,TechNum,0))</f>
        <v>140</v>
      </c>
      <c r="P2070" s="10">
        <f>WorkOrders2710[[#This Row],[Techs]]*(WorkOrders2710[[#This Row],[PartsCost]]*WorkOrders2710[[#This Row],[LbrHrs]])</f>
        <v>254.45249999999999</v>
      </c>
      <c r="Q2070" s="10">
        <f t="shared" si="185"/>
        <v>254.45249999999999</v>
      </c>
      <c r="R2070" s="10">
        <f t="shared" si="186"/>
        <v>169.63499999999999</v>
      </c>
      <c r="S2070" s="10">
        <f t="shared" si="187"/>
        <v>424.08749999999998</v>
      </c>
      <c r="T2070" s="10">
        <f t="shared" si="188"/>
        <v>424.08749999999998</v>
      </c>
      <c r="U2070" s="8" t="str">
        <f t="shared" si="189"/>
        <v>Thu</v>
      </c>
      <c r="V2070" s="8" t="str">
        <f t="shared" si="190"/>
        <v>Tue</v>
      </c>
    </row>
    <row r="2071" spans="1:22" hidden="1" x14ac:dyDescent="0.25">
      <c r="A2071" t="s">
        <v>109</v>
      </c>
      <c r="B2071" t="s">
        <v>42</v>
      </c>
      <c r="C2071" t="s">
        <v>9</v>
      </c>
      <c r="D2071" t="s">
        <v>13</v>
      </c>
      <c r="F2071" s="5">
        <v>44102</v>
      </c>
      <c r="G2071" s="5">
        <v>44104</v>
      </c>
      <c r="H2071" s="2">
        <v>2</v>
      </c>
      <c r="I2071" s="6"/>
      <c r="J2071" s="6"/>
      <c r="K2071" s="7">
        <v>0.5</v>
      </c>
      <c r="L2071" s="7">
        <v>202.86</v>
      </c>
      <c r="M2071" t="s">
        <v>17</v>
      </c>
      <c r="N2071" s="16">
        <f>POWER(SQRT(WorkOrders2710[[#This Row],[WorkDate]]-WorkOrders2710[[#This Row],[ReqDate]]),2)</f>
        <v>2.0000000000000004</v>
      </c>
      <c r="O2071" s="8">
        <f t="array" ref="O2071">INDEX(TechRate,MATCH(H2071,TechNum,0))</f>
        <v>140</v>
      </c>
      <c r="P2071" s="10">
        <f>WorkOrders2710[[#This Row],[Techs]]*(WorkOrders2710[[#This Row],[PartsCost]]*WorkOrders2710[[#This Row],[LbrHrs]])</f>
        <v>202.86</v>
      </c>
      <c r="Q2071" s="10">
        <f t="shared" si="185"/>
        <v>202.86</v>
      </c>
      <c r="R2071" s="10">
        <f t="shared" si="186"/>
        <v>202.86</v>
      </c>
      <c r="S2071" s="10">
        <f t="shared" si="187"/>
        <v>405.72</v>
      </c>
      <c r="T2071" s="10">
        <f t="shared" si="188"/>
        <v>405.72</v>
      </c>
      <c r="U2071" s="8" t="str">
        <f t="shared" si="189"/>
        <v>Mon</v>
      </c>
      <c r="V2071" s="8" t="str">
        <f t="shared" si="190"/>
        <v>Wed</v>
      </c>
    </row>
    <row r="2072" spans="1:22" hidden="1" x14ac:dyDescent="0.25">
      <c r="A2072" t="s">
        <v>110</v>
      </c>
      <c r="B2072" t="s">
        <v>37</v>
      </c>
      <c r="C2072" t="s">
        <v>43</v>
      </c>
      <c r="D2072" t="s">
        <v>12</v>
      </c>
      <c r="F2072" s="5">
        <v>44102</v>
      </c>
      <c r="G2072" s="5">
        <v>44111</v>
      </c>
      <c r="H2072" s="2">
        <v>1</v>
      </c>
      <c r="I2072" s="6"/>
      <c r="J2072" s="6"/>
      <c r="K2072" s="7">
        <v>0.5</v>
      </c>
      <c r="L2072" s="7">
        <v>10.53</v>
      </c>
      <c r="M2072" t="s">
        <v>19</v>
      </c>
      <c r="N2072" s="16">
        <f>POWER(SQRT(WorkOrders2710[[#This Row],[WorkDate]]-WorkOrders2710[[#This Row],[ReqDate]]),2)</f>
        <v>9</v>
      </c>
      <c r="O2072" s="8">
        <f t="array" ref="O2072">INDEX(TechRate,MATCH(H2072,TechNum,0))</f>
        <v>80</v>
      </c>
      <c r="P2072" s="10">
        <f>WorkOrders2710[[#This Row],[Techs]]*(WorkOrders2710[[#This Row],[PartsCost]]*WorkOrders2710[[#This Row],[LbrHrs]])</f>
        <v>5.2649999999999997</v>
      </c>
      <c r="Q2072" s="10">
        <f t="shared" si="185"/>
        <v>5.2649999999999997</v>
      </c>
      <c r="R2072" s="10">
        <f t="shared" si="186"/>
        <v>10.53</v>
      </c>
      <c r="S2072" s="10">
        <f t="shared" si="187"/>
        <v>15.794999999999998</v>
      </c>
      <c r="T2072" s="10">
        <f t="shared" si="188"/>
        <v>15.794999999999998</v>
      </c>
      <c r="U2072" s="8" t="str">
        <f t="shared" si="189"/>
        <v>Mon</v>
      </c>
      <c r="V2072" s="8" t="str">
        <f t="shared" si="190"/>
        <v>Wed</v>
      </c>
    </row>
    <row r="2073" spans="1:22" hidden="1" x14ac:dyDescent="0.25">
      <c r="A2073" t="s">
        <v>111</v>
      </c>
      <c r="B2073" t="s">
        <v>34</v>
      </c>
      <c r="C2073" t="s">
        <v>6</v>
      </c>
      <c r="D2073" t="s">
        <v>13</v>
      </c>
      <c r="F2073" s="5">
        <v>44102</v>
      </c>
      <c r="G2073" s="5">
        <v>44131</v>
      </c>
      <c r="H2073" s="2">
        <v>2</v>
      </c>
      <c r="I2073" s="6"/>
      <c r="J2073" s="6"/>
      <c r="K2073" s="7">
        <v>0.75</v>
      </c>
      <c r="L2073" s="7">
        <v>1.8240000000000001</v>
      </c>
      <c r="M2073" t="s">
        <v>18</v>
      </c>
      <c r="N2073" s="16">
        <f>POWER(SQRT(WorkOrders2710[[#This Row],[WorkDate]]-WorkOrders2710[[#This Row],[ReqDate]]),2)</f>
        <v>28.999999999999996</v>
      </c>
      <c r="O2073" s="8">
        <f t="array" ref="O2073">INDEX(TechRate,MATCH(H2073,TechNum,0))</f>
        <v>140</v>
      </c>
      <c r="P2073" s="10">
        <f>WorkOrders2710[[#This Row],[Techs]]*(WorkOrders2710[[#This Row],[PartsCost]]*WorkOrders2710[[#This Row],[LbrHrs]])</f>
        <v>2.7360000000000002</v>
      </c>
      <c r="Q2073" s="10">
        <f t="shared" ref="Q2073:Q2136" si="191">IF(I2073="Yes",0,P2073)</f>
        <v>2.7360000000000002</v>
      </c>
      <c r="R2073" s="10">
        <f t="shared" ref="R2073:R2136" si="192">IF(J2073="Yes",0,L2073)</f>
        <v>1.8240000000000001</v>
      </c>
      <c r="S2073" s="10">
        <f t="shared" ref="S2073:S2136" si="193">SUM(L2073,P2073)</f>
        <v>4.5600000000000005</v>
      </c>
      <c r="T2073" s="10">
        <f t="shared" ref="T2073:T2136" si="194">SUM(Q2073,R2073)</f>
        <v>4.5600000000000005</v>
      </c>
      <c r="U2073" s="8" t="str">
        <f t="shared" ref="U2073:U2136" si="195">TEXT(F2073,"ddd")</f>
        <v>Mon</v>
      </c>
      <c r="V2073" s="8" t="str">
        <f t="shared" ref="V2073:V2136" si="196">TEXT(G2073,"ddd")</f>
        <v>Tue</v>
      </c>
    </row>
    <row r="2074" spans="1:22" hidden="1" x14ac:dyDescent="0.25">
      <c r="A2074" t="s">
        <v>112</v>
      </c>
      <c r="B2074" t="s">
        <v>37</v>
      </c>
      <c r="C2074" t="s">
        <v>8</v>
      </c>
      <c r="D2074" t="s">
        <v>12</v>
      </c>
      <c r="F2074" s="5">
        <v>44103</v>
      </c>
      <c r="G2074" s="5">
        <v>44112</v>
      </c>
      <c r="H2074" s="2">
        <v>2</v>
      </c>
      <c r="I2074" s="6"/>
      <c r="J2074" s="6"/>
      <c r="K2074" s="7">
        <v>0.5</v>
      </c>
      <c r="L2074" s="7">
        <v>54.124600000000001</v>
      </c>
      <c r="M2074" t="s">
        <v>17</v>
      </c>
      <c r="N2074" s="16">
        <f>POWER(SQRT(WorkOrders2710[[#This Row],[WorkDate]]-WorkOrders2710[[#This Row],[ReqDate]]),2)</f>
        <v>9</v>
      </c>
      <c r="O2074" s="8">
        <f t="array" ref="O2074">INDEX(TechRate,MATCH(H2074,TechNum,0))</f>
        <v>140</v>
      </c>
      <c r="P2074" s="10">
        <f>WorkOrders2710[[#This Row],[Techs]]*(WorkOrders2710[[#This Row],[PartsCost]]*WorkOrders2710[[#This Row],[LbrHrs]])</f>
        <v>54.124600000000001</v>
      </c>
      <c r="Q2074" s="10">
        <f t="shared" si="191"/>
        <v>54.124600000000001</v>
      </c>
      <c r="R2074" s="10">
        <f t="shared" si="192"/>
        <v>54.124600000000001</v>
      </c>
      <c r="S2074" s="10">
        <f t="shared" si="193"/>
        <v>108.2492</v>
      </c>
      <c r="T2074" s="10">
        <f t="shared" si="194"/>
        <v>108.2492</v>
      </c>
      <c r="U2074" s="8" t="str">
        <f t="shared" si="195"/>
        <v>Tue</v>
      </c>
      <c r="V2074" s="8" t="str">
        <f t="shared" si="196"/>
        <v>Thu</v>
      </c>
    </row>
    <row r="2075" spans="1:22" hidden="1" x14ac:dyDescent="0.25">
      <c r="A2075" t="s">
        <v>113</v>
      </c>
      <c r="B2075" t="s">
        <v>35</v>
      </c>
      <c r="C2075" t="s">
        <v>6</v>
      </c>
      <c r="D2075" t="s">
        <v>11</v>
      </c>
      <c r="F2075" s="5">
        <v>44103</v>
      </c>
      <c r="G2075" s="5">
        <v>44125</v>
      </c>
      <c r="H2075" s="2">
        <v>2</v>
      </c>
      <c r="I2075" s="6"/>
      <c r="J2075" s="6"/>
      <c r="K2075" s="7">
        <v>0.25</v>
      </c>
      <c r="L2075" s="7">
        <v>367.71109999999999</v>
      </c>
      <c r="M2075" t="s">
        <v>17</v>
      </c>
      <c r="N2075" s="16">
        <f>POWER(SQRT(WorkOrders2710[[#This Row],[WorkDate]]-WorkOrders2710[[#This Row],[ReqDate]]),2)</f>
        <v>22</v>
      </c>
      <c r="O2075" s="8">
        <f t="array" ref="O2075">INDEX(TechRate,MATCH(H2075,TechNum,0))</f>
        <v>140</v>
      </c>
      <c r="P2075" s="10">
        <f>WorkOrders2710[[#This Row],[Techs]]*(WorkOrders2710[[#This Row],[PartsCost]]*WorkOrders2710[[#This Row],[LbrHrs]])</f>
        <v>183.85554999999999</v>
      </c>
      <c r="Q2075" s="10">
        <f t="shared" si="191"/>
        <v>183.85554999999999</v>
      </c>
      <c r="R2075" s="10">
        <f t="shared" si="192"/>
        <v>367.71109999999999</v>
      </c>
      <c r="S2075" s="10">
        <f t="shared" si="193"/>
        <v>551.56664999999998</v>
      </c>
      <c r="T2075" s="10">
        <f t="shared" si="194"/>
        <v>551.56664999999998</v>
      </c>
      <c r="U2075" s="8" t="str">
        <f t="shared" si="195"/>
        <v>Tue</v>
      </c>
      <c r="V2075" s="8" t="str">
        <f t="shared" si="196"/>
        <v>Wed</v>
      </c>
    </row>
    <row r="2076" spans="1:22" hidden="1" x14ac:dyDescent="0.25">
      <c r="A2076" t="s">
        <v>114</v>
      </c>
      <c r="B2076" t="s">
        <v>38</v>
      </c>
      <c r="C2076" t="s">
        <v>43</v>
      </c>
      <c r="D2076" t="s">
        <v>12</v>
      </c>
      <c r="F2076" s="5">
        <v>44103</v>
      </c>
      <c r="G2076" s="5">
        <v>44123</v>
      </c>
      <c r="H2076" s="2">
        <v>1</v>
      </c>
      <c r="I2076" s="6"/>
      <c r="J2076" s="6"/>
      <c r="K2076" s="7">
        <v>1.5</v>
      </c>
      <c r="L2076" s="7">
        <v>139.035</v>
      </c>
      <c r="M2076" t="s">
        <v>17</v>
      </c>
      <c r="N2076" s="16">
        <f>POWER(SQRT(WorkOrders2710[[#This Row],[WorkDate]]-WorkOrders2710[[#This Row],[ReqDate]]),2)</f>
        <v>20.000000000000004</v>
      </c>
      <c r="O2076" s="8">
        <f t="array" ref="O2076">INDEX(TechRate,MATCH(H2076,TechNum,0))</f>
        <v>80</v>
      </c>
      <c r="P2076" s="10">
        <f>WorkOrders2710[[#This Row],[Techs]]*(WorkOrders2710[[#This Row],[PartsCost]]*WorkOrders2710[[#This Row],[LbrHrs]])</f>
        <v>208.55250000000001</v>
      </c>
      <c r="Q2076" s="10">
        <f t="shared" si="191"/>
        <v>208.55250000000001</v>
      </c>
      <c r="R2076" s="10">
        <f t="shared" si="192"/>
        <v>139.035</v>
      </c>
      <c r="S2076" s="10">
        <f t="shared" si="193"/>
        <v>347.58749999999998</v>
      </c>
      <c r="T2076" s="10">
        <f t="shared" si="194"/>
        <v>347.58749999999998</v>
      </c>
      <c r="U2076" s="8" t="str">
        <f t="shared" si="195"/>
        <v>Tue</v>
      </c>
      <c r="V2076" s="8" t="str">
        <f t="shared" si="196"/>
        <v>Mon</v>
      </c>
    </row>
    <row r="2077" spans="1:22" hidden="1" x14ac:dyDescent="0.25">
      <c r="A2077" t="s">
        <v>115</v>
      </c>
      <c r="B2077" t="s">
        <v>38</v>
      </c>
      <c r="C2077" t="s">
        <v>8</v>
      </c>
      <c r="D2077" t="s">
        <v>13</v>
      </c>
      <c r="F2077" s="5">
        <v>44103</v>
      </c>
      <c r="G2077" s="5">
        <v>44131</v>
      </c>
      <c r="H2077" s="2">
        <v>1</v>
      </c>
      <c r="I2077" s="6"/>
      <c r="J2077" s="6"/>
      <c r="K2077" s="7">
        <v>0.5</v>
      </c>
      <c r="L2077" s="7">
        <v>50.317</v>
      </c>
      <c r="M2077" t="s">
        <v>19</v>
      </c>
      <c r="N2077" s="16">
        <f>POWER(SQRT(WorkOrders2710[[#This Row],[WorkDate]]-WorkOrders2710[[#This Row],[ReqDate]]),2)</f>
        <v>28.000000000000004</v>
      </c>
      <c r="O2077" s="8">
        <f t="array" ref="O2077">INDEX(TechRate,MATCH(H2077,TechNum,0))</f>
        <v>80</v>
      </c>
      <c r="P2077" s="10">
        <f>WorkOrders2710[[#This Row],[Techs]]*(WorkOrders2710[[#This Row],[PartsCost]]*WorkOrders2710[[#This Row],[LbrHrs]])</f>
        <v>25.1585</v>
      </c>
      <c r="Q2077" s="10">
        <f t="shared" si="191"/>
        <v>25.1585</v>
      </c>
      <c r="R2077" s="10">
        <f t="shared" si="192"/>
        <v>50.317</v>
      </c>
      <c r="S2077" s="10">
        <f t="shared" si="193"/>
        <v>75.475499999999997</v>
      </c>
      <c r="T2077" s="10">
        <f t="shared" si="194"/>
        <v>75.475499999999997</v>
      </c>
      <c r="U2077" s="8" t="str">
        <f t="shared" si="195"/>
        <v>Tue</v>
      </c>
      <c r="V2077" s="8" t="str">
        <f t="shared" si="196"/>
        <v>Tue</v>
      </c>
    </row>
    <row r="2078" spans="1:22" hidden="1" x14ac:dyDescent="0.25">
      <c r="A2078" t="s">
        <v>116</v>
      </c>
      <c r="B2078" t="s">
        <v>34</v>
      </c>
      <c r="C2078" t="s">
        <v>9</v>
      </c>
      <c r="D2078" t="s">
        <v>2</v>
      </c>
      <c r="F2078" s="5">
        <v>44103</v>
      </c>
      <c r="G2078" s="5">
        <v>44159</v>
      </c>
      <c r="H2078" s="2">
        <v>1</v>
      </c>
      <c r="I2078" s="6"/>
      <c r="J2078" s="6"/>
      <c r="K2078" s="7">
        <v>1</v>
      </c>
      <c r="L2078" s="7">
        <v>122.4273</v>
      </c>
      <c r="M2078" t="s">
        <v>18</v>
      </c>
      <c r="N2078" s="16">
        <f>POWER(SQRT(WorkOrders2710[[#This Row],[WorkDate]]-WorkOrders2710[[#This Row],[ReqDate]]),2)</f>
        <v>56</v>
      </c>
      <c r="O2078" s="8">
        <f t="array" ref="O2078">INDEX(TechRate,MATCH(H2078,TechNum,0))</f>
        <v>80</v>
      </c>
      <c r="P2078" s="10">
        <f>WorkOrders2710[[#This Row],[Techs]]*(WorkOrders2710[[#This Row],[PartsCost]]*WorkOrders2710[[#This Row],[LbrHrs]])</f>
        <v>122.4273</v>
      </c>
      <c r="Q2078" s="10">
        <f t="shared" si="191"/>
        <v>122.4273</v>
      </c>
      <c r="R2078" s="10">
        <f t="shared" si="192"/>
        <v>122.4273</v>
      </c>
      <c r="S2078" s="10">
        <f t="shared" si="193"/>
        <v>244.8546</v>
      </c>
      <c r="T2078" s="10">
        <f t="shared" si="194"/>
        <v>244.8546</v>
      </c>
      <c r="U2078" s="8" t="str">
        <f t="shared" si="195"/>
        <v>Tue</v>
      </c>
      <c r="V2078" s="8" t="str">
        <f t="shared" si="196"/>
        <v>Tue</v>
      </c>
    </row>
    <row r="2079" spans="1:22" hidden="1" x14ac:dyDescent="0.25">
      <c r="A2079" t="s">
        <v>117</v>
      </c>
      <c r="B2079" t="s">
        <v>38</v>
      </c>
      <c r="C2079" t="s">
        <v>8</v>
      </c>
      <c r="D2079" t="s">
        <v>12</v>
      </c>
      <c r="F2079" s="5">
        <v>44103</v>
      </c>
      <c r="G2079" s="5">
        <v>44167</v>
      </c>
      <c r="H2079" s="2">
        <v>1</v>
      </c>
      <c r="I2079" s="6"/>
      <c r="J2079" s="6"/>
      <c r="K2079" s="7">
        <v>1</v>
      </c>
      <c r="L2079" s="7">
        <v>78.5535</v>
      </c>
      <c r="M2079" t="s">
        <v>19</v>
      </c>
      <c r="N2079" s="16">
        <f>POWER(SQRT(WorkOrders2710[[#This Row],[WorkDate]]-WorkOrders2710[[#This Row],[ReqDate]]),2)</f>
        <v>64</v>
      </c>
      <c r="O2079" s="8">
        <f t="array" ref="O2079">INDEX(TechRate,MATCH(H2079,TechNum,0))</f>
        <v>80</v>
      </c>
      <c r="P2079" s="10">
        <f>WorkOrders2710[[#This Row],[Techs]]*(WorkOrders2710[[#This Row],[PartsCost]]*WorkOrders2710[[#This Row],[LbrHrs]])</f>
        <v>78.5535</v>
      </c>
      <c r="Q2079" s="10">
        <f t="shared" si="191"/>
        <v>78.5535</v>
      </c>
      <c r="R2079" s="10">
        <f t="shared" si="192"/>
        <v>78.5535</v>
      </c>
      <c r="S2079" s="10">
        <f t="shared" si="193"/>
        <v>157.107</v>
      </c>
      <c r="T2079" s="10">
        <f t="shared" si="194"/>
        <v>157.107</v>
      </c>
      <c r="U2079" s="8" t="str">
        <f t="shared" si="195"/>
        <v>Tue</v>
      </c>
      <c r="V2079" s="8" t="str">
        <f t="shared" si="196"/>
        <v>Wed</v>
      </c>
    </row>
    <row r="2080" spans="1:22" hidden="1" x14ac:dyDescent="0.25">
      <c r="A2080" t="s">
        <v>118</v>
      </c>
      <c r="B2080" t="s">
        <v>35</v>
      </c>
      <c r="C2080" t="s">
        <v>8</v>
      </c>
      <c r="D2080" t="s">
        <v>11</v>
      </c>
      <c r="E2080" t="s">
        <v>3</v>
      </c>
      <c r="F2080" s="5">
        <v>44104</v>
      </c>
      <c r="G2080" s="5">
        <v>44111</v>
      </c>
      <c r="H2080" s="2">
        <v>1</v>
      </c>
      <c r="I2080" s="6"/>
      <c r="J2080" s="6"/>
      <c r="K2080" s="7">
        <v>0.25</v>
      </c>
      <c r="L2080" s="7">
        <v>239.1001</v>
      </c>
      <c r="M2080" t="s">
        <v>17</v>
      </c>
      <c r="N2080" s="16">
        <f>POWER(SQRT(WorkOrders2710[[#This Row],[WorkDate]]-WorkOrders2710[[#This Row],[ReqDate]]),2)</f>
        <v>7.0000000000000009</v>
      </c>
      <c r="O2080" s="8">
        <f t="array" ref="O2080">INDEX(TechRate,MATCH(H2080,TechNum,0))</f>
        <v>80</v>
      </c>
      <c r="P2080" s="10">
        <f>WorkOrders2710[[#This Row],[Techs]]*(WorkOrders2710[[#This Row],[PartsCost]]*WorkOrders2710[[#This Row],[LbrHrs]])</f>
        <v>59.775024999999999</v>
      </c>
      <c r="Q2080" s="10">
        <f t="shared" si="191"/>
        <v>59.775024999999999</v>
      </c>
      <c r="R2080" s="10">
        <f t="shared" si="192"/>
        <v>239.1001</v>
      </c>
      <c r="S2080" s="10">
        <f t="shared" si="193"/>
        <v>298.87512500000003</v>
      </c>
      <c r="T2080" s="10">
        <f t="shared" si="194"/>
        <v>298.87512500000003</v>
      </c>
      <c r="U2080" s="8" t="str">
        <f t="shared" si="195"/>
        <v>Wed</v>
      </c>
      <c r="V2080" s="8" t="str">
        <f t="shared" si="196"/>
        <v>Wed</v>
      </c>
    </row>
    <row r="2081" spans="1:22" hidden="1" x14ac:dyDescent="0.25">
      <c r="A2081" t="s">
        <v>119</v>
      </c>
      <c r="B2081" t="s">
        <v>34</v>
      </c>
      <c r="C2081" t="s">
        <v>44</v>
      </c>
      <c r="D2081" t="s">
        <v>13</v>
      </c>
      <c r="F2081" s="5">
        <v>44104</v>
      </c>
      <c r="G2081" s="5">
        <v>44123</v>
      </c>
      <c r="H2081" s="2">
        <v>1</v>
      </c>
      <c r="I2081" s="6"/>
      <c r="J2081" s="6"/>
      <c r="K2081" s="7">
        <v>0.5</v>
      </c>
      <c r="L2081" s="7">
        <v>61.180599999999998</v>
      </c>
      <c r="M2081" t="s">
        <v>18</v>
      </c>
      <c r="N2081" s="16">
        <f>POWER(SQRT(WorkOrders2710[[#This Row],[WorkDate]]-WorkOrders2710[[#This Row],[ReqDate]]),2)</f>
        <v>19.000000000000004</v>
      </c>
      <c r="O2081" s="8">
        <f t="array" ref="O2081">INDEX(TechRate,MATCH(H2081,TechNum,0))</f>
        <v>80</v>
      </c>
      <c r="P2081" s="10">
        <f>WorkOrders2710[[#This Row],[Techs]]*(WorkOrders2710[[#This Row],[PartsCost]]*WorkOrders2710[[#This Row],[LbrHrs]])</f>
        <v>30.590299999999999</v>
      </c>
      <c r="Q2081" s="10">
        <f t="shared" si="191"/>
        <v>30.590299999999999</v>
      </c>
      <c r="R2081" s="10">
        <f t="shared" si="192"/>
        <v>61.180599999999998</v>
      </c>
      <c r="S2081" s="10">
        <f t="shared" si="193"/>
        <v>91.770899999999997</v>
      </c>
      <c r="T2081" s="10">
        <f t="shared" si="194"/>
        <v>91.770899999999997</v>
      </c>
      <c r="U2081" s="8" t="str">
        <f t="shared" si="195"/>
        <v>Wed</v>
      </c>
      <c r="V2081" s="8" t="str">
        <f t="shared" si="196"/>
        <v>Mon</v>
      </c>
    </row>
    <row r="2082" spans="1:22" hidden="1" x14ac:dyDescent="0.25">
      <c r="A2082" t="s">
        <v>120</v>
      </c>
      <c r="B2082" t="s">
        <v>35</v>
      </c>
      <c r="C2082" t="s">
        <v>44</v>
      </c>
      <c r="D2082" t="s">
        <v>2</v>
      </c>
      <c r="F2082" s="5">
        <v>44104</v>
      </c>
      <c r="G2082" s="5">
        <v>44153</v>
      </c>
      <c r="H2082" s="2">
        <v>2</v>
      </c>
      <c r="I2082" s="6"/>
      <c r="J2082" s="6"/>
      <c r="K2082" s="7">
        <v>2.25</v>
      </c>
      <c r="L2082" s="7">
        <v>800.71119999999996</v>
      </c>
      <c r="M2082" t="s">
        <v>17</v>
      </c>
      <c r="N2082" s="16">
        <f>POWER(SQRT(WorkOrders2710[[#This Row],[WorkDate]]-WorkOrders2710[[#This Row],[ReqDate]]),2)</f>
        <v>49</v>
      </c>
      <c r="O2082" s="8">
        <f t="array" ref="O2082">INDEX(TechRate,MATCH(H2082,TechNum,0))</f>
        <v>140</v>
      </c>
      <c r="P2082" s="10">
        <f>WorkOrders2710[[#This Row],[Techs]]*(WorkOrders2710[[#This Row],[PartsCost]]*WorkOrders2710[[#This Row],[LbrHrs]])</f>
        <v>3603.2003999999997</v>
      </c>
      <c r="Q2082" s="10">
        <f t="shared" si="191"/>
        <v>3603.2003999999997</v>
      </c>
      <c r="R2082" s="10">
        <f t="shared" si="192"/>
        <v>800.71119999999996</v>
      </c>
      <c r="S2082" s="10">
        <f t="shared" si="193"/>
        <v>4403.9115999999995</v>
      </c>
      <c r="T2082" s="10">
        <f t="shared" si="194"/>
        <v>4403.9115999999995</v>
      </c>
      <c r="U2082" s="8" t="str">
        <f t="shared" si="195"/>
        <v>Wed</v>
      </c>
      <c r="V2082" s="8" t="str">
        <f t="shared" si="196"/>
        <v>Wed</v>
      </c>
    </row>
    <row r="2083" spans="1:22" hidden="1" x14ac:dyDescent="0.25">
      <c r="A2083" t="s">
        <v>121</v>
      </c>
      <c r="B2083" t="s">
        <v>35</v>
      </c>
      <c r="C2083" t="s">
        <v>8</v>
      </c>
      <c r="D2083" t="s">
        <v>12</v>
      </c>
      <c r="F2083" s="5">
        <v>44105</v>
      </c>
      <c r="G2083" s="5">
        <v>44130</v>
      </c>
      <c r="H2083" s="2">
        <v>1</v>
      </c>
      <c r="I2083" s="6"/>
      <c r="J2083" s="6"/>
      <c r="K2083" s="7">
        <v>0.25</v>
      </c>
      <c r="L2083" s="7">
        <v>19.196999999999999</v>
      </c>
      <c r="M2083" t="s">
        <v>17</v>
      </c>
      <c r="N2083" s="16">
        <f>POWER(SQRT(WorkOrders2710[[#This Row],[WorkDate]]-WorkOrders2710[[#This Row],[ReqDate]]),2)</f>
        <v>25</v>
      </c>
      <c r="O2083" s="8">
        <f t="array" ref="O2083">INDEX(TechRate,MATCH(H2083,TechNum,0))</f>
        <v>80</v>
      </c>
      <c r="P2083" s="10">
        <f>WorkOrders2710[[#This Row],[Techs]]*(WorkOrders2710[[#This Row],[PartsCost]]*WorkOrders2710[[#This Row],[LbrHrs]])</f>
        <v>4.7992499999999998</v>
      </c>
      <c r="Q2083" s="10">
        <f t="shared" si="191"/>
        <v>4.7992499999999998</v>
      </c>
      <c r="R2083" s="10">
        <f t="shared" si="192"/>
        <v>19.196999999999999</v>
      </c>
      <c r="S2083" s="10">
        <f t="shared" si="193"/>
        <v>23.99625</v>
      </c>
      <c r="T2083" s="10">
        <f t="shared" si="194"/>
        <v>23.99625</v>
      </c>
      <c r="U2083" s="8" t="str">
        <f t="shared" si="195"/>
        <v>Thu</v>
      </c>
      <c r="V2083" s="8" t="str">
        <f t="shared" si="196"/>
        <v>Mon</v>
      </c>
    </row>
    <row r="2084" spans="1:22" hidden="1" x14ac:dyDescent="0.25">
      <c r="A2084" t="s">
        <v>122</v>
      </c>
      <c r="B2084" t="s">
        <v>37</v>
      </c>
      <c r="C2084" t="s">
        <v>43</v>
      </c>
      <c r="D2084" t="s">
        <v>12</v>
      </c>
      <c r="F2084" s="5">
        <v>44109</v>
      </c>
      <c r="G2084" s="5">
        <v>44117</v>
      </c>
      <c r="H2084" s="2">
        <v>1</v>
      </c>
      <c r="I2084" s="6"/>
      <c r="J2084" s="6"/>
      <c r="K2084" s="7">
        <v>0.25</v>
      </c>
      <c r="L2084" s="7">
        <v>19.5</v>
      </c>
      <c r="M2084" t="s">
        <v>17</v>
      </c>
      <c r="N2084" s="16">
        <f>POWER(SQRT(WorkOrders2710[[#This Row],[WorkDate]]-WorkOrders2710[[#This Row],[ReqDate]]),2)</f>
        <v>8.0000000000000018</v>
      </c>
      <c r="O2084" s="8">
        <f t="array" ref="O2084">INDEX(TechRate,MATCH(H2084,TechNum,0))</f>
        <v>80</v>
      </c>
      <c r="P2084" s="10">
        <f>WorkOrders2710[[#This Row],[Techs]]*(WorkOrders2710[[#This Row],[PartsCost]]*WorkOrders2710[[#This Row],[LbrHrs]])</f>
        <v>4.875</v>
      </c>
      <c r="Q2084" s="10">
        <f t="shared" si="191"/>
        <v>4.875</v>
      </c>
      <c r="R2084" s="10">
        <f t="shared" si="192"/>
        <v>19.5</v>
      </c>
      <c r="S2084" s="10">
        <f t="shared" si="193"/>
        <v>24.375</v>
      </c>
      <c r="T2084" s="10">
        <f t="shared" si="194"/>
        <v>24.375</v>
      </c>
      <c r="U2084" s="8" t="str">
        <f t="shared" si="195"/>
        <v>Mon</v>
      </c>
      <c r="V2084" s="8" t="str">
        <f t="shared" si="196"/>
        <v>Tue</v>
      </c>
    </row>
    <row r="2085" spans="1:22" hidden="1" x14ac:dyDescent="0.25">
      <c r="A2085" t="s">
        <v>123</v>
      </c>
      <c r="B2085" t="s">
        <v>37</v>
      </c>
      <c r="C2085" t="s">
        <v>43</v>
      </c>
      <c r="D2085" t="s">
        <v>11</v>
      </c>
      <c r="F2085" s="5">
        <v>44109</v>
      </c>
      <c r="G2085" s="5">
        <v>44117</v>
      </c>
      <c r="H2085" s="2">
        <v>1</v>
      </c>
      <c r="I2085" s="6"/>
      <c r="J2085" s="6"/>
      <c r="K2085" s="7">
        <v>0.25</v>
      </c>
      <c r="L2085" s="7">
        <v>22.425000000000001</v>
      </c>
      <c r="M2085" t="s">
        <v>17</v>
      </c>
      <c r="N2085" s="16">
        <f>POWER(SQRT(WorkOrders2710[[#This Row],[WorkDate]]-WorkOrders2710[[#This Row],[ReqDate]]),2)</f>
        <v>8.0000000000000018</v>
      </c>
      <c r="O2085" s="8">
        <f t="array" ref="O2085">INDEX(TechRate,MATCH(H2085,TechNum,0))</f>
        <v>80</v>
      </c>
      <c r="P2085" s="10">
        <f>WorkOrders2710[[#This Row],[Techs]]*(WorkOrders2710[[#This Row],[PartsCost]]*WorkOrders2710[[#This Row],[LbrHrs]])</f>
        <v>5.6062500000000002</v>
      </c>
      <c r="Q2085" s="10">
        <f t="shared" si="191"/>
        <v>5.6062500000000002</v>
      </c>
      <c r="R2085" s="10">
        <f t="shared" si="192"/>
        <v>22.425000000000001</v>
      </c>
      <c r="S2085" s="10">
        <f t="shared" si="193"/>
        <v>28.03125</v>
      </c>
      <c r="T2085" s="10">
        <f t="shared" si="194"/>
        <v>28.03125</v>
      </c>
      <c r="U2085" s="8" t="str">
        <f t="shared" si="195"/>
        <v>Mon</v>
      </c>
      <c r="V2085" s="8" t="str">
        <f t="shared" si="196"/>
        <v>Tue</v>
      </c>
    </row>
    <row r="2086" spans="1:22" hidden="1" x14ac:dyDescent="0.25">
      <c r="A2086" t="s">
        <v>124</v>
      </c>
      <c r="B2086" t="s">
        <v>38</v>
      </c>
      <c r="C2086" t="s">
        <v>9</v>
      </c>
      <c r="D2086" t="s">
        <v>12</v>
      </c>
      <c r="F2086" s="5">
        <v>44109</v>
      </c>
      <c r="G2086" s="5">
        <v>44117</v>
      </c>
      <c r="H2086" s="2">
        <v>1</v>
      </c>
      <c r="I2086" s="6"/>
      <c r="J2086" s="6"/>
      <c r="K2086" s="7">
        <v>0.5</v>
      </c>
      <c r="L2086" s="7">
        <v>26.582599999999999</v>
      </c>
      <c r="M2086" t="s">
        <v>17</v>
      </c>
      <c r="N2086" s="16">
        <f>POWER(SQRT(WorkOrders2710[[#This Row],[WorkDate]]-WorkOrders2710[[#This Row],[ReqDate]]),2)</f>
        <v>8.0000000000000018</v>
      </c>
      <c r="O2086" s="8">
        <f t="array" ref="O2086">INDEX(TechRate,MATCH(H2086,TechNum,0))</f>
        <v>80</v>
      </c>
      <c r="P2086" s="10">
        <f>WorkOrders2710[[#This Row],[Techs]]*(WorkOrders2710[[#This Row],[PartsCost]]*WorkOrders2710[[#This Row],[LbrHrs]])</f>
        <v>13.2913</v>
      </c>
      <c r="Q2086" s="10">
        <f t="shared" si="191"/>
        <v>13.2913</v>
      </c>
      <c r="R2086" s="10">
        <f t="shared" si="192"/>
        <v>26.582599999999999</v>
      </c>
      <c r="S2086" s="10">
        <f t="shared" si="193"/>
        <v>39.873899999999999</v>
      </c>
      <c r="T2086" s="10">
        <f t="shared" si="194"/>
        <v>39.873899999999999</v>
      </c>
      <c r="U2086" s="8" t="str">
        <f t="shared" si="195"/>
        <v>Mon</v>
      </c>
      <c r="V2086" s="8" t="str">
        <f t="shared" si="196"/>
        <v>Tue</v>
      </c>
    </row>
    <row r="2087" spans="1:22" hidden="1" x14ac:dyDescent="0.25">
      <c r="A2087" t="s">
        <v>125</v>
      </c>
      <c r="B2087" t="s">
        <v>34</v>
      </c>
      <c r="C2087" t="s">
        <v>44</v>
      </c>
      <c r="D2087" t="s">
        <v>12</v>
      </c>
      <c r="F2087" s="5">
        <v>44109</v>
      </c>
      <c r="G2087" s="5">
        <v>44128</v>
      </c>
      <c r="H2087" s="2">
        <v>1</v>
      </c>
      <c r="I2087" s="6"/>
      <c r="J2087" s="6"/>
      <c r="K2087" s="7">
        <v>0.5</v>
      </c>
      <c r="L2087" s="7">
        <v>288.20800000000003</v>
      </c>
      <c r="M2087" t="s">
        <v>18</v>
      </c>
      <c r="N2087" s="16">
        <f>POWER(SQRT(WorkOrders2710[[#This Row],[WorkDate]]-WorkOrders2710[[#This Row],[ReqDate]]),2)</f>
        <v>19.000000000000004</v>
      </c>
      <c r="O2087" s="8">
        <f t="array" ref="O2087">INDEX(TechRate,MATCH(H2087,TechNum,0))</f>
        <v>80</v>
      </c>
      <c r="P2087" s="10">
        <f>WorkOrders2710[[#This Row],[Techs]]*(WorkOrders2710[[#This Row],[PartsCost]]*WorkOrders2710[[#This Row],[LbrHrs]])</f>
        <v>144.10400000000001</v>
      </c>
      <c r="Q2087" s="10">
        <f t="shared" si="191"/>
        <v>144.10400000000001</v>
      </c>
      <c r="R2087" s="10">
        <f t="shared" si="192"/>
        <v>288.20800000000003</v>
      </c>
      <c r="S2087" s="10">
        <f t="shared" si="193"/>
        <v>432.31200000000001</v>
      </c>
      <c r="T2087" s="10">
        <f t="shared" si="194"/>
        <v>432.31200000000001</v>
      </c>
      <c r="U2087" s="8" t="str">
        <f t="shared" si="195"/>
        <v>Mon</v>
      </c>
      <c r="V2087" s="8" t="str">
        <f t="shared" si="196"/>
        <v>Sat</v>
      </c>
    </row>
    <row r="2088" spans="1:22" hidden="1" x14ac:dyDescent="0.25">
      <c r="A2088" t="s">
        <v>126</v>
      </c>
      <c r="B2088" t="s">
        <v>37</v>
      </c>
      <c r="C2088" t="s">
        <v>43</v>
      </c>
      <c r="D2088" t="s">
        <v>13</v>
      </c>
      <c r="F2088" s="5">
        <v>44109</v>
      </c>
      <c r="G2088" s="5">
        <v>44123</v>
      </c>
      <c r="H2088" s="2">
        <v>1</v>
      </c>
      <c r="I2088" s="6"/>
      <c r="J2088" s="6"/>
      <c r="K2088" s="7">
        <v>0.5</v>
      </c>
      <c r="L2088" s="7">
        <v>54.236800000000002</v>
      </c>
      <c r="M2088" t="s">
        <v>17</v>
      </c>
      <c r="N2088" s="16">
        <f>POWER(SQRT(WorkOrders2710[[#This Row],[WorkDate]]-WorkOrders2710[[#This Row],[ReqDate]]),2)</f>
        <v>14</v>
      </c>
      <c r="O2088" s="8">
        <f t="array" ref="O2088">INDEX(TechRate,MATCH(H2088,TechNum,0))</f>
        <v>80</v>
      </c>
      <c r="P2088" s="10">
        <f>WorkOrders2710[[#This Row],[Techs]]*(WorkOrders2710[[#This Row],[PartsCost]]*WorkOrders2710[[#This Row],[LbrHrs]])</f>
        <v>27.118400000000001</v>
      </c>
      <c r="Q2088" s="10">
        <f t="shared" si="191"/>
        <v>27.118400000000001</v>
      </c>
      <c r="R2088" s="10">
        <f t="shared" si="192"/>
        <v>54.236800000000002</v>
      </c>
      <c r="S2088" s="10">
        <f t="shared" si="193"/>
        <v>81.355199999999996</v>
      </c>
      <c r="T2088" s="10">
        <f t="shared" si="194"/>
        <v>81.355199999999996</v>
      </c>
      <c r="U2088" s="8" t="str">
        <f t="shared" si="195"/>
        <v>Mon</v>
      </c>
      <c r="V2088" s="8" t="str">
        <f t="shared" si="196"/>
        <v>Mon</v>
      </c>
    </row>
    <row r="2089" spans="1:22" hidden="1" x14ac:dyDescent="0.25">
      <c r="A2089" t="s">
        <v>127</v>
      </c>
      <c r="B2089" t="s">
        <v>38</v>
      </c>
      <c r="C2089" t="s">
        <v>43</v>
      </c>
      <c r="D2089" t="s">
        <v>12</v>
      </c>
      <c r="F2089" s="5">
        <v>44110</v>
      </c>
      <c r="G2089" s="5">
        <v>44123</v>
      </c>
      <c r="H2089" s="2">
        <v>1</v>
      </c>
      <c r="I2089" s="6"/>
      <c r="J2089" s="6"/>
      <c r="K2089" s="7">
        <v>0.25</v>
      </c>
      <c r="L2089" s="7">
        <v>332.39699999999999</v>
      </c>
      <c r="M2089" t="s">
        <v>19</v>
      </c>
      <c r="N2089" s="16">
        <f>POWER(SQRT(WorkOrders2710[[#This Row],[WorkDate]]-WorkOrders2710[[#This Row],[ReqDate]]),2)</f>
        <v>12.999999999999998</v>
      </c>
      <c r="O2089" s="8">
        <f t="array" ref="O2089">INDEX(TechRate,MATCH(H2089,TechNum,0))</f>
        <v>80</v>
      </c>
      <c r="P2089" s="10">
        <f>WorkOrders2710[[#This Row],[Techs]]*(WorkOrders2710[[#This Row],[PartsCost]]*WorkOrders2710[[#This Row],[LbrHrs]])</f>
        <v>83.099249999999998</v>
      </c>
      <c r="Q2089" s="10">
        <f t="shared" si="191"/>
        <v>83.099249999999998</v>
      </c>
      <c r="R2089" s="10">
        <f t="shared" si="192"/>
        <v>332.39699999999999</v>
      </c>
      <c r="S2089" s="10">
        <f t="shared" si="193"/>
        <v>415.49624999999997</v>
      </c>
      <c r="T2089" s="10">
        <f t="shared" si="194"/>
        <v>415.49624999999997</v>
      </c>
      <c r="U2089" s="8" t="str">
        <f t="shared" si="195"/>
        <v>Tue</v>
      </c>
      <c r="V2089" s="8" t="str">
        <f t="shared" si="196"/>
        <v>Mon</v>
      </c>
    </row>
    <row r="2090" spans="1:22" hidden="1" x14ac:dyDescent="0.25">
      <c r="A2090" t="s">
        <v>128</v>
      </c>
      <c r="B2090" t="s">
        <v>35</v>
      </c>
      <c r="C2090" t="s">
        <v>8</v>
      </c>
      <c r="D2090" t="s">
        <v>12</v>
      </c>
      <c r="F2090" s="5">
        <v>44110</v>
      </c>
      <c r="G2090" s="5">
        <v>44127</v>
      </c>
      <c r="H2090" s="2">
        <v>2</v>
      </c>
      <c r="I2090" s="6"/>
      <c r="J2090" s="6"/>
      <c r="K2090" s="7">
        <v>0.75</v>
      </c>
      <c r="L2090" s="7">
        <v>124.1649</v>
      </c>
      <c r="M2090" t="s">
        <v>18</v>
      </c>
      <c r="N2090" s="16">
        <f>POWER(SQRT(WorkOrders2710[[#This Row],[WorkDate]]-WorkOrders2710[[#This Row],[ReqDate]]),2)</f>
        <v>17</v>
      </c>
      <c r="O2090" s="8">
        <f t="array" ref="O2090">INDEX(TechRate,MATCH(H2090,TechNum,0))</f>
        <v>140</v>
      </c>
      <c r="P2090" s="10">
        <f>WorkOrders2710[[#This Row],[Techs]]*(WorkOrders2710[[#This Row],[PartsCost]]*WorkOrders2710[[#This Row],[LbrHrs]])</f>
        <v>186.24735000000001</v>
      </c>
      <c r="Q2090" s="10">
        <f t="shared" si="191"/>
        <v>186.24735000000001</v>
      </c>
      <c r="R2090" s="10">
        <f t="shared" si="192"/>
        <v>124.1649</v>
      </c>
      <c r="S2090" s="10">
        <f t="shared" si="193"/>
        <v>310.41225000000003</v>
      </c>
      <c r="T2090" s="10">
        <f t="shared" si="194"/>
        <v>310.41225000000003</v>
      </c>
      <c r="U2090" s="8" t="str">
        <f t="shared" si="195"/>
        <v>Tue</v>
      </c>
      <c r="V2090" s="8" t="str">
        <f t="shared" si="196"/>
        <v>Fri</v>
      </c>
    </row>
    <row r="2091" spans="1:22" hidden="1" x14ac:dyDescent="0.25">
      <c r="A2091" t="s">
        <v>129</v>
      </c>
      <c r="B2091" t="s">
        <v>34</v>
      </c>
      <c r="C2091" t="s">
        <v>9</v>
      </c>
      <c r="D2091" t="s">
        <v>11</v>
      </c>
      <c r="F2091" s="5">
        <v>44110</v>
      </c>
      <c r="G2091" s="5">
        <v>44130</v>
      </c>
      <c r="H2091" s="2">
        <v>1</v>
      </c>
      <c r="I2091" s="6"/>
      <c r="J2091" s="6"/>
      <c r="K2091" s="7">
        <v>0.25</v>
      </c>
      <c r="L2091" s="7">
        <v>21.63</v>
      </c>
      <c r="M2091" t="s">
        <v>17</v>
      </c>
      <c r="N2091" s="16">
        <f>POWER(SQRT(WorkOrders2710[[#This Row],[WorkDate]]-WorkOrders2710[[#This Row],[ReqDate]]),2)</f>
        <v>20.000000000000004</v>
      </c>
      <c r="O2091" s="8">
        <f t="array" ref="O2091">INDEX(TechRate,MATCH(H2091,TechNum,0))</f>
        <v>80</v>
      </c>
      <c r="P2091" s="10">
        <f>WorkOrders2710[[#This Row],[Techs]]*(WorkOrders2710[[#This Row],[PartsCost]]*WorkOrders2710[[#This Row],[LbrHrs]])</f>
        <v>5.4074999999999998</v>
      </c>
      <c r="Q2091" s="10">
        <f t="shared" si="191"/>
        <v>5.4074999999999998</v>
      </c>
      <c r="R2091" s="10">
        <f t="shared" si="192"/>
        <v>21.63</v>
      </c>
      <c r="S2091" s="10">
        <f t="shared" si="193"/>
        <v>27.037499999999998</v>
      </c>
      <c r="T2091" s="10">
        <f t="shared" si="194"/>
        <v>27.037499999999998</v>
      </c>
      <c r="U2091" s="8" t="str">
        <f t="shared" si="195"/>
        <v>Tue</v>
      </c>
      <c r="V2091" s="8" t="str">
        <f t="shared" si="196"/>
        <v>Mon</v>
      </c>
    </row>
    <row r="2092" spans="1:22" hidden="1" x14ac:dyDescent="0.25">
      <c r="A2092" t="s">
        <v>130</v>
      </c>
      <c r="B2092" t="s">
        <v>35</v>
      </c>
      <c r="C2092" t="s">
        <v>8</v>
      </c>
      <c r="D2092" t="s">
        <v>12</v>
      </c>
      <c r="F2092" s="5">
        <v>44111</v>
      </c>
      <c r="G2092" s="5">
        <v>44123</v>
      </c>
      <c r="H2092" s="2">
        <v>2</v>
      </c>
      <c r="I2092" s="6"/>
      <c r="J2092" s="6" t="s">
        <v>3</v>
      </c>
      <c r="K2092" s="7">
        <v>0.25</v>
      </c>
      <c r="L2092" s="7">
        <v>33</v>
      </c>
      <c r="M2092" t="s">
        <v>18</v>
      </c>
      <c r="N2092" s="16">
        <f>POWER(SQRT(WorkOrders2710[[#This Row],[WorkDate]]-WorkOrders2710[[#This Row],[ReqDate]]),2)</f>
        <v>11.999999999999998</v>
      </c>
      <c r="O2092" s="8">
        <f t="array" ref="O2092">INDEX(TechRate,MATCH(H2092,TechNum,0))</f>
        <v>140</v>
      </c>
      <c r="P2092" s="10">
        <f>WorkOrders2710[[#This Row],[Techs]]*(WorkOrders2710[[#This Row],[PartsCost]]*WorkOrders2710[[#This Row],[LbrHrs]])</f>
        <v>16.5</v>
      </c>
      <c r="Q2092" s="10">
        <f t="shared" si="191"/>
        <v>16.5</v>
      </c>
      <c r="R2092" s="10">
        <f t="shared" si="192"/>
        <v>0</v>
      </c>
      <c r="S2092" s="10">
        <f t="shared" si="193"/>
        <v>49.5</v>
      </c>
      <c r="T2092" s="10">
        <f t="shared" si="194"/>
        <v>16.5</v>
      </c>
      <c r="U2092" s="8" t="str">
        <f t="shared" si="195"/>
        <v>Wed</v>
      </c>
      <c r="V2092" s="8" t="str">
        <f t="shared" si="196"/>
        <v>Mon</v>
      </c>
    </row>
    <row r="2093" spans="1:22" hidden="1" x14ac:dyDescent="0.25">
      <c r="A2093" t="s">
        <v>131</v>
      </c>
      <c r="B2093" t="s">
        <v>35</v>
      </c>
      <c r="C2093" t="s">
        <v>8</v>
      </c>
      <c r="D2093" t="s">
        <v>12</v>
      </c>
      <c r="F2093" s="5">
        <v>44111</v>
      </c>
      <c r="G2093" s="5">
        <v>44123</v>
      </c>
      <c r="H2093" s="2">
        <v>2</v>
      </c>
      <c r="I2093" s="6"/>
      <c r="J2093" s="6"/>
      <c r="K2093" s="7">
        <v>0.5</v>
      </c>
      <c r="L2093" s="7">
        <v>154.5</v>
      </c>
      <c r="M2093" t="s">
        <v>18</v>
      </c>
      <c r="N2093" s="16">
        <f>POWER(SQRT(WorkOrders2710[[#This Row],[WorkDate]]-WorkOrders2710[[#This Row],[ReqDate]]),2)</f>
        <v>11.999999999999998</v>
      </c>
      <c r="O2093" s="8">
        <f t="array" ref="O2093">INDEX(TechRate,MATCH(H2093,TechNum,0))</f>
        <v>140</v>
      </c>
      <c r="P2093" s="10">
        <f>WorkOrders2710[[#This Row],[Techs]]*(WorkOrders2710[[#This Row],[PartsCost]]*WorkOrders2710[[#This Row],[LbrHrs]])</f>
        <v>154.5</v>
      </c>
      <c r="Q2093" s="10">
        <f t="shared" si="191"/>
        <v>154.5</v>
      </c>
      <c r="R2093" s="10">
        <f t="shared" si="192"/>
        <v>154.5</v>
      </c>
      <c r="S2093" s="10">
        <f t="shared" si="193"/>
        <v>309</v>
      </c>
      <c r="T2093" s="10">
        <f t="shared" si="194"/>
        <v>309</v>
      </c>
      <c r="U2093" s="8" t="str">
        <f t="shared" si="195"/>
        <v>Wed</v>
      </c>
      <c r="V2093" s="8" t="str">
        <f t="shared" si="196"/>
        <v>Mon</v>
      </c>
    </row>
    <row r="2094" spans="1:22" hidden="1" x14ac:dyDescent="0.25">
      <c r="A2094" t="s">
        <v>132</v>
      </c>
      <c r="B2094" t="s">
        <v>37</v>
      </c>
      <c r="C2094" t="s">
        <v>43</v>
      </c>
      <c r="D2094" t="s">
        <v>2</v>
      </c>
      <c r="F2094" s="5">
        <v>44111</v>
      </c>
      <c r="G2094" s="5">
        <v>44124</v>
      </c>
      <c r="H2094" s="2">
        <v>1</v>
      </c>
      <c r="I2094" s="6"/>
      <c r="J2094" s="6"/>
      <c r="K2094" s="7">
        <v>1</v>
      </c>
      <c r="L2094" s="7">
        <v>48.75</v>
      </c>
      <c r="M2094" t="s">
        <v>17</v>
      </c>
      <c r="N2094" s="16">
        <f>POWER(SQRT(WorkOrders2710[[#This Row],[WorkDate]]-WorkOrders2710[[#This Row],[ReqDate]]),2)</f>
        <v>12.999999999999998</v>
      </c>
      <c r="O2094" s="8">
        <f t="array" ref="O2094">INDEX(TechRate,MATCH(H2094,TechNum,0))</f>
        <v>80</v>
      </c>
      <c r="P2094" s="10">
        <f>WorkOrders2710[[#This Row],[Techs]]*(WorkOrders2710[[#This Row],[PartsCost]]*WorkOrders2710[[#This Row],[LbrHrs]])</f>
        <v>48.75</v>
      </c>
      <c r="Q2094" s="10">
        <f t="shared" si="191"/>
        <v>48.75</v>
      </c>
      <c r="R2094" s="10">
        <f t="shared" si="192"/>
        <v>48.75</v>
      </c>
      <c r="S2094" s="10">
        <f t="shared" si="193"/>
        <v>97.5</v>
      </c>
      <c r="T2094" s="10">
        <f t="shared" si="194"/>
        <v>97.5</v>
      </c>
      <c r="U2094" s="8" t="str">
        <f t="shared" si="195"/>
        <v>Wed</v>
      </c>
      <c r="V2094" s="8" t="str">
        <f t="shared" si="196"/>
        <v>Tue</v>
      </c>
    </row>
    <row r="2095" spans="1:22" hidden="1" x14ac:dyDescent="0.25">
      <c r="A2095" t="s">
        <v>133</v>
      </c>
      <c r="B2095" t="s">
        <v>37</v>
      </c>
      <c r="C2095" t="s">
        <v>43</v>
      </c>
      <c r="D2095" t="s">
        <v>11</v>
      </c>
      <c r="F2095" s="5">
        <v>44112</v>
      </c>
      <c r="G2095" s="5">
        <v>44124</v>
      </c>
      <c r="H2095" s="2">
        <v>1</v>
      </c>
      <c r="I2095" s="6"/>
      <c r="J2095" s="6"/>
      <c r="K2095" s="7">
        <v>0.25</v>
      </c>
      <c r="L2095" s="7">
        <v>76.1678</v>
      </c>
      <c r="M2095" t="s">
        <v>17</v>
      </c>
      <c r="N2095" s="16">
        <f>POWER(SQRT(WorkOrders2710[[#This Row],[WorkDate]]-WorkOrders2710[[#This Row],[ReqDate]]),2)</f>
        <v>11.999999999999998</v>
      </c>
      <c r="O2095" s="8">
        <f t="array" ref="O2095">INDEX(TechRate,MATCH(H2095,TechNum,0))</f>
        <v>80</v>
      </c>
      <c r="P2095" s="10">
        <f>WorkOrders2710[[#This Row],[Techs]]*(WorkOrders2710[[#This Row],[PartsCost]]*WorkOrders2710[[#This Row],[LbrHrs]])</f>
        <v>19.04195</v>
      </c>
      <c r="Q2095" s="10">
        <f t="shared" si="191"/>
        <v>19.04195</v>
      </c>
      <c r="R2095" s="10">
        <f t="shared" si="192"/>
        <v>76.1678</v>
      </c>
      <c r="S2095" s="10">
        <f t="shared" si="193"/>
        <v>95.20975</v>
      </c>
      <c r="T2095" s="10">
        <f t="shared" si="194"/>
        <v>95.20975</v>
      </c>
      <c r="U2095" s="8" t="str">
        <f t="shared" si="195"/>
        <v>Thu</v>
      </c>
      <c r="V2095" s="8" t="str">
        <f t="shared" si="196"/>
        <v>Tue</v>
      </c>
    </row>
    <row r="2096" spans="1:22" hidden="1" x14ac:dyDescent="0.25">
      <c r="A2096" t="s">
        <v>134</v>
      </c>
      <c r="B2096" t="s">
        <v>35</v>
      </c>
      <c r="C2096" t="s">
        <v>8</v>
      </c>
      <c r="D2096" t="s">
        <v>13</v>
      </c>
      <c r="F2096" s="5">
        <v>44112</v>
      </c>
      <c r="G2096" s="5">
        <v>44142</v>
      </c>
      <c r="H2096" s="2">
        <v>1</v>
      </c>
      <c r="I2096" s="6"/>
      <c r="J2096" s="6"/>
      <c r="K2096" s="7">
        <v>0.75</v>
      </c>
      <c r="L2096" s="7">
        <v>117</v>
      </c>
      <c r="M2096" t="s">
        <v>18</v>
      </c>
      <c r="N2096" s="16">
        <f>POWER(SQRT(WorkOrders2710[[#This Row],[WorkDate]]-WorkOrders2710[[#This Row],[ReqDate]]),2)</f>
        <v>30</v>
      </c>
      <c r="O2096" s="8">
        <f t="array" ref="O2096">INDEX(TechRate,MATCH(H2096,TechNum,0))</f>
        <v>80</v>
      </c>
      <c r="P2096" s="10">
        <f>WorkOrders2710[[#This Row],[Techs]]*(WorkOrders2710[[#This Row],[PartsCost]]*WorkOrders2710[[#This Row],[LbrHrs]])</f>
        <v>87.75</v>
      </c>
      <c r="Q2096" s="10">
        <f t="shared" si="191"/>
        <v>87.75</v>
      </c>
      <c r="R2096" s="10">
        <f t="shared" si="192"/>
        <v>117</v>
      </c>
      <c r="S2096" s="10">
        <f t="shared" si="193"/>
        <v>204.75</v>
      </c>
      <c r="T2096" s="10">
        <f t="shared" si="194"/>
        <v>204.75</v>
      </c>
      <c r="U2096" s="8" t="str">
        <f t="shared" si="195"/>
        <v>Thu</v>
      </c>
      <c r="V2096" s="8" t="str">
        <f t="shared" si="196"/>
        <v>Sat</v>
      </c>
    </row>
    <row r="2097" spans="1:22" hidden="1" x14ac:dyDescent="0.25">
      <c r="A2097" t="s">
        <v>135</v>
      </c>
      <c r="B2097" t="s">
        <v>35</v>
      </c>
      <c r="C2097" t="s">
        <v>44</v>
      </c>
      <c r="D2097" t="s">
        <v>2</v>
      </c>
      <c r="F2097" s="5">
        <v>44112</v>
      </c>
      <c r="G2097" s="5">
        <v>44145</v>
      </c>
      <c r="H2097" s="2">
        <v>2</v>
      </c>
      <c r="I2097" s="6"/>
      <c r="J2097" s="6"/>
      <c r="K2097" s="7">
        <v>1.5</v>
      </c>
      <c r="L2097" s="7">
        <v>1575.9739999999999</v>
      </c>
      <c r="M2097" t="s">
        <v>18</v>
      </c>
      <c r="N2097" s="16">
        <f>POWER(SQRT(WorkOrders2710[[#This Row],[WorkDate]]-WorkOrders2710[[#This Row],[ReqDate]]),2)</f>
        <v>33</v>
      </c>
      <c r="O2097" s="8">
        <f t="array" ref="O2097">INDEX(TechRate,MATCH(H2097,TechNum,0))</f>
        <v>140</v>
      </c>
      <c r="P2097" s="10">
        <f>WorkOrders2710[[#This Row],[Techs]]*(WorkOrders2710[[#This Row],[PartsCost]]*WorkOrders2710[[#This Row],[LbrHrs]])</f>
        <v>4727.9219999999996</v>
      </c>
      <c r="Q2097" s="10">
        <f t="shared" si="191"/>
        <v>4727.9219999999996</v>
      </c>
      <c r="R2097" s="10">
        <f t="shared" si="192"/>
        <v>1575.9739999999999</v>
      </c>
      <c r="S2097" s="10">
        <f t="shared" si="193"/>
        <v>6303.8959999999997</v>
      </c>
      <c r="T2097" s="10">
        <f t="shared" si="194"/>
        <v>6303.8959999999997</v>
      </c>
      <c r="U2097" s="8" t="str">
        <f t="shared" si="195"/>
        <v>Thu</v>
      </c>
      <c r="V2097" s="8" t="str">
        <f t="shared" si="196"/>
        <v>Tue</v>
      </c>
    </row>
    <row r="2098" spans="1:22" hidden="1" x14ac:dyDescent="0.25">
      <c r="A2098" t="s">
        <v>136</v>
      </c>
      <c r="B2098" t="s">
        <v>38</v>
      </c>
      <c r="C2098" t="s">
        <v>8</v>
      </c>
      <c r="D2098" t="s">
        <v>13</v>
      </c>
      <c r="F2098" s="5">
        <v>44112</v>
      </c>
      <c r="G2098" s="5">
        <v>44153</v>
      </c>
      <c r="H2098" s="2">
        <v>1</v>
      </c>
      <c r="I2098" s="6"/>
      <c r="J2098" s="6"/>
      <c r="K2098" s="7">
        <v>0.5</v>
      </c>
      <c r="L2098" s="7">
        <v>21.33</v>
      </c>
      <c r="M2098" t="s">
        <v>19</v>
      </c>
      <c r="N2098" s="16">
        <f>POWER(SQRT(WorkOrders2710[[#This Row],[WorkDate]]-WorkOrders2710[[#This Row],[ReqDate]]),2)</f>
        <v>41</v>
      </c>
      <c r="O2098" s="8">
        <f t="array" ref="O2098">INDEX(TechRate,MATCH(H2098,TechNum,0))</f>
        <v>80</v>
      </c>
      <c r="P2098" s="10">
        <f>WorkOrders2710[[#This Row],[Techs]]*(WorkOrders2710[[#This Row],[PartsCost]]*WorkOrders2710[[#This Row],[LbrHrs]])</f>
        <v>10.664999999999999</v>
      </c>
      <c r="Q2098" s="10">
        <f t="shared" si="191"/>
        <v>10.664999999999999</v>
      </c>
      <c r="R2098" s="10">
        <f t="shared" si="192"/>
        <v>21.33</v>
      </c>
      <c r="S2098" s="10">
        <f t="shared" si="193"/>
        <v>31.994999999999997</v>
      </c>
      <c r="T2098" s="10">
        <f t="shared" si="194"/>
        <v>31.994999999999997</v>
      </c>
      <c r="U2098" s="8" t="str">
        <f t="shared" si="195"/>
        <v>Thu</v>
      </c>
      <c r="V2098" s="8" t="str">
        <f t="shared" si="196"/>
        <v>Wed</v>
      </c>
    </row>
    <row r="2099" spans="1:22" hidden="1" x14ac:dyDescent="0.25">
      <c r="A2099" t="s">
        <v>137</v>
      </c>
      <c r="B2099" t="s">
        <v>39</v>
      </c>
      <c r="C2099" t="s">
        <v>6</v>
      </c>
      <c r="D2099" t="s">
        <v>13</v>
      </c>
      <c r="F2099" s="5">
        <v>44112</v>
      </c>
      <c r="G2099" s="5">
        <v>44165</v>
      </c>
      <c r="H2099" s="2">
        <v>1</v>
      </c>
      <c r="I2099" s="6"/>
      <c r="J2099" s="6"/>
      <c r="K2099" s="7">
        <v>0.5</v>
      </c>
      <c r="L2099" s="7">
        <v>74.785899999999998</v>
      </c>
      <c r="M2099" t="s">
        <v>17</v>
      </c>
      <c r="N2099" s="16">
        <f>POWER(SQRT(WorkOrders2710[[#This Row],[WorkDate]]-WorkOrders2710[[#This Row],[ReqDate]]),2)</f>
        <v>53</v>
      </c>
      <c r="O2099" s="8">
        <f t="array" ref="O2099">INDEX(TechRate,MATCH(H2099,TechNum,0))</f>
        <v>80</v>
      </c>
      <c r="P2099" s="10">
        <f>WorkOrders2710[[#This Row],[Techs]]*(WorkOrders2710[[#This Row],[PartsCost]]*WorkOrders2710[[#This Row],[LbrHrs]])</f>
        <v>37.392949999999999</v>
      </c>
      <c r="Q2099" s="10">
        <f t="shared" si="191"/>
        <v>37.392949999999999</v>
      </c>
      <c r="R2099" s="10">
        <f t="shared" si="192"/>
        <v>74.785899999999998</v>
      </c>
      <c r="S2099" s="10">
        <f t="shared" si="193"/>
        <v>112.17885</v>
      </c>
      <c r="T2099" s="10">
        <f t="shared" si="194"/>
        <v>112.17885</v>
      </c>
      <c r="U2099" s="8" t="str">
        <f t="shared" si="195"/>
        <v>Thu</v>
      </c>
      <c r="V2099" s="8" t="str">
        <f t="shared" si="196"/>
        <v>Mon</v>
      </c>
    </row>
    <row r="2100" spans="1:22" hidden="1" x14ac:dyDescent="0.25">
      <c r="A2100" t="s">
        <v>138</v>
      </c>
      <c r="B2100" t="s">
        <v>41</v>
      </c>
      <c r="C2100" t="s">
        <v>6</v>
      </c>
      <c r="D2100" t="s">
        <v>2</v>
      </c>
      <c r="F2100" s="5">
        <v>44112</v>
      </c>
      <c r="G2100" s="5">
        <v>44166</v>
      </c>
      <c r="H2100" s="2">
        <v>2</v>
      </c>
      <c r="I2100" s="6"/>
      <c r="J2100" s="6"/>
      <c r="K2100" s="7">
        <v>4.75</v>
      </c>
      <c r="L2100" s="7">
        <v>1123.9716000000001</v>
      </c>
      <c r="M2100" t="s">
        <v>18</v>
      </c>
      <c r="N2100" s="16">
        <f>POWER(SQRT(WorkOrders2710[[#This Row],[WorkDate]]-WorkOrders2710[[#This Row],[ReqDate]]),2)</f>
        <v>54</v>
      </c>
      <c r="O2100" s="8">
        <f t="array" ref="O2100">INDEX(TechRate,MATCH(H2100,TechNum,0))</f>
        <v>140</v>
      </c>
      <c r="P2100" s="10">
        <f>WorkOrders2710[[#This Row],[Techs]]*(WorkOrders2710[[#This Row],[PartsCost]]*WorkOrders2710[[#This Row],[LbrHrs]])</f>
        <v>10677.7302</v>
      </c>
      <c r="Q2100" s="10">
        <f t="shared" si="191"/>
        <v>10677.7302</v>
      </c>
      <c r="R2100" s="10">
        <f t="shared" si="192"/>
        <v>1123.9716000000001</v>
      </c>
      <c r="S2100" s="10">
        <f t="shared" si="193"/>
        <v>11801.701800000001</v>
      </c>
      <c r="T2100" s="10">
        <f t="shared" si="194"/>
        <v>11801.701800000001</v>
      </c>
      <c r="U2100" s="8" t="str">
        <f t="shared" si="195"/>
        <v>Thu</v>
      </c>
      <c r="V2100" s="8" t="str">
        <f t="shared" si="196"/>
        <v>Tue</v>
      </c>
    </row>
    <row r="2101" spans="1:22" hidden="1" x14ac:dyDescent="0.25">
      <c r="A2101" t="s">
        <v>139</v>
      </c>
      <c r="B2101" t="s">
        <v>34</v>
      </c>
      <c r="C2101" t="s">
        <v>9</v>
      </c>
      <c r="D2101" t="s">
        <v>12</v>
      </c>
      <c r="F2101" s="5">
        <v>44116</v>
      </c>
      <c r="G2101" s="5">
        <v>44130</v>
      </c>
      <c r="H2101" s="2">
        <v>2</v>
      </c>
      <c r="I2101" s="6"/>
      <c r="J2101" s="6"/>
      <c r="K2101" s="7">
        <v>1</v>
      </c>
      <c r="L2101" s="7">
        <v>128.9796</v>
      </c>
      <c r="M2101" t="s">
        <v>17</v>
      </c>
      <c r="N2101" s="16">
        <f>POWER(SQRT(WorkOrders2710[[#This Row],[WorkDate]]-WorkOrders2710[[#This Row],[ReqDate]]),2)</f>
        <v>14</v>
      </c>
      <c r="O2101" s="8">
        <f t="array" ref="O2101">INDEX(TechRate,MATCH(H2101,TechNum,0))</f>
        <v>140</v>
      </c>
      <c r="P2101" s="10">
        <f>WorkOrders2710[[#This Row],[Techs]]*(WorkOrders2710[[#This Row],[PartsCost]]*WorkOrders2710[[#This Row],[LbrHrs]])</f>
        <v>257.95920000000001</v>
      </c>
      <c r="Q2101" s="10">
        <f t="shared" si="191"/>
        <v>257.95920000000001</v>
      </c>
      <c r="R2101" s="10">
        <f t="shared" si="192"/>
        <v>128.9796</v>
      </c>
      <c r="S2101" s="10">
        <f t="shared" si="193"/>
        <v>386.93880000000001</v>
      </c>
      <c r="T2101" s="10">
        <f t="shared" si="194"/>
        <v>386.93880000000001</v>
      </c>
      <c r="U2101" s="8" t="str">
        <f t="shared" si="195"/>
        <v>Mon</v>
      </c>
      <c r="V2101" s="8" t="str">
        <f t="shared" si="196"/>
        <v>Mon</v>
      </c>
    </row>
    <row r="2102" spans="1:22" hidden="1" x14ac:dyDescent="0.25">
      <c r="A2102" t="s">
        <v>140</v>
      </c>
      <c r="B2102" t="s">
        <v>38</v>
      </c>
      <c r="C2102" t="s">
        <v>8</v>
      </c>
      <c r="D2102" t="s">
        <v>13</v>
      </c>
      <c r="F2102" s="5">
        <v>44116</v>
      </c>
      <c r="G2102" s="5">
        <v>44139</v>
      </c>
      <c r="H2102" s="2">
        <v>1</v>
      </c>
      <c r="I2102" s="6"/>
      <c r="J2102" s="6"/>
      <c r="K2102" s="7">
        <v>0.5</v>
      </c>
      <c r="L2102" s="7">
        <v>144</v>
      </c>
      <c r="M2102" t="s">
        <v>19</v>
      </c>
      <c r="N2102" s="16">
        <f>POWER(SQRT(WorkOrders2710[[#This Row],[WorkDate]]-WorkOrders2710[[#This Row],[ReqDate]]),2)</f>
        <v>22.999999999999996</v>
      </c>
      <c r="O2102" s="8">
        <f t="array" ref="O2102">INDEX(TechRate,MATCH(H2102,TechNum,0))</f>
        <v>80</v>
      </c>
      <c r="P2102" s="10">
        <f>WorkOrders2710[[#This Row],[Techs]]*(WorkOrders2710[[#This Row],[PartsCost]]*WorkOrders2710[[#This Row],[LbrHrs]])</f>
        <v>72</v>
      </c>
      <c r="Q2102" s="10">
        <f t="shared" si="191"/>
        <v>72</v>
      </c>
      <c r="R2102" s="10">
        <f t="shared" si="192"/>
        <v>144</v>
      </c>
      <c r="S2102" s="10">
        <f t="shared" si="193"/>
        <v>216</v>
      </c>
      <c r="T2102" s="10">
        <f t="shared" si="194"/>
        <v>216</v>
      </c>
      <c r="U2102" s="8" t="str">
        <f t="shared" si="195"/>
        <v>Mon</v>
      </c>
      <c r="V2102" s="8" t="str">
        <f t="shared" si="196"/>
        <v>Wed</v>
      </c>
    </row>
    <row r="2103" spans="1:22" hidden="1" x14ac:dyDescent="0.25">
      <c r="A2103" t="s">
        <v>141</v>
      </c>
      <c r="B2103" t="s">
        <v>34</v>
      </c>
      <c r="C2103" t="s">
        <v>6</v>
      </c>
      <c r="D2103" t="s">
        <v>12</v>
      </c>
      <c r="F2103" s="5">
        <v>44116</v>
      </c>
      <c r="G2103" s="5">
        <v>44140</v>
      </c>
      <c r="H2103" s="2">
        <v>2</v>
      </c>
      <c r="I2103" s="6"/>
      <c r="J2103" s="6"/>
      <c r="K2103" s="7">
        <v>1</v>
      </c>
      <c r="L2103" s="7">
        <v>1211.8269</v>
      </c>
      <c r="M2103" t="s">
        <v>17</v>
      </c>
      <c r="N2103" s="16">
        <f>POWER(SQRT(WorkOrders2710[[#This Row],[WorkDate]]-WorkOrders2710[[#This Row],[ReqDate]]),2)</f>
        <v>23.999999999999996</v>
      </c>
      <c r="O2103" s="8">
        <f t="array" ref="O2103">INDEX(TechRate,MATCH(H2103,TechNum,0))</f>
        <v>140</v>
      </c>
      <c r="P2103" s="10">
        <f>WorkOrders2710[[#This Row],[Techs]]*(WorkOrders2710[[#This Row],[PartsCost]]*WorkOrders2710[[#This Row],[LbrHrs]])</f>
        <v>2423.6538</v>
      </c>
      <c r="Q2103" s="10">
        <f t="shared" si="191"/>
        <v>2423.6538</v>
      </c>
      <c r="R2103" s="10">
        <f t="shared" si="192"/>
        <v>1211.8269</v>
      </c>
      <c r="S2103" s="10">
        <f t="shared" si="193"/>
        <v>3635.4807000000001</v>
      </c>
      <c r="T2103" s="10">
        <f t="shared" si="194"/>
        <v>3635.4807000000001</v>
      </c>
      <c r="U2103" s="8" t="str">
        <f t="shared" si="195"/>
        <v>Mon</v>
      </c>
      <c r="V2103" s="8" t="str">
        <f t="shared" si="196"/>
        <v>Thu</v>
      </c>
    </row>
    <row r="2104" spans="1:22" hidden="1" x14ac:dyDescent="0.25">
      <c r="A2104" t="s">
        <v>142</v>
      </c>
      <c r="B2104" t="s">
        <v>37</v>
      </c>
      <c r="C2104" t="s">
        <v>6</v>
      </c>
      <c r="D2104" t="s">
        <v>13</v>
      </c>
      <c r="F2104" s="5">
        <v>44116</v>
      </c>
      <c r="G2104" s="5">
        <v>44153</v>
      </c>
      <c r="H2104" s="2">
        <v>1</v>
      </c>
      <c r="I2104" s="6"/>
      <c r="J2104" s="6"/>
      <c r="K2104" s="7">
        <v>0.5</v>
      </c>
      <c r="L2104" s="7">
        <v>54.124600000000001</v>
      </c>
      <c r="M2104" t="s">
        <v>17</v>
      </c>
      <c r="N2104" s="16">
        <f>POWER(SQRT(WorkOrders2710[[#This Row],[WorkDate]]-WorkOrders2710[[#This Row],[ReqDate]]),2)</f>
        <v>36.999999999999993</v>
      </c>
      <c r="O2104" s="8">
        <f t="array" ref="O2104">INDEX(TechRate,MATCH(H2104,TechNum,0))</f>
        <v>80</v>
      </c>
      <c r="P2104" s="10">
        <f>WorkOrders2710[[#This Row],[Techs]]*(WorkOrders2710[[#This Row],[PartsCost]]*WorkOrders2710[[#This Row],[LbrHrs]])</f>
        <v>27.0623</v>
      </c>
      <c r="Q2104" s="10">
        <f t="shared" si="191"/>
        <v>27.0623</v>
      </c>
      <c r="R2104" s="10">
        <f t="shared" si="192"/>
        <v>54.124600000000001</v>
      </c>
      <c r="S2104" s="10">
        <f t="shared" si="193"/>
        <v>81.186900000000009</v>
      </c>
      <c r="T2104" s="10">
        <f t="shared" si="194"/>
        <v>81.186900000000009</v>
      </c>
      <c r="U2104" s="8" t="str">
        <f t="shared" si="195"/>
        <v>Mon</v>
      </c>
      <c r="V2104" s="8" t="str">
        <f t="shared" si="196"/>
        <v>Wed</v>
      </c>
    </row>
    <row r="2105" spans="1:22" hidden="1" x14ac:dyDescent="0.25">
      <c r="A2105" t="s">
        <v>143</v>
      </c>
      <c r="B2105" t="s">
        <v>35</v>
      </c>
      <c r="C2105" t="s">
        <v>6</v>
      </c>
      <c r="D2105" t="s">
        <v>12</v>
      </c>
      <c r="E2105" t="s">
        <v>3</v>
      </c>
      <c r="F2105" s="5">
        <v>44116</v>
      </c>
      <c r="G2105" s="5">
        <v>44154</v>
      </c>
      <c r="H2105" s="2">
        <v>1</v>
      </c>
      <c r="I2105" s="6"/>
      <c r="J2105" s="6"/>
      <c r="K2105" s="7">
        <v>0.5</v>
      </c>
      <c r="L2105" s="7">
        <v>55.935699999999997</v>
      </c>
      <c r="M2105" t="s">
        <v>18</v>
      </c>
      <c r="N2105" s="16">
        <f>POWER(SQRT(WorkOrders2710[[#This Row],[WorkDate]]-WorkOrders2710[[#This Row],[ReqDate]]),2)</f>
        <v>37.999999999999993</v>
      </c>
      <c r="O2105" s="8">
        <f t="array" ref="O2105">INDEX(TechRate,MATCH(H2105,TechNum,0))</f>
        <v>80</v>
      </c>
      <c r="P2105" s="10">
        <f>WorkOrders2710[[#This Row],[Techs]]*(WorkOrders2710[[#This Row],[PartsCost]]*WorkOrders2710[[#This Row],[LbrHrs]])</f>
        <v>27.967849999999999</v>
      </c>
      <c r="Q2105" s="10">
        <f t="shared" si="191"/>
        <v>27.967849999999999</v>
      </c>
      <c r="R2105" s="10">
        <f t="shared" si="192"/>
        <v>55.935699999999997</v>
      </c>
      <c r="S2105" s="10">
        <f t="shared" si="193"/>
        <v>83.903549999999996</v>
      </c>
      <c r="T2105" s="10">
        <f t="shared" si="194"/>
        <v>83.903549999999996</v>
      </c>
      <c r="U2105" s="8" t="str">
        <f t="shared" si="195"/>
        <v>Mon</v>
      </c>
      <c r="V2105" s="8" t="str">
        <f t="shared" si="196"/>
        <v>Thu</v>
      </c>
    </row>
    <row r="2106" spans="1:22" hidden="1" x14ac:dyDescent="0.25">
      <c r="A2106" t="s">
        <v>144</v>
      </c>
      <c r="B2106" t="s">
        <v>39</v>
      </c>
      <c r="C2106" t="s">
        <v>6</v>
      </c>
      <c r="D2106" t="s">
        <v>12</v>
      </c>
      <c r="E2106" t="s">
        <v>3</v>
      </c>
      <c r="F2106" s="5">
        <v>44117</v>
      </c>
      <c r="G2106" s="5">
        <v>44131</v>
      </c>
      <c r="H2106" s="2">
        <v>1</v>
      </c>
      <c r="I2106" s="6"/>
      <c r="J2106" s="6"/>
      <c r="K2106" s="7">
        <v>0.5</v>
      </c>
      <c r="L2106" s="7">
        <v>11.06</v>
      </c>
      <c r="M2106" t="s">
        <v>19</v>
      </c>
      <c r="N2106" s="16">
        <f>POWER(SQRT(WorkOrders2710[[#This Row],[WorkDate]]-WorkOrders2710[[#This Row],[ReqDate]]),2)</f>
        <v>14</v>
      </c>
      <c r="O2106" s="8">
        <f t="array" ref="O2106">INDEX(TechRate,MATCH(H2106,TechNum,0))</f>
        <v>80</v>
      </c>
      <c r="P2106" s="10">
        <f>WorkOrders2710[[#This Row],[Techs]]*(WorkOrders2710[[#This Row],[PartsCost]]*WorkOrders2710[[#This Row],[LbrHrs]])</f>
        <v>5.53</v>
      </c>
      <c r="Q2106" s="10">
        <f t="shared" si="191"/>
        <v>5.53</v>
      </c>
      <c r="R2106" s="10">
        <f t="shared" si="192"/>
        <v>11.06</v>
      </c>
      <c r="S2106" s="10">
        <f t="shared" si="193"/>
        <v>16.59</v>
      </c>
      <c r="T2106" s="10">
        <f t="shared" si="194"/>
        <v>16.59</v>
      </c>
      <c r="U2106" s="8" t="str">
        <f t="shared" si="195"/>
        <v>Tue</v>
      </c>
      <c r="V2106" s="8" t="str">
        <f t="shared" si="196"/>
        <v>Tue</v>
      </c>
    </row>
    <row r="2107" spans="1:22" hidden="1" x14ac:dyDescent="0.25">
      <c r="A2107" t="s">
        <v>145</v>
      </c>
      <c r="B2107" t="s">
        <v>38</v>
      </c>
      <c r="C2107" t="s">
        <v>8</v>
      </c>
      <c r="D2107" t="s">
        <v>2</v>
      </c>
      <c r="F2107" s="5">
        <v>44117</v>
      </c>
      <c r="G2107" s="5">
        <v>44131</v>
      </c>
      <c r="H2107" s="2">
        <v>1</v>
      </c>
      <c r="I2107" s="6"/>
      <c r="J2107" s="6"/>
      <c r="K2107" s="7">
        <v>2</v>
      </c>
      <c r="L2107" s="7">
        <v>77.165099999999995</v>
      </c>
      <c r="M2107" t="s">
        <v>17</v>
      </c>
      <c r="N2107" s="16">
        <f>POWER(SQRT(WorkOrders2710[[#This Row],[WorkDate]]-WorkOrders2710[[#This Row],[ReqDate]]),2)</f>
        <v>14</v>
      </c>
      <c r="O2107" s="8">
        <f t="array" ref="O2107">INDEX(TechRate,MATCH(H2107,TechNum,0))</f>
        <v>80</v>
      </c>
      <c r="P2107" s="10">
        <f>WorkOrders2710[[#This Row],[Techs]]*(WorkOrders2710[[#This Row],[PartsCost]]*WorkOrders2710[[#This Row],[LbrHrs]])</f>
        <v>154.33019999999999</v>
      </c>
      <c r="Q2107" s="10">
        <f t="shared" si="191"/>
        <v>154.33019999999999</v>
      </c>
      <c r="R2107" s="10">
        <f t="shared" si="192"/>
        <v>77.165099999999995</v>
      </c>
      <c r="S2107" s="10">
        <f t="shared" si="193"/>
        <v>231.49529999999999</v>
      </c>
      <c r="T2107" s="10">
        <f t="shared" si="194"/>
        <v>231.49529999999999</v>
      </c>
      <c r="U2107" s="8" t="str">
        <f t="shared" si="195"/>
        <v>Tue</v>
      </c>
      <c r="V2107" s="8" t="str">
        <f t="shared" si="196"/>
        <v>Tue</v>
      </c>
    </row>
    <row r="2108" spans="1:22" hidden="1" x14ac:dyDescent="0.25">
      <c r="A2108" t="s">
        <v>146</v>
      </c>
      <c r="B2108" t="s">
        <v>35</v>
      </c>
      <c r="C2108" t="s">
        <v>8</v>
      </c>
      <c r="D2108" t="s">
        <v>12</v>
      </c>
      <c r="F2108" s="5">
        <v>44118</v>
      </c>
      <c r="G2108" s="5">
        <v>44123</v>
      </c>
      <c r="H2108" s="2">
        <v>2</v>
      </c>
      <c r="I2108" s="6"/>
      <c r="J2108" s="6"/>
      <c r="K2108" s="7">
        <v>0.5</v>
      </c>
      <c r="L2108" s="7">
        <v>66.158000000000001</v>
      </c>
      <c r="M2108" t="s">
        <v>17</v>
      </c>
      <c r="N2108" s="16">
        <f>POWER(SQRT(WorkOrders2710[[#This Row],[WorkDate]]-WorkOrders2710[[#This Row],[ReqDate]]),2)</f>
        <v>5.0000000000000009</v>
      </c>
      <c r="O2108" s="8">
        <f t="array" ref="O2108">INDEX(TechRate,MATCH(H2108,TechNum,0))</f>
        <v>140</v>
      </c>
      <c r="P2108" s="10">
        <f>WorkOrders2710[[#This Row],[Techs]]*(WorkOrders2710[[#This Row],[PartsCost]]*WorkOrders2710[[#This Row],[LbrHrs]])</f>
        <v>66.158000000000001</v>
      </c>
      <c r="Q2108" s="10">
        <f t="shared" si="191"/>
        <v>66.158000000000001</v>
      </c>
      <c r="R2108" s="10">
        <f t="shared" si="192"/>
        <v>66.158000000000001</v>
      </c>
      <c r="S2108" s="10">
        <f t="shared" si="193"/>
        <v>132.316</v>
      </c>
      <c r="T2108" s="10">
        <f t="shared" si="194"/>
        <v>132.316</v>
      </c>
      <c r="U2108" s="8" t="str">
        <f t="shared" si="195"/>
        <v>Wed</v>
      </c>
      <c r="V2108" s="8" t="str">
        <f t="shared" si="196"/>
        <v>Mon</v>
      </c>
    </row>
    <row r="2109" spans="1:22" hidden="1" x14ac:dyDescent="0.25">
      <c r="A2109" t="s">
        <v>147</v>
      </c>
      <c r="B2109" t="s">
        <v>42</v>
      </c>
      <c r="C2109" t="s">
        <v>6</v>
      </c>
      <c r="D2109" t="s">
        <v>11</v>
      </c>
      <c r="F2109" s="5">
        <v>44118</v>
      </c>
      <c r="G2109" s="5">
        <v>44131</v>
      </c>
      <c r="H2109" s="2">
        <v>1</v>
      </c>
      <c r="I2109" s="6"/>
      <c r="J2109" s="6"/>
      <c r="K2109" s="7">
        <v>0.25</v>
      </c>
      <c r="L2109" s="7">
        <v>27.953900000000001</v>
      </c>
      <c r="M2109" t="s">
        <v>17</v>
      </c>
      <c r="N2109" s="16">
        <f>POWER(SQRT(WorkOrders2710[[#This Row],[WorkDate]]-WorkOrders2710[[#This Row],[ReqDate]]),2)</f>
        <v>12.999999999999998</v>
      </c>
      <c r="O2109" s="8">
        <f t="array" ref="O2109">INDEX(TechRate,MATCH(H2109,TechNum,0))</f>
        <v>80</v>
      </c>
      <c r="P2109" s="10">
        <f>WorkOrders2710[[#This Row],[Techs]]*(WorkOrders2710[[#This Row],[PartsCost]]*WorkOrders2710[[#This Row],[LbrHrs]])</f>
        <v>6.9884750000000002</v>
      </c>
      <c r="Q2109" s="10">
        <f t="shared" si="191"/>
        <v>6.9884750000000002</v>
      </c>
      <c r="R2109" s="10">
        <f t="shared" si="192"/>
        <v>27.953900000000001</v>
      </c>
      <c r="S2109" s="10">
        <f t="shared" si="193"/>
        <v>34.942374999999998</v>
      </c>
      <c r="T2109" s="10">
        <f t="shared" si="194"/>
        <v>34.942374999999998</v>
      </c>
      <c r="U2109" s="8" t="str">
        <f t="shared" si="195"/>
        <v>Wed</v>
      </c>
      <c r="V2109" s="8" t="str">
        <f t="shared" si="196"/>
        <v>Tue</v>
      </c>
    </row>
    <row r="2110" spans="1:22" hidden="1" x14ac:dyDescent="0.25">
      <c r="A2110" t="s">
        <v>148</v>
      </c>
      <c r="B2110" t="s">
        <v>38</v>
      </c>
      <c r="C2110" t="s">
        <v>8</v>
      </c>
      <c r="D2110" t="s">
        <v>12</v>
      </c>
      <c r="F2110" s="5">
        <v>44118</v>
      </c>
      <c r="G2110" s="5">
        <v>44131</v>
      </c>
      <c r="H2110" s="2">
        <v>1</v>
      </c>
      <c r="I2110" s="6"/>
      <c r="J2110" s="6"/>
      <c r="K2110" s="7">
        <v>1</v>
      </c>
      <c r="L2110" s="7">
        <v>216.3125</v>
      </c>
      <c r="M2110" t="s">
        <v>18</v>
      </c>
      <c r="N2110" s="16">
        <f>POWER(SQRT(WorkOrders2710[[#This Row],[WorkDate]]-WorkOrders2710[[#This Row],[ReqDate]]),2)</f>
        <v>12.999999999999998</v>
      </c>
      <c r="O2110" s="8">
        <f t="array" ref="O2110">INDEX(TechRate,MATCH(H2110,TechNum,0))</f>
        <v>80</v>
      </c>
      <c r="P2110" s="10">
        <f>WorkOrders2710[[#This Row],[Techs]]*(WorkOrders2710[[#This Row],[PartsCost]]*WorkOrders2710[[#This Row],[LbrHrs]])</f>
        <v>216.3125</v>
      </c>
      <c r="Q2110" s="10">
        <f t="shared" si="191"/>
        <v>216.3125</v>
      </c>
      <c r="R2110" s="10">
        <f t="shared" si="192"/>
        <v>216.3125</v>
      </c>
      <c r="S2110" s="10">
        <f t="shared" si="193"/>
        <v>432.625</v>
      </c>
      <c r="T2110" s="10">
        <f t="shared" si="194"/>
        <v>432.625</v>
      </c>
      <c r="U2110" s="8" t="str">
        <f t="shared" si="195"/>
        <v>Wed</v>
      </c>
      <c r="V2110" s="8" t="str">
        <f t="shared" si="196"/>
        <v>Tue</v>
      </c>
    </row>
    <row r="2111" spans="1:22" hidden="1" x14ac:dyDescent="0.25">
      <c r="A2111" t="s">
        <v>149</v>
      </c>
      <c r="B2111" t="s">
        <v>34</v>
      </c>
      <c r="C2111" t="s">
        <v>9</v>
      </c>
      <c r="D2111" t="s">
        <v>2</v>
      </c>
      <c r="F2111" s="5">
        <v>44118</v>
      </c>
      <c r="G2111" s="5">
        <v>44138</v>
      </c>
      <c r="H2111" s="2">
        <v>2</v>
      </c>
      <c r="I2111" s="6"/>
      <c r="J2111" s="6"/>
      <c r="K2111" s="7">
        <v>2</v>
      </c>
      <c r="L2111" s="7">
        <v>619.51329999999996</v>
      </c>
      <c r="M2111" t="s">
        <v>19</v>
      </c>
      <c r="N2111" s="16">
        <f>POWER(SQRT(WorkOrders2710[[#This Row],[WorkDate]]-WorkOrders2710[[#This Row],[ReqDate]]),2)</f>
        <v>20.000000000000004</v>
      </c>
      <c r="O2111" s="8">
        <f t="array" ref="O2111">INDEX(TechRate,MATCH(H2111,TechNum,0))</f>
        <v>140</v>
      </c>
      <c r="P2111" s="10">
        <f>WorkOrders2710[[#This Row],[Techs]]*(WorkOrders2710[[#This Row],[PartsCost]]*WorkOrders2710[[#This Row],[LbrHrs]])</f>
        <v>2478.0531999999998</v>
      </c>
      <c r="Q2111" s="10">
        <f t="shared" si="191"/>
        <v>2478.0531999999998</v>
      </c>
      <c r="R2111" s="10">
        <f t="shared" si="192"/>
        <v>619.51329999999996</v>
      </c>
      <c r="S2111" s="10">
        <f t="shared" si="193"/>
        <v>3097.5664999999999</v>
      </c>
      <c r="T2111" s="10">
        <f t="shared" si="194"/>
        <v>3097.5664999999999</v>
      </c>
      <c r="U2111" s="8" t="str">
        <f t="shared" si="195"/>
        <v>Wed</v>
      </c>
      <c r="V2111" s="8" t="str">
        <f t="shared" si="196"/>
        <v>Tue</v>
      </c>
    </row>
    <row r="2112" spans="1:22" hidden="1" x14ac:dyDescent="0.25">
      <c r="A2112" t="s">
        <v>150</v>
      </c>
      <c r="B2112" t="s">
        <v>38</v>
      </c>
      <c r="C2112" t="s">
        <v>6</v>
      </c>
      <c r="D2112" t="s">
        <v>13</v>
      </c>
      <c r="F2112" s="5">
        <v>44118</v>
      </c>
      <c r="G2112" s="5">
        <v>44145</v>
      </c>
      <c r="H2112" s="2">
        <v>1</v>
      </c>
      <c r="I2112" s="6"/>
      <c r="J2112" s="6"/>
      <c r="K2112" s="7">
        <v>0.5</v>
      </c>
      <c r="L2112" s="7">
        <v>3.12</v>
      </c>
      <c r="M2112" t="s">
        <v>18</v>
      </c>
      <c r="N2112" s="16">
        <f>POWER(SQRT(WorkOrders2710[[#This Row],[WorkDate]]-WorkOrders2710[[#This Row],[ReqDate]]),2)</f>
        <v>27</v>
      </c>
      <c r="O2112" s="8">
        <f t="array" ref="O2112">INDEX(TechRate,MATCH(H2112,TechNum,0))</f>
        <v>80</v>
      </c>
      <c r="P2112" s="10">
        <f>WorkOrders2710[[#This Row],[Techs]]*(WorkOrders2710[[#This Row],[PartsCost]]*WorkOrders2710[[#This Row],[LbrHrs]])</f>
        <v>1.56</v>
      </c>
      <c r="Q2112" s="10">
        <f t="shared" si="191"/>
        <v>1.56</v>
      </c>
      <c r="R2112" s="10">
        <f t="shared" si="192"/>
        <v>3.12</v>
      </c>
      <c r="S2112" s="10">
        <f t="shared" si="193"/>
        <v>4.68</v>
      </c>
      <c r="T2112" s="10">
        <f t="shared" si="194"/>
        <v>4.68</v>
      </c>
      <c r="U2112" s="8" t="str">
        <f t="shared" si="195"/>
        <v>Wed</v>
      </c>
      <c r="V2112" s="8" t="str">
        <f t="shared" si="196"/>
        <v>Tue</v>
      </c>
    </row>
    <row r="2113" spans="1:22" hidden="1" x14ac:dyDescent="0.25">
      <c r="A2113" t="s">
        <v>151</v>
      </c>
      <c r="B2113" t="s">
        <v>34</v>
      </c>
      <c r="C2113" t="s">
        <v>6</v>
      </c>
      <c r="D2113" t="s">
        <v>12</v>
      </c>
      <c r="F2113" s="5">
        <v>44119</v>
      </c>
      <c r="G2113" s="5">
        <v>44126</v>
      </c>
      <c r="H2113" s="2">
        <v>1</v>
      </c>
      <c r="I2113" s="6"/>
      <c r="J2113" s="6"/>
      <c r="K2113" s="7">
        <v>0.75</v>
      </c>
      <c r="L2113" s="7">
        <v>163.26</v>
      </c>
      <c r="M2113" t="s">
        <v>17</v>
      </c>
      <c r="N2113" s="16">
        <f>POWER(SQRT(WorkOrders2710[[#This Row],[WorkDate]]-WorkOrders2710[[#This Row],[ReqDate]]),2)</f>
        <v>7.0000000000000009</v>
      </c>
      <c r="O2113" s="8">
        <f t="array" ref="O2113">INDEX(TechRate,MATCH(H2113,TechNum,0))</f>
        <v>80</v>
      </c>
      <c r="P2113" s="10">
        <f>WorkOrders2710[[#This Row],[Techs]]*(WorkOrders2710[[#This Row],[PartsCost]]*WorkOrders2710[[#This Row],[LbrHrs]])</f>
        <v>122.44499999999999</v>
      </c>
      <c r="Q2113" s="10">
        <f t="shared" si="191"/>
        <v>122.44499999999999</v>
      </c>
      <c r="R2113" s="10">
        <f t="shared" si="192"/>
        <v>163.26</v>
      </c>
      <c r="S2113" s="10">
        <f t="shared" si="193"/>
        <v>285.70499999999998</v>
      </c>
      <c r="T2113" s="10">
        <f t="shared" si="194"/>
        <v>285.70499999999998</v>
      </c>
      <c r="U2113" s="8" t="str">
        <f t="shared" si="195"/>
        <v>Thu</v>
      </c>
      <c r="V2113" s="8" t="str">
        <f t="shared" si="196"/>
        <v>Thu</v>
      </c>
    </row>
    <row r="2114" spans="1:22" hidden="1" x14ac:dyDescent="0.25">
      <c r="A2114" t="s">
        <v>152</v>
      </c>
      <c r="B2114" t="s">
        <v>37</v>
      </c>
      <c r="C2114" t="s">
        <v>43</v>
      </c>
      <c r="D2114" t="s">
        <v>11</v>
      </c>
      <c r="F2114" s="5">
        <v>44119</v>
      </c>
      <c r="G2114" s="5">
        <v>44132</v>
      </c>
      <c r="H2114" s="2">
        <v>1</v>
      </c>
      <c r="I2114" s="6"/>
      <c r="J2114" s="6"/>
      <c r="K2114" s="7">
        <v>0.25</v>
      </c>
      <c r="L2114" s="7">
        <v>65.251599999999996</v>
      </c>
      <c r="M2114" t="s">
        <v>17</v>
      </c>
      <c r="N2114" s="16">
        <f>POWER(SQRT(WorkOrders2710[[#This Row],[WorkDate]]-WorkOrders2710[[#This Row],[ReqDate]]),2)</f>
        <v>12.999999999999998</v>
      </c>
      <c r="O2114" s="8">
        <f t="array" ref="O2114">INDEX(TechRate,MATCH(H2114,TechNum,0))</f>
        <v>80</v>
      </c>
      <c r="P2114" s="10">
        <f>WorkOrders2710[[#This Row],[Techs]]*(WorkOrders2710[[#This Row],[PartsCost]]*WorkOrders2710[[#This Row],[LbrHrs]])</f>
        <v>16.312899999999999</v>
      </c>
      <c r="Q2114" s="10">
        <f t="shared" si="191"/>
        <v>16.312899999999999</v>
      </c>
      <c r="R2114" s="10">
        <f t="shared" si="192"/>
        <v>65.251599999999996</v>
      </c>
      <c r="S2114" s="10">
        <f t="shared" si="193"/>
        <v>81.564499999999995</v>
      </c>
      <c r="T2114" s="10">
        <f t="shared" si="194"/>
        <v>81.564499999999995</v>
      </c>
      <c r="U2114" s="8" t="str">
        <f t="shared" si="195"/>
        <v>Thu</v>
      </c>
      <c r="V2114" s="8" t="str">
        <f t="shared" si="196"/>
        <v>Wed</v>
      </c>
    </row>
    <row r="2115" spans="1:22" hidden="1" x14ac:dyDescent="0.25">
      <c r="A2115" t="s">
        <v>153</v>
      </c>
      <c r="B2115" t="s">
        <v>38</v>
      </c>
      <c r="C2115" t="s">
        <v>6</v>
      </c>
      <c r="D2115" t="s">
        <v>11</v>
      </c>
      <c r="F2115" s="5">
        <v>44119</v>
      </c>
      <c r="G2115" s="5">
        <v>44145</v>
      </c>
      <c r="H2115" s="2">
        <v>1</v>
      </c>
      <c r="I2115" s="6"/>
      <c r="J2115" s="6"/>
      <c r="K2115" s="7">
        <v>0.25</v>
      </c>
      <c r="L2115" s="7">
        <v>30</v>
      </c>
      <c r="M2115" t="s">
        <v>19</v>
      </c>
      <c r="N2115" s="16">
        <f>POWER(SQRT(WorkOrders2710[[#This Row],[WorkDate]]-WorkOrders2710[[#This Row],[ReqDate]]),2)</f>
        <v>25.999999999999996</v>
      </c>
      <c r="O2115" s="8">
        <f t="array" ref="O2115">INDEX(TechRate,MATCH(H2115,TechNum,0))</f>
        <v>80</v>
      </c>
      <c r="P2115" s="10">
        <f>WorkOrders2710[[#This Row],[Techs]]*(WorkOrders2710[[#This Row],[PartsCost]]*WorkOrders2710[[#This Row],[LbrHrs]])</f>
        <v>7.5</v>
      </c>
      <c r="Q2115" s="10">
        <f t="shared" si="191"/>
        <v>7.5</v>
      </c>
      <c r="R2115" s="10">
        <f t="shared" si="192"/>
        <v>30</v>
      </c>
      <c r="S2115" s="10">
        <f t="shared" si="193"/>
        <v>37.5</v>
      </c>
      <c r="T2115" s="10">
        <f t="shared" si="194"/>
        <v>37.5</v>
      </c>
      <c r="U2115" s="8" t="str">
        <f t="shared" si="195"/>
        <v>Thu</v>
      </c>
      <c r="V2115" s="8" t="str">
        <f t="shared" si="196"/>
        <v>Tue</v>
      </c>
    </row>
    <row r="2116" spans="1:22" hidden="1" x14ac:dyDescent="0.25">
      <c r="A2116" t="s">
        <v>154</v>
      </c>
      <c r="B2116" t="s">
        <v>38</v>
      </c>
      <c r="C2116" t="s">
        <v>6</v>
      </c>
      <c r="D2116" t="s">
        <v>13</v>
      </c>
      <c r="F2116" s="5">
        <v>44119</v>
      </c>
      <c r="G2116" s="5">
        <v>44145</v>
      </c>
      <c r="H2116" s="2">
        <v>1</v>
      </c>
      <c r="I2116" s="6"/>
      <c r="J2116" s="6"/>
      <c r="K2116" s="7">
        <v>0.5</v>
      </c>
      <c r="L2116" s="7">
        <v>105.8442</v>
      </c>
      <c r="M2116" t="s">
        <v>17</v>
      </c>
      <c r="N2116" s="16">
        <f>POWER(SQRT(WorkOrders2710[[#This Row],[WorkDate]]-WorkOrders2710[[#This Row],[ReqDate]]),2)</f>
        <v>25.999999999999996</v>
      </c>
      <c r="O2116" s="8">
        <f t="array" ref="O2116">INDEX(TechRate,MATCH(H2116,TechNum,0))</f>
        <v>80</v>
      </c>
      <c r="P2116" s="10">
        <f>WorkOrders2710[[#This Row],[Techs]]*(WorkOrders2710[[#This Row],[PartsCost]]*WorkOrders2710[[#This Row],[LbrHrs]])</f>
        <v>52.9221</v>
      </c>
      <c r="Q2116" s="10">
        <f t="shared" si="191"/>
        <v>52.9221</v>
      </c>
      <c r="R2116" s="10">
        <f t="shared" si="192"/>
        <v>105.8442</v>
      </c>
      <c r="S2116" s="10">
        <f t="shared" si="193"/>
        <v>158.7663</v>
      </c>
      <c r="T2116" s="10">
        <f t="shared" si="194"/>
        <v>158.7663</v>
      </c>
      <c r="U2116" s="8" t="str">
        <f t="shared" si="195"/>
        <v>Thu</v>
      </c>
      <c r="V2116" s="8" t="str">
        <f t="shared" si="196"/>
        <v>Tue</v>
      </c>
    </row>
    <row r="2117" spans="1:22" hidden="1" x14ac:dyDescent="0.25">
      <c r="A2117" t="s">
        <v>155</v>
      </c>
      <c r="B2117" t="s">
        <v>35</v>
      </c>
      <c r="C2117" t="s">
        <v>9</v>
      </c>
      <c r="D2117" t="s">
        <v>13</v>
      </c>
      <c r="F2117" s="5">
        <v>44123</v>
      </c>
      <c r="G2117" s="5">
        <v>44140</v>
      </c>
      <c r="H2117" s="2">
        <v>2</v>
      </c>
      <c r="I2117" s="6"/>
      <c r="J2117" s="6"/>
      <c r="K2117" s="7">
        <v>1</v>
      </c>
      <c r="L2117" s="7">
        <v>547.08590000000004</v>
      </c>
      <c r="M2117" t="s">
        <v>18</v>
      </c>
      <c r="N2117" s="16">
        <f>POWER(SQRT(WorkOrders2710[[#This Row],[WorkDate]]-WorkOrders2710[[#This Row],[ReqDate]]),2)</f>
        <v>17</v>
      </c>
      <c r="O2117" s="8">
        <f t="array" ref="O2117">INDEX(TechRate,MATCH(H2117,TechNum,0))</f>
        <v>140</v>
      </c>
      <c r="P2117" s="10">
        <f>WorkOrders2710[[#This Row],[Techs]]*(WorkOrders2710[[#This Row],[PartsCost]]*WorkOrders2710[[#This Row],[LbrHrs]])</f>
        <v>1094.1718000000001</v>
      </c>
      <c r="Q2117" s="10">
        <f t="shared" si="191"/>
        <v>1094.1718000000001</v>
      </c>
      <c r="R2117" s="10">
        <f t="shared" si="192"/>
        <v>547.08590000000004</v>
      </c>
      <c r="S2117" s="10">
        <f t="shared" si="193"/>
        <v>1641.2577000000001</v>
      </c>
      <c r="T2117" s="10">
        <f t="shared" si="194"/>
        <v>1641.2577000000001</v>
      </c>
      <c r="U2117" s="8" t="str">
        <f t="shared" si="195"/>
        <v>Mon</v>
      </c>
      <c r="V2117" s="8" t="str">
        <f t="shared" si="196"/>
        <v>Thu</v>
      </c>
    </row>
    <row r="2118" spans="1:22" hidden="1" x14ac:dyDescent="0.25">
      <c r="A2118" t="s">
        <v>156</v>
      </c>
      <c r="B2118" t="s">
        <v>38</v>
      </c>
      <c r="C2118" t="s">
        <v>6</v>
      </c>
      <c r="D2118" t="s">
        <v>13</v>
      </c>
      <c r="F2118" s="5">
        <v>44123</v>
      </c>
      <c r="G2118" s="5">
        <v>44160</v>
      </c>
      <c r="H2118" s="2">
        <v>1</v>
      </c>
      <c r="I2118" s="6"/>
      <c r="J2118" s="6"/>
      <c r="K2118" s="7">
        <v>1</v>
      </c>
      <c r="L2118" s="7">
        <v>120</v>
      </c>
      <c r="M2118" t="s">
        <v>19</v>
      </c>
      <c r="N2118" s="16">
        <f>POWER(SQRT(WorkOrders2710[[#This Row],[WorkDate]]-WorkOrders2710[[#This Row],[ReqDate]]),2)</f>
        <v>36.999999999999993</v>
      </c>
      <c r="O2118" s="8">
        <f t="array" ref="O2118">INDEX(TechRate,MATCH(H2118,TechNum,0))</f>
        <v>80</v>
      </c>
      <c r="P2118" s="10">
        <f>WorkOrders2710[[#This Row],[Techs]]*(WorkOrders2710[[#This Row],[PartsCost]]*WorkOrders2710[[#This Row],[LbrHrs]])</f>
        <v>120</v>
      </c>
      <c r="Q2118" s="10">
        <f t="shared" si="191"/>
        <v>120</v>
      </c>
      <c r="R2118" s="10">
        <f t="shared" si="192"/>
        <v>120</v>
      </c>
      <c r="S2118" s="10">
        <f t="shared" si="193"/>
        <v>240</v>
      </c>
      <c r="T2118" s="10">
        <f t="shared" si="194"/>
        <v>240</v>
      </c>
      <c r="U2118" s="8" t="str">
        <f t="shared" si="195"/>
        <v>Mon</v>
      </c>
      <c r="V2118" s="8" t="str">
        <f t="shared" si="196"/>
        <v>Wed</v>
      </c>
    </row>
    <row r="2119" spans="1:22" hidden="1" x14ac:dyDescent="0.25">
      <c r="A2119" t="s">
        <v>157</v>
      </c>
      <c r="B2119" t="s">
        <v>35</v>
      </c>
      <c r="C2119" t="s">
        <v>8</v>
      </c>
      <c r="D2119" t="s">
        <v>12</v>
      </c>
      <c r="F2119" s="5">
        <v>44124</v>
      </c>
      <c r="G2119" s="5">
        <v>44134</v>
      </c>
      <c r="H2119" s="2">
        <v>1</v>
      </c>
      <c r="I2119" s="6"/>
      <c r="J2119" s="6"/>
      <c r="K2119" s="7">
        <v>0.25</v>
      </c>
      <c r="L2119" s="7">
        <v>30</v>
      </c>
      <c r="M2119" t="s">
        <v>17</v>
      </c>
      <c r="N2119" s="16">
        <f>POWER(SQRT(WorkOrders2710[[#This Row],[WorkDate]]-WorkOrders2710[[#This Row],[ReqDate]]),2)</f>
        <v>10.000000000000002</v>
      </c>
      <c r="O2119" s="8">
        <f t="array" ref="O2119">INDEX(TechRate,MATCH(H2119,TechNum,0))</f>
        <v>80</v>
      </c>
      <c r="P2119" s="10">
        <f>WorkOrders2710[[#This Row],[Techs]]*(WorkOrders2710[[#This Row],[PartsCost]]*WorkOrders2710[[#This Row],[LbrHrs]])</f>
        <v>7.5</v>
      </c>
      <c r="Q2119" s="10">
        <f t="shared" si="191"/>
        <v>7.5</v>
      </c>
      <c r="R2119" s="10">
        <f t="shared" si="192"/>
        <v>30</v>
      </c>
      <c r="S2119" s="10">
        <f t="shared" si="193"/>
        <v>37.5</v>
      </c>
      <c r="T2119" s="10">
        <f t="shared" si="194"/>
        <v>37.5</v>
      </c>
      <c r="U2119" s="8" t="str">
        <f t="shared" si="195"/>
        <v>Tue</v>
      </c>
      <c r="V2119" s="8" t="str">
        <f t="shared" si="196"/>
        <v>Fri</v>
      </c>
    </row>
    <row r="2120" spans="1:22" hidden="1" x14ac:dyDescent="0.25">
      <c r="A2120" t="s">
        <v>158</v>
      </c>
      <c r="B2120" t="s">
        <v>34</v>
      </c>
      <c r="C2120" t="s">
        <v>44</v>
      </c>
      <c r="D2120" t="s">
        <v>11</v>
      </c>
      <c r="F2120" s="5">
        <v>44124</v>
      </c>
      <c r="G2120" s="5">
        <v>44159</v>
      </c>
      <c r="H2120" s="2">
        <v>1</v>
      </c>
      <c r="I2120" s="6"/>
      <c r="J2120" s="6"/>
      <c r="K2120" s="7">
        <v>0.25</v>
      </c>
      <c r="L2120" s="7">
        <v>27.63</v>
      </c>
      <c r="M2120" t="s">
        <v>17</v>
      </c>
      <c r="N2120" s="16">
        <f>POWER(SQRT(WorkOrders2710[[#This Row],[WorkDate]]-WorkOrders2710[[#This Row],[ReqDate]]),2)</f>
        <v>35</v>
      </c>
      <c r="O2120" s="8">
        <f t="array" ref="O2120">INDEX(TechRate,MATCH(H2120,TechNum,0))</f>
        <v>80</v>
      </c>
      <c r="P2120" s="10">
        <f>WorkOrders2710[[#This Row],[Techs]]*(WorkOrders2710[[#This Row],[PartsCost]]*WorkOrders2710[[#This Row],[LbrHrs]])</f>
        <v>6.9074999999999998</v>
      </c>
      <c r="Q2120" s="10">
        <f t="shared" si="191"/>
        <v>6.9074999999999998</v>
      </c>
      <c r="R2120" s="10">
        <f t="shared" si="192"/>
        <v>27.63</v>
      </c>
      <c r="S2120" s="10">
        <f t="shared" si="193"/>
        <v>34.537500000000001</v>
      </c>
      <c r="T2120" s="10">
        <f t="shared" si="194"/>
        <v>34.537500000000001</v>
      </c>
      <c r="U2120" s="8" t="str">
        <f t="shared" si="195"/>
        <v>Tue</v>
      </c>
      <c r="V2120" s="8" t="str">
        <f t="shared" si="196"/>
        <v>Tue</v>
      </c>
    </row>
    <row r="2121" spans="1:22" hidden="1" x14ac:dyDescent="0.25">
      <c r="A2121" t="s">
        <v>159</v>
      </c>
      <c r="B2121" t="s">
        <v>34</v>
      </c>
      <c r="C2121" t="s">
        <v>9</v>
      </c>
      <c r="D2121" t="s">
        <v>12</v>
      </c>
      <c r="F2121" s="5">
        <v>44125</v>
      </c>
      <c r="G2121" s="5">
        <v>44141</v>
      </c>
      <c r="H2121" s="2">
        <v>1</v>
      </c>
      <c r="I2121" s="6"/>
      <c r="J2121" s="6"/>
      <c r="K2121" s="7">
        <v>0.25</v>
      </c>
      <c r="L2121" s="7">
        <v>250.42240000000001</v>
      </c>
      <c r="M2121" t="s">
        <v>17</v>
      </c>
      <c r="N2121" s="16">
        <f>POWER(SQRT(WorkOrders2710[[#This Row],[WorkDate]]-WorkOrders2710[[#This Row],[ReqDate]]),2)</f>
        <v>16</v>
      </c>
      <c r="O2121" s="8">
        <f t="array" ref="O2121">INDEX(TechRate,MATCH(H2121,TechNum,0))</f>
        <v>80</v>
      </c>
      <c r="P2121" s="10">
        <f>WorkOrders2710[[#This Row],[Techs]]*(WorkOrders2710[[#This Row],[PartsCost]]*WorkOrders2710[[#This Row],[LbrHrs]])</f>
        <v>62.605600000000003</v>
      </c>
      <c r="Q2121" s="10">
        <f t="shared" si="191"/>
        <v>62.605600000000003</v>
      </c>
      <c r="R2121" s="10">
        <f t="shared" si="192"/>
        <v>250.42240000000001</v>
      </c>
      <c r="S2121" s="10">
        <f t="shared" si="193"/>
        <v>313.02800000000002</v>
      </c>
      <c r="T2121" s="10">
        <f t="shared" si="194"/>
        <v>313.02800000000002</v>
      </c>
      <c r="U2121" s="8" t="str">
        <f t="shared" si="195"/>
        <v>Wed</v>
      </c>
      <c r="V2121" s="8" t="str">
        <f t="shared" si="196"/>
        <v>Fri</v>
      </c>
    </row>
    <row r="2122" spans="1:22" hidden="1" x14ac:dyDescent="0.25">
      <c r="A2122" t="s">
        <v>160</v>
      </c>
      <c r="B2122" t="s">
        <v>35</v>
      </c>
      <c r="C2122" t="s">
        <v>6</v>
      </c>
      <c r="D2122" t="s">
        <v>12</v>
      </c>
      <c r="E2122" t="s">
        <v>3</v>
      </c>
      <c r="F2122" s="5">
        <v>44125</v>
      </c>
      <c r="G2122" s="5">
        <v>44140</v>
      </c>
      <c r="H2122" s="2">
        <v>2</v>
      </c>
      <c r="I2122" s="6"/>
      <c r="J2122" s="6"/>
      <c r="K2122" s="7">
        <v>0.25</v>
      </c>
      <c r="L2122" s="7">
        <v>38.698399999999999</v>
      </c>
      <c r="M2122" t="s">
        <v>18</v>
      </c>
      <c r="N2122" s="16">
        <f>POWER(SQRT(WorkOrders2710[[#This Row],[WorkDate]]-WorkOrders2710[[#This Row],[ReqDate]]),2)</f>
        <v>15.000000000000002</v>
      </c>
      <c r="O2122" s="8">
        <f t="array" ref="O2122">INDEX(TechRate,MATCH(H2122,TechNum,0))</f>
        <v>140</v>
      </c>
      <c r="P2122" s="10">
        <f>WorkOrders2710[[#This Row],[Techs]]*(WorkOrders2710[[#This Row],[PartsCost]]*WorkOrders2710[[#This Row],[LbrHrs]])</f>
        <v>19.3492</v>
      </c>
      <c r="Q2122" s="10">
        <f t="shared" si="191"/>
        <v>19.3492</v>
      </c>
      <c r="R2122" s="10">
        <f t="shared" si="192"/>
        <v>38.698399999999999</v>
      </c>
      <c r="S2122" s="10">
        <f t="shared" si="193"/>
        <v>58.047600000000003</v>
      </c>
      <c r="T2122" s="10">
        <f t="shared" si="194"/>
        <v>58.047600000000003</v>
      </c>
      <c r="U2122" s="8" t="str">
        <f t="shared" si="195"/>
        <v>Wed</v>
      </c>
      <c r="V2122" s="8" t="str">
        <f t="shared" si="196"/>
        <v>Thu</v>
      </c>
    </row>
    <row r="2123" spans="1:22" hidden="1" x14ac:dyDescent="0.25">
      <c r="A2123" t="s">
        <v>161</v>
      </c>
      <c r="B2123" t="s">
        <v>35</v>
      </c>
      <c r="C2123" t="s">
        <v>44</v>
      </c>
      <c r="D2123" t="s">
        <v>12</v>
      </c>
      <c r="E2123" t="s">
        <v>3</v>
      </c>
      <c r="F2123" s="5">
        <v>44125</v>
      </c>
      <c r="G2123" s="5">
        <v>44145</v>
      </c>
      <c r="H2123" s="2">
        <v>2</v>
      </c>
      <c r="I2123" s="6"/>
      <c r="J2123" s="6"/>
      <c r="K2123" s="7">
        <v>0.25</v>
      </c>
      <c r="L2123" s="7">
        <v>33</v>
      </c>
      <c r="M2123" t="s">
        <v>17</v>
      </c>
      <c r="N2123" s="16">
        <f>POWER(SQRT(WorkOrders2710[[#This Row],[WorkDate]]-WorkOrders2710[[#This Row],[ReqDate]]),2)</f>
        <v>20.000000000000004</v>
      </c>
      <c r="O2123" s="8">
        <f t="array" ref="O2123">INDEX(TechRate,MATCH(H2123,TechNum,0))</f>
        <v>140</v>
      </c>
      <c r="P2123" s="10">
        <f>WorkOrders2710[[#This Row],[Techs]]*(WorkOrders2710[[#This Row],[PartsCost]]*WorkOrders2710[[#This Row],[LbrHrs]])</f>
        <v>16.5</v>
      </c>
      <c r="Q2123" s="10">
        <f t="shared" si="191"/>
        <v>16.5</v>
      </c>
      <c r="R2123" s="10">
        <f t="shared" si="192"/>
        <v>33</v>
      </c>
      <c r="S2123" s="10">
        <f t="shared" si="193"/>
        <v>49.5</v>
      </c>
      <c r="T2123" s="10">
        <f t="shared" si="194"/>
        <v>49.5</v>
      </c>
      <c r="U2123" s="8" t="str">
        <f t="shared" si="195"/>
        <v>Wed</v>
      </c>
      <c r="V2123" s="8" t="str">
        <f t="shared" si="196"/>
        <v>Tue</v>
      </c>
    </row>
    <row r="2124" spans="1:22" hidden="1" x14ac:dyDescent="0.25">
      <c r="A2124" t="s">
        <v>162</v>
      </c>
      <c r="B2124" t="s">
        <v>38</v>
      </c>
      <c r="C2124" t="s">
        <v>6</v>
      </c>
      <c r="D2124" t="s">
        <v>12</v>
      </c>
      <c r="F2124" s="5">
        <v>44125</v>
      </c>
      <c r="G2124" s="5">
        <v>44145</v>
      </c>
      <c r="H2124" s="2">
        <v>1</v>
      </c>
      <c r="I2124" s="6"/>
      <c r="J2124" s="6"/>
      <c r="K2124" s="7">
        <v>0.75</v>
      </c>
      <c r="L2124" s="7">
        <v>126</v>
      </c>
      <c r="M2124" t="s">
        <v>19</v>
      </c>
      <c r="N2124" s="16">
        <f>POWER(SQRT(WorkOrders2710[[#This Row],[WorkDate]]-WorkOrders2710[[#This Row],[ReqDate]]),2)</f>
        <v>20.000000000000004</v>
      </c>
      <c r="O2124" s="8">
        <f t="array" ref="O2124">INDEX(TechRate,MATCH(H2124,TechNum,0))</f>
        <v>80</v>
      </c>
      <c r="P2124" s="10">
        <f>WorkOrders2710[[#This Row],[Techs]]*(WorkOrders2710[[#This Row],[PartsCost]]*WorkOrders2710[[#This Row],[LbrHrs]])</f>
        <v>94.5</v>
      </c>
      <c r="Q2124" s="10">
        <f t="shared" si="191"/>
        <v>94.5</v>
      </c>
      <c r="R2124" s="10">
        <f t="shared" si="192"/>
        <v>126</v>
      </c>
      <c r="S2124" s="10">
        <f t="shared" si="193"/>
        <v>220.5</v>
      </c>
      <c r="T2124" s="10">
        <f t="shared" si="194"/>
        <v>220.5</v>
      </c>
      <c r="U2124" s="8" t="str">
        <f t="shared" si="195"/>
        <v>Wed</v>
      </c>
      <c r="V2124" s="8" t="str">
        <f t="shared" si="196"/>
        <v>Tue</v>
      </c>
    </row>
    <row r="2125" spans="1:22" x14ac:dyDescent="0.25">
      <c r="A2125" t="s">
        <v>163</v>
      </c>
      <c r="B2125" t="s">
        <v>34</v>
      </c>
      <c r="C2125" t="s">
        <v>6</v>
      </c>
      <c r="D2125" t="s">
        <v>1</v>
      </c>
      <c r="F2125" s="5">
        <v>44125</v>
      </c>
      <c r="G2125" s="5">
        <v>44221</v>
      </c>
      <c r="H2125" s="2">
        <v>2</v>
      </c>
      <c r="I2125" s="6"/>
      <c r="J2125" s="6"/>
      <c r="K2125" s="7">
        <v>8.25</v>
      </c>
      <c r="L2125" s="7">
        <v>4946</v>
      </c>
      <c r="M2125" t="s">
        <v>17</v>
      </c>
      <c r="N2125" s="16">
        <f>POWER(SQRT(WorkOrders2710[[#This Row],[WorkDate]]-WorkOrders2710[[#This Row],[ReqDate]]),2)</f>
        <v>95.999999999999986</v>
      </c>
      <c r="O2125" s="8">
        <f t="array" ref="O2125">INDEX(TechRate,MATCH(H2125,TechNum,0))</f>
        <v>140</v>
      </c>
      <c r="P2125" s="10">
        <f>WorkOrders2710[[#This Row],[Techs]]*(WorkOrders2710[[#This Row],[PartsCost]]*WorkOrders2710[[#This Row],[LbrHrs]])</f>
        <v>81609</v>
      </c>
      <c r="Q2125" s="10">
        <f t="shared" si="191"/>
        <v>81609</v>
      </c>
      <c r="R2125" s="10">
        <f t="shared" si="192"/>
        <v>4946</v>
      </c>
      <c r="S2125" s="10">
        <f t="shared" si="193"/>
        <v>86555</v>
      </c>
      <c r="T2125" s="10">
        <f t="shared" si="194"/>
        <v>86555</v>
      </c>
      <c r="U2125" s="8" t="str">
        <f t="shared" si="195"/>
        <v>Wed</v>
      </c>
      <c r="V2125" s="8" t="str">
        <f t="shared" si="196"/>
        <v>Mon</v>
      </c>
    </row>
    <row r="2126" spans="1:22" hidden="1" x14ac:dyDescent="0.25">
      <c r="A2126" t="s">
        <v>164</v>
      </c>
      <c r="B2126" t="s">
        <v>39</v>
      </c>
      <c r="C2126" t="s">
        <v>6</v>
      </c>
      <c r="D2126" t="s">
        <v>13</v>
      </c>
      <c r="E2126" t="s">
        <v>3</v>
      </c>
      <c r="F2126" s="5">
        <v>44126</v>
      </c>
      <c r="G2126" s="5">
        <v>44133</v>
      </c>
      <c r="H2126" s="2">
        <v>1</v>
      </c>
      <c r="I2126" s="6"/>
      <c r="J2126" s="6"/>
      <c r="K2126" s="7">
        <v>0.5</v>
      </c>
      <c r="L2126" s="7">
        <v>33.544699999999999</v>
      </c>
      <c r="M2126" t="s">
        <v>19</v>
      </c>
      <c r="N2126" s="16">
        <f>POWER(SQRT(WorkOrders2710[[#This Row],[WorkDate]]-WorkOrders2710[[#This Row],[ReqDate]]),2)</f>
        <v>7.0000000000000009</v>
      </c>
      <c r="O2126" s="8">
        <f t="array" ref="O2126">INDEX(TechRate,MATCH(H2126,TechNum,0))</f>
        <v>80</v>
      </c>
      <c r="P2126" s="10">
        <f>WorkOrders2710[[#This Row],[Techs]]*(WorkOrders2710[[#This Row],[PartsCost]]*WorkOrders2710[[#This Row],[LbrHrs]])</f>
        <v>16.772349999999999</v>
      </c>
      <c r="Q2126" s="10">
        <f t="shared" si="191"/>
        <v>16.772349999999999</v>
      </c>
      <c r="R2126" s="10">
        <f t="shared" si="192"/>
        <v>33.544699999999999</v>
      </c>
      <c r="S2126" s="10">
        <f t="shared" si="193"/>
        <v>50.317049999999995</v>
      </c>
      <c r="T2126" s="10">
        <f t="shared" si="194"/>
        <v>50.317049999999995</v>
      </c>
      <c r="U2126" s="8" t="str">
        <f t="shared" si="195"/>
        <v>Thu</v>
      </c>
      <c r="V2126" s="8" t="str">
        <f t="shared" si="196"/>
        <v>Thu</v>
      </c>
    </row>
    <row r="2127" spans="1:22" hidden="1" x14ac:dyDescent="0.25">
      <c r="A2127" t="s">
        <v>165</v>
      </c>
      <c r="B2127" t="s">
        <v>34</v>
      </c>
      <c r="C2127" t="s">
        <v>9</v>
      </c>
      <c r="D2127" t="s">
        <v>12</v>
      </c>
      <c r="F2127" s="5">
        <v>44128</v>
      </c>
      <c r="G2127" s="5">
        <v>44141</v>
      </c>
      <c r="H2127" s="2">
        <v>2</v>
      </c>
      <c r="I2127" s="6"/>
      <c r="J2127" s="6"/>
      <c r="K2127" s="7">
        <v>0.25</v>
      </c>
      <c r="L2127" s="7">
        <v>25</v>
      </c>
      <c r="M2127" t="s">
        <v>17</v>
      </c>
      <c r="N2127" s="16">
        <f>POWER(SQRT(WorkOrders2710[[#This Row],[WorkDate]]-WorkOrders2710[[#This Row],[ReqDate]]),2)</f>
        <v>12.999999999999998</v>
      </c>
      <c r="O2127" s="8">
        <f t="array" ref="O2127">INDEX(TechRate,MATCH(H2127,TechNum,0))</f>
        <v>140</v>
      </c>
      <c r="P2127" s="10">
        <f>WorkOrders2710[[#This Row],[Techs]]*(WorkOrders2710[[#This Row],[PartsCost]]*WorkOrders2710[[#This Row],[LbrHrs]])</f>
        <v>12.5</v>
      </c>
      <c r="Q2127" s="10">
        <f t="shared" si="191"/>
        <v>12.5</v>
      </c>
      <c r="R2127" s="10">
        <f t="shared" si="192"/>
        <v>25</v>
      </c>
      <c r="S2127" s="10">
        <f t="shared" si="193"/>
        <v>37.5</v>
      </c>
      <c r="T2127" s="10">
        <f t="shared" si="194"/>
        <v>37.5</v>
      </c>
      <c r="U2127" s="8" t="str">
        <f t="shared" si="195"/>
        <v>Sat</v>
      </c>
      <c r="V2127" s="8" t="str">
        <f t="shared" si="196"/>
        <v>Fri</v>
      </c>
    </row>
    <row r="2128" spans="1:22" hidden="1" x14ac:dyDescent="0.25">
      <c r="A2128" t="s">
        <v>166</v>
      </c>
      <c r="B2128" t="s">
        <v>38</v>
      </c>
      <c r="C2128" t="s">
        <v>8</v>
      </c>
      <c r="D2128" t="s">
        <v>12</v>
      </c>
      <c r="F2128" s="5">
        <v>44128</v>
      </c>
      <c r="G2128" s="5">
        <v>44159</v>
      </c>
      <c r="H2128" s="2">
        <v>1</v>
      </c>
      <c r="I2128" s="6"/>
      <c r="J2128" s="6"/>
      <c r="K2128" s="7">
        <v>0.5</v>
      </c>
      <c r="L2128" s="7">
        <v>28.5868</v>
      </c>
      <c r="M2128" t="s">
        <v>17</v>
      </c>
      <c r="N2128" s="16">
        <f>POWER(SQRT(WorkOrders2710[[#This Row],[WorkDate]]-WorkOrders2710[[#This Row],[ReqDate]]),2)</f>
        <v>30.999999999999996</v>
      </c>
      <c r="O2128" s="8">
        <f t="array" ref="O2128">INDEX(TechRate,MATCH(H2128,TechNum,0))</f>
        <v>80</v>
      </c>
      <c r="P2128" s="10">
        <f>WorkOrders2710[[#This Row],[Techs]]*(WorkOrders2710[[#This Row],[PartsCost]]*WorkOrders2710[[#This Row],[LbrHrs]])</f>
        <v>14.2934</v>
      </c>
      <c r="Q2128" s="10">
        <f t="shared" si="191"/>
        <v>14.2934</v>
      </c>
      <c r="R2128" s="10">
        <f t="shared" si="192"/>
        <v>28.5868</v>
      </c>
      <c r="S2128" s="10">
        <f t="shared" si="193"/>
        <v>42.880200000000002</v>
      </c>
      <c r="T2128" s="10">
        <f t="shared" si="194"/>
        <v>42.880200000000002</v>
      </c>
      <c r="U2128" s="8" t="str">
        <f t="shared" si="195"/>
        <v>Sat</v>
      </c>
      <c r="V2128" s="8" t="str">
        <f t="shared" si="196"/>
        <v>Tue</v>
      </c>
    </row>
    <row r="2129" spans="1:22" hidden="1" x14ac:dyDescent="0.25">
      <c r="A2129" t="s">
        <v>167</v>
      </c>
      <c r="B2129" t="s">
        <v>38</v>
      </c>
      <c r="C2129" t="s">
        <v>9</v>
      </c>
      <c r="D2129" t="s">
        <v>13</v>
      </c>
      <c r="F2129" s="5">
        <v>44128</v>
      </c>
      <c r="G2129" s="5">
        <v>44179</v>
      </c>
      <c r="H2129" s="2">
        <v>2</v>
      </c>
      <c r="I2129" s="6"/>
      <c r="J2129" s="6"/>
      <c r="K2129" s="7">
        <v>2.5</v>
      </c>
      <c r="L2129" s="7">
        <v>213.48050000000001</v>
      </c>
      <c r="M2129" t="s">
        <v>17</v>
      </c>
      <c r="N2129" s="16">
        <f>POWER(SQRT(WorkOrders2710[[#This Row],[WorkDate]]-WorkOrders2710[[#This Row],[ReqDate]]),2)</f>
        <v>51.000000000000007</v>
      </c>
      <c r="O2129" s="8">
        <f t="array" ref="O2129">INDEX(TechRate,MATCH(H2129,TechNum,0))</f>
        <v>140</v>
      </c>
      <c r="P2129" s="10">
        <f>WorkOrders2710[[#This Row],[Techs]]*(WorkOrders2710[[#This Row],[PartsCost]]*WorkOrders2710[[#This Row],[LbrHrs]])</f>
        <v>1067.4025000000001</v>
      </c>
      <c r="Q2129" s="10">
        <f t="shared" si="191"/>
        <v>1067.4025000000001</v>
      </c>
      <c r="R2129" s="10">
        <f t="shared" si="192"/>
        <v>213.48050000000001</v>
      </c>
      <c r="S2129" s="10">
        <f t="shared" si="193"/>
        <v>1280.8830000000003</v>
      </c>
      <c r="T2129" s="10">
        <f t="shared" si="194"/>
        <v>1280.8830000000003</v>
      </c>
      <c r="U2129" s="8" t="str">
        <f t="shared" si="195"/>
        <v>Sat</v>
      </c>
      <c r="V2129" s="8" t="str">
        <f t="shared" si="196"/>
        <v>Mon</v>
      </c>
    </row>
    <row r="2130" spans="1:22" hidden="1" x14ac:dyDescent="0.25">
      <c r="A2130" t="s">
        <v>168</v>
      </c>
      <c r="B2130" t="s">
        <v>38</v>
      </c>
      <c r="C2130" t="s">
        <v>8</v>
      </c>
      <c r="D2130" t="s">
        <v>12</v>
      </c>
      <c r="F2130" s="5">
        <v>44130</v>
      </c>
      <c r="G2130" s="5">
        <v>44131</v>
      </c>
      <c r="H2130" s="2">
        <v>1</v>
      </c>
      <c r="I2130" s="6"/>
      <c r="J2130" s="6"/>
      <c r="K2130" s="7">
        <v>0.5</v>
      </c>
      <c r="L2130" s="7">
        <v>83.441299999999998</v>
      </c>
      <c r="M2130" t="s">
        <v>17</v>
      </c>
      <c r="N2130" s="16">
        <f>POWER(SQRT(WorkOrders2710[[#This Row],[WorkDate]]-WorkOrders2710[[#This Row],[ReqDate]]),2)</f>
        <v>1</v>
      </c>
      <c r="O2130" s="8">
        <f t="array" ref="O2130">INDEX(TechRate,MATCH(H2130,TechNum,0))</f>
        <v>80</v>
      </c>
      <c r="P2130" s="10">
        <f>WorkOrders2710[[#This Row],[Techs]]*(WorkOrders2710[[#This Row],[PartsCost]]*WorkOrders2710[[#This Row],[LbrHrs]])</f>
        <v>41.720649999999999</v>
      </c>
      <c r="Q2130" s="10">
        <f t="shared" si="191"/>
        <v>41.720649999999999</v>
      </c>
      <c r="R2130" s="10">
        <f t="shared" si="192"/>
        <v>83.441299999999998</v>
      </c>
      <c r="S2130" s="10">
        <f t="shared" si="193"/>
        <v>125.16194999999999</v>
      </c>
      <c r="T2130" s="10">
        <f t="shared" si="194"/>
        <v>125.16194999999999</v>
      </c>
      <c r="U2130" s="8" t="str">
        <f t="shared" si="195"/>
        <v>Mon</v>
      </c>
      <c r="V2130" s="8" t="str">
        <f t="shared" si="196"/>
        <v>Tue</v>
      </c>
    </row>
    <row r="2131" spans="1:22" hidden="1" x14ac:dyDescent="0.25">
      <c r="A2131" t="s">
        <v>169</v>
      </c>
      <c r="B2131" t="s">
        <v>39</v>
      </c>
      <c r="C2131" t="s">
        <v>8</v>
      </c>
      <c r="D2131" t="s">
        <v>2</v>
      </c>
      <c r="F2131" s="5">
        <v>44130</v>
      </c>
      <c r="G2131" s="5">
        <v>44152</v>
      </c>
      <c r="H2131" s="2">
        <v>2</v>
      </c>
      <c r="I2131" s="6"/>
      <c r="J2131" s="6"/>
      <c r="K2131" s="7">
        <v>1</v>
      </c>
      <c r="L2131" s="7">
        <v>25</v>
      </c>
      <c r="M2131" t="s">
        <v>18</v>
      </c>
      <c r="N2131" s="16">
        <f>POWER(SQRT(WorkOrders2710[[#This Row],[WorkDate]]-WorkOrders2710[[#This Row],[ReqDate]]),2)</f>
        <v>22</v>
      </c>
      <c r="O2131" s="8">
        <f t="array" ref="O2131">INDEX(TechRate,MATCH(H2131,TechNum,0))</f>
        <v>140</v>
      </c>
      <c r="P2131" s="10">
        <f>WorkOrders2710[[#This Row],[Techs]]*(WorkOrders2710[[#This Row],[PartsCost]]*WorkOrders2710[[#This Row],[LbrHrs]])</f>
        <v>50</v>
      </c>
      <c r="Q2131" s="10">
        <f t="shared" si="191"/>
        <v>50</v>
      </c>
      <c r="R2131" s="10">
        <f t="shared" si="192"/>
        <v>25</v>
      </c>
      <c r="S2131" s="10">
        <f t="shared" si="193"/>
        <v>75</v>
      </c>
      <c r="T2131" s="10">
        <f t="shared" si="194"/>
        <v>75</v>
      </c>
      <c r="U2131" s="8" t="str">
        <f t="shared" si="195"/>
        <v>Mon</v>
      </c>
      <c r="V2131" s="8" t="str">
        <f t="shared" si="196"/>
        <v>Tue</v>
      </c>
    </row>
    <row r="2132" spans="1:22" hidden="1" x14ac:dyDescent="0.25">
      <c r="A2132" t="s">
        <v>170</v>
      </c>
      <c r="B2132" t="s">
        <v>37</v>
      </c>
      <c r="C2132" t="s">
        <v>43</v>
      </c>
      <c r="D2132" t="s">
        <v>12</v>
      </c>
      <c r="F2132" s="5">
        <v>44131</v>
      </c>
      <c r="G2132" s="5">
        <v>44152</v>
      </c>
      <c r="H2132" s="2">
        <v>1</v>
      </c>
      <c r="I2132" s="6"/>
      <c r="J2132" s="6"/>
      <c r="K2132" s="7">
        <v>0.25</v>
      </c>
      <c r="L2132" s="7">
        <v>67.961500000000001</v>
      </c>
      <c r="M2132" t="s">
        <v>17</v>
      </c>
      <c r="N2132" s="16">
        <f>POWER(SQRT(WorkOrders2710[[#This Row],[WorkDate]]-WorkOrders2710[[#This Row],[ReqDate]]),2)</f>
        <v>21</v>
      </c>
      <c r="O2132" s="8">
        <f t="array" ref="O2132">INDEX(TechRate,MATCH(H2132,TechNum,0))</f>
        <v>80</v>
      </c>
      <c r="P2132" s="10">
        <f>WorkOrders2710[[#This Row],[Techs]]*(WorkOrders2710[[#This Row],[PartsCost]]*WorkOrders2710[[#This Row],[LbrHrs]])</f>
        <v>16.990375</v>
      </c>
      <c r="Q2132" s="10">
        <f t="shared" si="191"/>
        <v>16.990375</v>
      </c>
      <c r="R2132" s="10">
        <f t="shared" si="192"/>
        <v>67.961500000000001</v>
      </c>
      <c r="S2132" s="10">
        <f t="shared" si="193"/>
        <v>84.951875000000001</v>
      </c>
      <c r="T2132" s="10">
        <f t="shared" si="194"/>
        <v>84.951875000000001</v>
      </c>
      <c r="U2132" s="8" t="str">
        <f t="shared" si="195"/>
        <v>Tue</v>
      </c>
      <c r="V2132" s="8" t="str">
        <f t="shared" si="196"/>
        <v>Tue</v>
      </c>
    </row>
    <row r="2133" spans="1:22" hidden="1" x14ac:dyDescent="0.25">
      <c r="A2133" t="s">
        <v>171</v>
      </c>
      <c r="B2133" t="s">
        <v>38</v>
      </c>
      <c r="C2133" t="s">
        <v>8</v>
      </c>
      <c r="D2133" t="s">
        <v>13</v>
      </c>
      <c r="F2133" s="5">
        <v>44131</v>
      </c>
      <c r="G2133" s="5">
        <v>44181</v>
      </c>
      <c r="H2133" s="2">
        <v>1</v>
      </c>
      <c r="I2133" s="6"/>
      <c r="J2133" s="6"/>
      <c r="K2133" s="7">
        <v>0.5</v>
      </c>
      <c r="L2133" s="7">
        <v>172.02</v>
      </c>
      <c r="M2133" t="s">
        <v>19</v>
      </c>
      <c r="N2133" s="16">
        <f>POWER(SQRT(WorkOrders2710[[#This Row],[WorkDate]]-WorkOrders2710[[#This Row],[ReqDate]]),2)</f>
        <v>50.000000000000007</v>
      </c>
      <c r="O2133" s="8">
        <f t="array" ref="O2133">INDEX(TechRate,MATCH(H2133,TechNum,0))</f>
        <v>80</v>
      </c>
      <c r="P2133" s="10">
        <f>WorkOrders2710[[#This Row],[Techs]]*(WorkOrders2710[[#This Row],[PartsCost]]*WorkOrders2710[[#This Row],[LbrHrs]])</f>
        <v>86.01</v>
      </c>
      <c r="Q2133" s="10">
        <f t="shared" si="191"/>
        <v>86.01</v>
      </c>
      <c r="R2133" s="10">
        <f t="shared" si="192"/>
        <v>172.02</v>
      </c>
      <c r="S2133" s="10">
        <f t="shared" si="193"/>
        <v>258.03000000000003</v>
      </c>
      <c r="T2133" s="10">
        <f t="shared" si="194"/>
        <v>258.03000000000003</v>
      </c>
      <c r="U2133" s="8" t="str">
        <f t="shared" si="195"/>
        <v>Tue</v>
      </c>
      <c r="V2133" s="8" t="str">
        <f t="shared" si="196"/>
        <v>Wed</v>
      </c>
    </row>
    <row r="2134" spans="1:22" hidden="1" x14ac:dyDescent="0.25">
      <c r="A2134" t="s">
        <v>172</v>
      </c>
      <c r="B2134" t="s">
        <v>37</v>
      </c>
      <c r="C2134" t="s">
        <v>43</v>
      </c>
      <c r="D2134" t="s">
        <v>12</v>
      </c>
      <c r="F2134" s="5">
        <v>44131</v>
      </c>
      <c r="G2134" s="5">
        <v>44212</v>
      </c>
      <c r="H2134" s="2">
        <v>1</v>
      </c>
      <c r="I2134" s="6"/>
      <c r="J2134" s="6"/>
      <c r="K2134" s="7">
        <v>0.5</v>
      </c>
      <c r="L2134" s="7">
        <v>102.22320000000001</v>
      </c>
      <c r="M2134" t="s">
        <v>19</v>
      </c>
      <c r="N2134" s="16">
        <f>POWER(SQRT(WorkOrders2710[[#This Row],[WorkDate]]-WorkOrders2710[[#This Row],[ReqDate]]),2)</f>
        <v>81</v>
      </c>
      <c r="O2134" s="8">
        <f t="array" ref="O2134">INDEX(TechRate,MATCH(H2134,TechNum,0))</f>
        <v>80</v>
      </c>
      <c r="P2134" s="10">
        <f>WorkOrders2710[[#This Row],[Techs]]*(WorkOrders2710[[#This Row],[PartsCost]]*WorkOrders2710[[#This Row],[LbrHrs]])</f>
        <v>51.111600000000003</v>
      </c>
      <c r="Q2134" s="10">
        <f t="shared" si="191"/>
        <v>51.111600000000003</v>
      </c>
      <c r="R2134" s="10">
        <f t="shared" si="192"/>
        <v>102.22320000000001</v>
      </c>
      <c r="S2134" s="10">
        <f t="shared" si="193"/>
        <v>153.3348</v>
      </c>
      <c r="T2134" s="10">
        <f t="shared" si="194"/>
        <v>153.3348</v>
      </c>
      <c r="U2134" s="8" t="str">
        <f t="shared" si="195"/>
        <v>Tue</v>
      </c>
      <c r="V2134" s="8" t="str">
        <f t="shared" si="196"/>
        <v>Sat</v>
      </c>
    </row>
    <row r="2135" spans="1:22" hidden="1" x14ac:dyDescent="0.25">
      <c r="A2135" t="s">
        <v>173</v>
      </c>
      <c r="B2135" t="s">
        <v>37</v>
      </c>
      <c r="C2135" t="s">
        <v>43</v>
      </c>
      <c r="D2135" t="s">
        <v>13</v>
      </c>
      <c r="F2135" s="5">
        <v>44132</v>
      </c>
      <c r="G2135" s="5">
        <v>44165</v>
      </c>
      <c r="H2135" s="2">
        <v>1</v>
      </c>
      <c r="I2135" s="6"/>
      <c r="J2135" s="6"/>
      <c r="K2135" s="7">
        <v>0.5</v>
      </c>
      <c r="L2135" s="7">
        <v>373.55279999999999</v>
      </c>
      <c r="M2135" t="s">
        <v>17</v>
      </c>
      <c r="N2135" s="16">
        <f>POWER(SQRT(WorkOrders2710[[#This Row],[WorkDate]]-WorkOrders2710[[#This Row],[ReqDate]]),2)</f>
        <v>33</v>
      </c>
      <c r="O2135" s="8">
        <f t="array" ref="O2135">INDEX(TechRate,MATCH(H2135,TechNum,0))</f>
        <v>80</v>
      </c>
      <c r="P2135" s="10">
        <f>WorkOrders2710[[#This Row],[Techs]]*(WorkOrders2710[[#This Row],[PartsCost]]*WorkOrders2710[[#This Row],[LbrHrs]])</f>
        <v>186.7764</v>
      </c>
      <c r="Q2135" s="10">
        <f t="shared" si="191"/>
        <v>186.7764</v>
      </c>
      <c r="R2135" s="10">
        <f t="shared" si="192"/>
        <v>373.55279999999999</v>
      </c>
      <c r="S2135" s="10">
        <f t="shared" si="193"/>
        <v>560.32920000000001</v>
      </c>
      <c r="T2135" s="10">
        <f t="shared" si="194"/>
        <v>560.32920000000001</v>
      </c>
      <c r="U2135" s="8" t="str">
        <f t="shared" si="195"/>
        <v>Wed</v>
      </c>
      <c r="V2135" s="8" t="str">
        <f t="shared" si="196"/>
        <v>Mon</v>
      </c>
    </row>
    <row r="2136" spans="1:22" hidden="1" x14ac:dyDescent="0.25">
      <c r="A2136" t="s">
        <v>174</v>
      </c>
      <c r="B2136" t="s">
        <v>37</v>
      </c>
      <c r="C2136" t="s">
        <v>43</v>
      </c>
      <c r="D2136" t="s">
        <v>1</v>
      </c>
      <c r="F2136" s="5">
        <v>44132</v>
      </c>
      <c r="G2136" s="5">
        <v>44166</v>
      </c>
      <c r="H2136" s="2">
        <v>3</v>
      </c>
      <c r="I2136" s="6"/>
      <c r="J2136" s="6"/>
      <c r="K2136" s="7">
        <v>2.75</v>
      </c>
      <c r="L2136" s="7">
        <v>1249.0878</v>
      </c>
      <c r="M2136" t="s">
        <v>17</v>
      </c>
      <c r="N2136" s="16">
        <f>POWER(SQRT(WorkOrders2710[[#This Row],[WorkDate]]-WorkOrders2710[[#This Row],[ReqDate]]),2)</f>
        <v>34</v>
      </c>
      <c r="O2136" s="8">
        <f t="array" ref="O2136">INDEX(TechRate,MATCH(H2136,TechNum,0))</f>
        <v>195</v>
      </c>
      <c r="P2136" s="10">
        <f>WorkOrders2710[[#This Row],[Techs]]*(WorkOrders2710[[#This Row],[PartsCost]]*WorkOrders2710[[#This Row],[LbrHrs]])</f>
        <v>10304.97435</v>
      </c>
      <c r="Q2136" s="10">
        <f t="shared" si="191"/>
        <v>10304.97435</v>
      </c>
      <c r="R2136" s="10">
        <f t="shared" si="192"/>
        <v>1249.0878</v>
      </c>
      <c r="S2136" s="10">
        <f t="shared" si="193"/>
        <v>11554.06215</v>
      </c>
      <c r="T2136" s="10">
        <f t="shared" si="194"/>
        <v>11554.06215</v>
      </c>
      <c r="U2136" s="8" t="str">
        <f t="shared" si="195"/>
        <v>Wed</v>
      </c>
      <c r="V2136" s="8" t="str">
        <f t="shared" si="196"/>
        <v>Tue</v>
      </c>
    </row>
    <row r="2137" spans="1:22" hidden="1" x14ac:dyDescent="0.25">
      <c r="A2137" t="s">
        <v>175</v>
      </c>
      <c r="B2137" t="s">
        <v>35</v>
      </c>
      <c r="C2137" t="s">
        <v>8</v>
      </c>
      <c r="D2137" t="s">
        <v>11</v>
      </c>
      <c r="F2137" s="5">
        <v>44133</v>
      </c>
      <c r="G2137" s="5">
        <v>44141</v>
      </c>
      <c r="H2137" s="2">
        <v>1</v>
      </c>
      <c r="I2137" s="6"/>
      <c r="J2137" s="6"/>
      <c r="K2137" s="7">
        <v>0.25</v>
      </c>
      <c r="L2137" s="7">
        <v>240</v>
      </c>
      <c r="M2137" t="s">
        <v>17</v>
      </c>
      <c r="N2137" s="16">
        <f>POWER(SQRT(WorkOrders2710[[#This Row],[WorkDate]]-WorkOrders2710[[#This Row],[ReqDate]]),2)</f>
        <v>8.0000000000000018</v>
      </c>
      <c r="O2137" s="8">
        <f t="array" ref="O2137">INDEX(TechRate,MATCH(H2137,TechNum,0))</f>
        <v>80</v>
      </c>
      <c r="P2137" s="10">
        <f>WorkOrders2710[[#This Row],[Techs]]*(WorkOrders2710[[#This Row],[PartsCost]]*WorkOrders2710[[#This Row],[LbrHrs]])</f>
        <v>60</v>
      </c>
      <c r="Q2137" s="10">
        <f t="shared" ref="Q2137:Q2200" si="197">IF(I2137="Yes",0,P2137)</f>
        <v>60</v>
      </c>
      <c r="R2137" s="10">
        <f t="shared" ref="R2137:R2200" si="198">IF(J2137="Yes",0,L2137)</f>
        <v>240</v>
      </c>
      <c r="S2137" s="10">
        <f t="shared" ref="S2137:S2200" si="199">SUM(L2137,P2137)</f>
        <v>300</v>
      </c>
      <c r="T2137" s="10">
        <f t="shared" ref="T2137:T2200" si="200">SUM(Q2137,R2137)</f>
        <v>300</v>
      </c>
      <c r="U2137" s="8" t="str">
        <f t="shared" ref="U2137:U2200" si="201">TEXT(F2137,"ddd")</f>
        <v>Thu</v>
      </c>
      <c r="V2137" s="8" t="str">
        <f t="shared" ref="V2137:V2200" si="202">TEXT(G2137,"ddd")</f>
        <v>Fri</v>
      </c>
    </row>
    <row r="2138" spans="1:22" hidden="1" x14ac:dyDescent="0.25">
      <c r="A2138" t="s">
        <v>176</v>
      </c>
      <c r="B2138" t="s">
        <v>35</v>
      </c>
      <c r="C2138" t="s">
        <v>44</v>
      </c>
      <c r="D2138" t="s">
        <v>11</v>
      </c>
      <c r="F2138" s="5">
        <v>44133</v>
      </c>
      <c r="G2138" s="5">
        <v>44153</v>
      </c>
      <c r="H2138" s="2">
        <v>1</v>
      </c>
      <c r="I2138" s="6"/>
      <c r="J2138" s="6"/>
      <c r="K2138" s="7">
        <v>0.25</v>
      </c>
      <c r="L2138" s="7">
        <v>27</v>
      </c>
      <c r="M2138" t="s">
        <v>18</v>
      </c>
      <c r="N2138" s="16">
        <f>POWER(SQRT(WorkOrders2710[[#This Row],[WorkDate]]-WorkOrders2710[[#This Row],[ReqDate]]),2)</f>
        <v>20.000000000000004</v>
      </c>
      <c r="O2138" s="8">
        <f t="array" ref="O2138">INDEX(TechRate,MATCH(H2138,TechNum,0))</f>
        <v>80</v>
      </c>
      <c r="P2138" s="10">
        <f>WorkOrders2710[[#This Row],[Techs]]*(WorkOrders2710[[#This Row],[PartsCost]]*WorkOrders2710[[#This Row],[LbrHrs]])</f>
        <v>6.75</v>
      </c>
      <c r="Q2138" s="10">
        <f t="shared" si="197"/>
        <v>6.75</v>
      </c>
      <c r="R2138" s="10">
        <f t="shared" si="198"/>
        <v>27</v>
      </c>
      <c r="S2138" s="10">
        <f t="shared" si="199"/>
        <v>33.75</v>
      </c>
      <c r="T2138" s="10">
        <f t="shared" si="200"/>
        <v>33.75</v>
      </c>
      <c r="U2138" s="8" t="str">
        <f t="shared" si="201"/>
        <v>Thu</v>
      </c>
      <c r="V2138" s="8" t="str">
        <f t="shared" si="202"/>
        <v>Wed</v>
      </c>
    </row>
    <row r="2139" spans="1:22" hidden="1" x14ac:dyDescent="0.25">
      <c r="A2139" t="s">
        <v>177</v>
      </c>
      <c r="B2139" t="s">
        <v>38</v>
      </c>
      <c r="C2139" t="s">
        <v>8</v>
      </c>
      <c r="D2139" t="s">
        <v>13</v>
      </c>
      <c r="F2139" s="5">
        <v>44137</v>
      </c>
      <c r="G2139" s="5">
        <v>44139</v>
      </c>
      <c r="H2139" s="2">
        <v>2</v>
      </c>
      <c r="I2139" s="6"/>
      <c r="J2139" s="6"/>
      <c r="K2139" s="7">
        <v>1</v>
      </c>
      <c r="L2139" s="7">
        <v>228.6335</v>
      </c>
      <c r="M2139" t="s">
        <v>18</v>
      </c>
      <c r="N2139" s="16">
        <f>POWER(SQRT(WorkOrders2710[[#This Row],[WorkDate]]-WorkOrders2710[[#This Row],[ReqDate]]),2)</f>
        <v>2.0000000000000004</v>
      </c>
      <c r="O2139" s="8">
        <f t="array" ref="O2139">INDEX(TechRate,MATCH(H2139,TechNum,0))</f>
        <v>140</v>
      </c>
      <c r="P2139" s="10">
        <f>WorkOrders2710[[#This Row],[Techs]]*(WorkOrders2710[[#This Row],[PartsCost]]*WorkOrders2710[[#This Row],[LbrHrs]])</f>
        <v>457.267</v>
      </c>
      <c r="Q2139" s="10">
        <f t="shared" si="197"/>
        <v>457.267</v>
      </c>
      <c r="R2139" s="10">
        <f t="shared" si="198"/>
        <v>228.6335</v>
      </c>
      <c r="S2139" s="10">
        <f t="shared" si="199"/>
        <v>685.90049999999997</v>
      </c>
      <c r="T2139" s="10">
        <f t="shared" si="200"/>
        <v>685.90049999999997</v>
      </c>
      <c r="U2139" s="8" t="str">
        <f t="shared" si="201"/>
        <v>Mon</v>
      </c>
      <c r="V2139" s="8" t="str">
        <f t="shared" si="202"/>
        <v>Wed</v>
      </c>
    </row>
    <row r="2140" spans="1:22" hidden="1" x14ac:dyDescent="0.25">
      <c r="A2140" t="s">
        <v>178</v>
      </c>
      <c r="B2140" t="s">
        <v>38</v>
      </c>
      <c r="C2140" t="s">
        <v>6</v>
      </c>
      <c r="D2140" t="s">
        <v>12</v>
      </c>
      <c r="F2140" s="5">
        <v>44137</v>
      </c>
      <c r="G2140" s="5">
        <v>44160</v>
      </c>
      <c r="H2140" s="2">
        <v>1</v>
      </c>
      <c r="I2140" s="6"/>
      <c r="J2140" s="6"/>
      <c r="K2140" s="7">
        <v>0.5</v>
      </c>
      <c r="L2140" s="7">
        <v>26.582599999999999</v>
      </c>
      <c r="M2140" t="s">
        <v>17</v>
      </c>
      <c r="N2140" s="16">
        <f>POWER(SQRT(WorkOrders2710[[#This Row],[WorkDate]]-WorkOrders2710[[#This Row],[ReqDate]]),2)</f>
        <v>22.999999999999996</v>
      </c>
      <c r="O2140" s="8">
        <f t="array" ref="O2140">INDEX(TechRate,MATCH(H2140,TechNum,0))</f>
        <v>80</v>
      </c>
      <c r="P2140" s="10">
        <f>WorkOrders2710[[#This Row],[Techs]]*(WorkOrders2710[[#This Row],[PartsCost]]*WorkOrders2710[[#This Row],[LbrHrs]])</f>
        <v>13.2913</v>
      </c>
      <c r="Q2140" s="10">
        <f t="shared" si="197"/>
        <v>13.2913</v>
      </c>
      <c r="R2140" s="10">
        <f t="shared" si="198"/>
        <v>26.582599999999999</v>
      </c>
      <c r="S2140" s="10">
        <f t="shared" si="199"/>
        <v>39.873899999999999</v>
      </c>
      <c r="T2140" s="10">
        <f t="shared" si="200"/>
        <v>39.873899999999999</v>
      </c>
      <c r="U2140" s="8" t="str">
        <f t="shared" si="201"/>
        <v>Mon</v>
      </c>
      <c r="V2140" s="8" t="str">
        <f t="shared" si="202"/>
        <v>Wed</v>
      </c>
    </row>
    <row r="2141" spans="1:22" hidden="1" x14ac:dyDescent="0.25">
      <c r="A2141" t="s">
        <v>179</v>
      </c>
      <c r="B2141" t="s">
        <v>36</v>
      </c>
      <c r="C2141" t="s">
        <v>6</v>
      </c>
      <c r="D2141" t="s">
        <v>13</v>
      </c>
      <c r="F2141" s="5">
        <v>44137</v>
      </c>
      <c r="G2141" s="5">
        <v>44172</v>
      </c>
      <c r="H2141" s="2">
        <v>2</v>
      </c>
      <c r="I2141" s="6"/>
      <c r="J2141" s="6"/>
      <c r="K2141" s="7">
        <v>0.75</v>
      </c>
      <c r="L2141" s="7">
        <v>5.71</v>
      </c>
      <c r="M2141" t="s">
        <v>17</v>
      </c>
      <c r="N2141" s="16">
        <f>POWER(SQRT(WorkOrders2710[[#This Row],[WorkDate]]-WorkOrders2710[[#This Row],[ReqDate]]),2)</f>
        <v>35</v>
      </c>
      <c r="O2141" s="8">
        <f t="array" ref="O2141">INDEX(TechRate,MATCH(H2141,TechNum,0))</f>
        <v>140</v>
      </c>
      <c r="P2141" s="10">
        <f>WorkOrders2710[[#This Row],[Techs]]*(WorkOrders2710[[#This Row],[PartsCost]]*WorkOrders2710[[#This Row],[LbrHrs]])</f>
        <v>8.5649999999999995</v>
      </c>
      <c r="Q2141" s="10">
        <f t="shared" si="197"/>
        <v>8.5649999999999995</v>
      </c>
      <c r="R2141" s="10">
        <f t="shared" si="198"/>
        <v>5.71</v>
      </c>
      <c r="S2141" s="10">
        <f t="shared" si="199"/>
        <v>14.274999999999999</v>
      </c>
      <c r="T2141" s="10">
        <f t="shared" si="200"/>
        <v>14.274999999999999</v>
      </c>
      <c r="U2141" s="8" t="str">
        <f t="shared" si="201"/>
        <v>Mon</v>
      </c>
      <c r="V2141" s="8" t="str">
        <f t="shared" si="202"/>
        <v>Mon</v>
      </c>
    </row>
    <row r="2142" spans="1:22" hidden="1" x14ac:dyDescent="0.25">
      <c r="A2142" t="s">
        <v>180</v>
      </c>
      <c r="B2142" t="s">
        <v>34</v>
      </c>
      <c r="C2142" t="s">
        <v>6</v>
      </c>
      <c r="D2142" t="s">
        <v>13</v>
      </c>
      <c r="F2142" s="5">
        <v>44137</v>
      </c>
      <c r="G2142" s="5">
        <v>44207</v>
      </c>
      <c r="H2142" s="2">
        <v>2</v>
      </c>
      <c r="I2142" s="6"/>
      <c r="J2142" s="6"/>
      <c r="K2142" s="7">
        <v>0.5</v>
      </c>
      <c r="L2142" s="7">
        <v>263.0523</v>
      </c>
      <c r="M2142" t="s">
        <v>18</v>
      </c>
      <c r="N2142" s="16">
        <f>POWER(SQRT(WorkOrders2710[[#This Row],[WorkDate]]-WorkOrders2710[[#This Row],[ReqDate]]),2)</f>
        <v>70</v>
      </c>
      <c r="O2142" s="8">
        <f t="array" ref="O2142">INDEX(TechRate,MATCH(H2142,TechNum,0))</f>
        <v>140</v>
      </c>
      <c r="P2142" s="10">
        <f>WorkOrders2710[[#This Row],[Techs]]*(WorkOrders2710[[#This Row],[PartsCost]]*WorkOrders2710[[#This Row],[LbrHrs]])</f>
        <v>263.0523</v>
      </c>
      <c r="Q2142" s="10">
        <f t="shared" si="197"/>
        <v>263.0523</v>
      </c>
      <c r="R2142" s="10">
        <f t="shared" si="198"/>
        <v>263.0523</v>
      </c>
      <c r="S2142" s="10">
        <f t="shared" si="199"/>
        <v>526.1046</v>
      </c>
      <c r="T2142" s="10">
        <f t="shared" si="200"/>
        <v>526.1046</v>
      </c>
      <c r="U2142" s="8" t="str">
        <f t="shared" si="201"/>
        <v>Mon</v>
      </c>
      <c r="V2142" s="8" t="str">
        <f t="shared" si="202"/>
        <v>Mon</v>
      </c>
    </row>
    <row r="2143" spans="1:22" hidden="1" x14ac:dyDescent="0.25">
      <c r="A2143" t="s">
        <v>181</v>
      </c>
      <c r="B2143" t="s">
        <v>39</v>
      </c>
      <c r="C2143" t="s">
        <v>44</v>
      </c>
      <c r="D2143" t="s">
        <v>13</v>
      </c>
      <c r="F2143" s="5">
        <v>44137</v>
      </c>
      <c r="G2143" s="5">
        <v>44301</v>
      </c>
      <c r="H2143" s="2">
        <v>2</v>
      </c>
      <c r="I2143" s="6"/>
      <c r="J2143" s="6"/>
      <c r="K2143" s="7">
        <v>1.75</v>
      </c>
      <c r="L2143" s="7">
        <v>8.25</v>
      </c>
      <c r="M2143" t="s">
        <v>17</v>
      </c>
      <c r="N2143" s="16">
        <f>POWER(SQRT(WorkOrders2710[[#This Row],[WorkDate]]-WorkOrders2710[[#This Row],[ReqDate]]),2)</f>
        <v>164</v>
      </c>
      <c r="O2143" s="8">
        <f t="array" ref="O2143">INDEX(TechRate,MATCH(H2143,TechNum,0))</f>
        <v>140</v>
      </c>
      <c r="P2143" s="10">
        <f>WorkOrders2710[[#This Row],[Techs]]*(WorkOrders2710[[#This Row],[PartsCost]]*WorkOrders2710[[#This Row],[LbrHrs]])</f>
        <v>28.875</v>
      </c>
      <c r="Q2143" s="10">
        <f t="shared" si="197"/>
        <v>28.875</v>
      </c>
      <c r="R2143" s="10">
        <f t="shared" si="198"/>
        <v>8.25</v>
      </c>
      <c r="S2143" s="10">
        <f t="shared" si="199"/>
        <v>37.125</v>
      </c>
      <c r="T2143" s="10">
        <f t="shared" si="200"/>
        <v>37.125</v>
      </c>
      <c r="U2143" s="8" t="str">
        <f t="shared" si="201"/>
        <v>Mon</v>
      </c>
      <c r="V2143" s="8" t="str">
        <f t="shared" si="202"/>
        <v>Thu</v>
      </c>
    </row>
    <row r="2144" spans="1:22" hidden="1" x14ac:dyDescent="0.25">
      <c r="A2144" t="s">
        <v>182</v>
      </c>
      <c r="B2144" t="s">
        <v>39</v>
      </c>
      <c r="C2144" t="s">
        <v>8</v>
      </c>
      <c r="D2144" t="s">
        <v>13</v>
      </c>
      <c r="F2144" s="5">
        <v>44138</v>
      </c>
      <c r="G2144" s="5">
        <v>44165</v>
      </c>
      <c r="H2144" s="2">
        <v>1</v>
      </c>
      <c r="I2144" s="6"/>
      <c r="J2144" s="6"/>
      <c r="K2144" s="7">
        <v>0.5</v>
      </c>
      <c r="L2144" s="7">
        <v>15.63</v>
      </c>
      <c r="M2144" t="s">
        <v>17</v>
      </c>
      <c r="N2144" s="16">
        <f>POWER(SQRT(WorkOrders2710[[#This Row],[WorkDate]]-WorkOrders2710[[#This Row],[ReqDate]]),2)</f>
        <v>27</v>
      </c>
      <c r="O2144" s="8">
        <f t="array" ref="O2144">INDEX(TechRate,MATCH(H2144,TechNum,0))</f>
        <v>80</v>
      </c>
      <c r="P2144" s="10">
        <f>WorkOrders2710[[#This Row],[Techs]]*(WorkOrders2710[[#This Row],[PartsCost]]*WorkOrders2710[[#This Row],[LbrHrs]])</f>
        <v>7.8150000000000004</v>
      </c>
      <c r="Q2144" s="10">
        <f t="shared" si="197"/>
        <v>7.8150000000000004</v>
      </c>
      <c r="R2144" s="10">
        <f t="shared" si="198"/>
        <v>15.63</v>
      </c>
      <c r="S2144" s="10">
        <f t="shared" si="199"/>
        <v>23.445</v>
      </c>
      <c r="T2144" s="10">
        <f t="shared" si="200"/>
        <v>23.445</v>
      </c>
      <c r="U2144" s="8" t="str">
        <f t="shared" si="201"/>
        <v>Tue</v>
      </c>
      <c r="V2144" s="8" t="str">
        <f t="shared" si="202"/>
        <v>Mon</v>
      </c>
    </row>
    <row r="2145" spans="1:22" hidden="1" x14ac:dyDescent="0.25">
      <c r="A2145" t="s">
        <v>183</v>
      </c>
      <c r="B2145" t="s">
        <v>34</v>
      </c>
      <c r="C2145" t="s">
        <v>6</v>
      </c>
      <c r="D2145" t="s">
        <v>13</v>
      </c>
      <c r="F2145" s="5">
        <v>44138</v>
      </c>
      <c r="G2145" s="5">
        <v>44167</v>
      </c>
      <c r="H2145" s="2">
        <v>1</v>
      </c>
      <c r="I2145" s="6"/>
      <c r="J2145" s="6"/>
      <c r="K2145" s="7">
        <v>0.5</v>
      </c>
      <c r="L2145" s="7">
        <v>15.63</v>
      </c>
      <c r="M2145" t="s">
        <v>17</v>
      </c>
      <c r="N2145" s="16">
        <f>POWER(SQRT(WorkOrders2710[[#This Row],[WorkDate]]-WorkOrders2710[[#This Row],[ReqDate]]),2)</f>
        <v>28.999999999999996</v>
      </c>
      <c r="O2145" s="8">
        <f t="array" ref="O2145">INDEX(TechRate,MATCH(H2145,TechNum,0))</f>
        <v>80</v>
      </c>
      <c r="P2145" s="10">
        <f>WorkOrders2710[[#This Row],[Techs]]*(WorkOrders2710[[#This Row],[PartsCost]]*WorkOrders2710[[#This Row],[LbrHrs]])</f>
        <v>7.8150000000000004</v>
      </c>
      <c r="Q2145" s="10">
        <f t="shared" si="197"/>
        <v>7.8150000000000004</v>
      </c>
      <c r="R2145" s="10">
        <f t="shared" si="198"/>
        <v>15.63</v>
      </c>
      <c r="S2145" s="10">
        <f t="shared" si="199"/>
        <v>23.445</v>
      </c>
      <c r="T2145" s="10">
        <f t="shared" si="200"/>
        <v>23.445</v>
      </c>
      <c r="U2145" s="8" t="str">
        <f t="shared" si="201"/>
        <v>Tue</v>
      </c>
      <c r="V2145" s="8" t="str">
        <f t="shared" si="202"/>
        <v>Wed</v>
      </c>
    </row>
    <row r="2146" spans="1:22" hidden="1" x14ac:dyDescent="0.25">
      <c r="A2146" t="s">
        <v>184</v>
      </c>
      <c r="B2146" t="s">
        <v>39</v>
      </c>
      <c r="C2146" t="s">
        <v>9</v>
      </c>
      <c r="D2146" t="s">
        <v>12</v>
      </c>
      <c r="F2146" s="5">
        <v>44138</v>
      </c>
      <c r="G2146" s="5">
        <v>44173</v>
      </c>
      <c r="H2146" s="2">
        <v>1</v>
      </c>
      <c r="I2146" s="6"/>
      <c r="J2146" s="6"/>
      <c r="K2146" s="7">
        <v>0.75</v>
      </c>
      <c r="L2146" s="7">
        <v>28.5</v>
      </c>
      <c r="M2146" t="s">
        <v>18</v>
      </c>
      <c r="N2146" s="16">
        <f>POWER(SQRT(WorkOrders2710[[#This Row],[WorkDate]]-WorkOrders2710[[#This Row],[ReqDate]]),2)</f>
        <v>35</v>
      </c>
      <c r="O2146" s="8">
        <f t="array" ref="O2146">INDEX(TechRate,MATCH(H2146,TechNum,0))</f>
        <v>80</v>
      </c>
      <c r="P2146" s="10">
        <f>WorkOrders2710[[#This Row],[Techs]]*(WorkOrders2710[[#This Row],[PartsCost]]*WorkOrders2710[[#This Row],[LbrHrs]])</f>
        <v>21.375</v>
      </c>
      <c r="Q2146" s="10">
        <f t="shared" si="197"/>
        <v>21.375</v>
      </c>
      <c r="R2146" s="10">
        <f t="shared" si="198"/>
        <v>28.5</v>
      </c>
      <c r="S2146" s="10">
        <f t="shared" si="199"/>
        <v>49.875</v>
      </c>
      <c r="T2146" s="10">
        <f t="shared" si="200"/>
        <v>49.875</v>
      </c>
      <c r="U2146" s="8" t="str">
        <f t="shared" si="201"/>
        <v>Tue</v>
      </c>
      <c r="V2146" s="8" t="str">
        <f t="shared" si="202"/>
        <v>Tue</v>
      </c>
    </row>
    <row r="2147" spans="1:22" hidden="1" x14ac:dyDescent="0.25">
      <c r="A2147" t="s">
        <v>185</v>
      </c>
      <c r="B2147" t="s">
        <v>38</v>
      </c>
      <c r="C2147" t="s">
        <v>8</v>
      </c>
      <c r="D2147" t="s">
        <v>13</v>
      </c>
      <c r="F2147" s="5">
        <v>44139</v>
      </c>
      <c r="G2147" s="5">
        <v>44144</v>
      </c>
      <c r="H2147" s="2">
        <v>1</v>
      </c>
      <c r="I2147" s="6"/>
      <c r="J2147" s="6"/>
      <c r="K2147" s="7">
        <v>0.5</v>
      </c>
      <c r="L2147" s="7">
        <v>748.44</v>
      </c>
      <c r="M2147" t="s">
        <v>17</v>
      </c>
      <c r="N2147" s="16">
        <f>POWER(SQRT(WorkOrders2710[[#This Row],[WorkDate]]-WorkOrders2710[[#This Row],[ReqDate]]),2)</f>
        <v>5.0000000000000009</v>
      </c>
      <c r="O2147" s="8">
        <f t="array" ref="O2147">INDEX(TechRate,MATCH(H2147,TechNum,0))</f>
        <v>80</v>
      </c>
      <c r="P2147" s="10">
        <f>WorkOrders2710[[#This Row],[Techs]]*(WorkOrders2710[[#This Row],[PartsCost]]*WorkOrders2710[[#This Row],[LbrHrs]])</f>
        <v>374.22</v>
      </c>
      <c r="Q2147" s="10">
        <f t="shared" si="197"/>
        <v>374.22</v>
      </c>
      <c r="R2147" s="10">
        <f t="shared" si="198"/>
        <v>748.44</v>
      </c>
      <c r="S2147" s="10">
        <f t="shared" si="199"/>
        <v>1122.6600000000001</v>
      </c>
      <c r="T2147" s="10">
        <f t="shared" si="200"/>
        <v>1122.6600000000001</v>
      </c>
      <c r="U2147" s="8" t="str">
        <f t="shared" si="201"/>
        <v>Wed</v>
      </c>
      <c r="V2147" s="8" t="str">
        <f t="shared" si="202"/>
        <v>Mon</v>
      </c>
    </row>
    <row r="2148" spans="1:22" hidden="1" x14ac:dyDescent="0.25">
      <c r="A2148" t="s">
        <v>186</v>
      </c>
      <c r="B2148" t="s">
        <v>38</v>
      </c>
      <c r="C2148" t="s">
        <v>6</v>
      </c>
      <c r="D2148" t="s">
        <v>1</v>
      </c>
      <c r="F2148" s="5">
        <v>44139</v>
      </c>
      <c r="G2148" s="5">
        <v>44152</v>
      </c>
      <c r="H2148" s="2">
        <v>1</v>
      </c>
      <c r="I2148" s="6"/>
      <c r="J2148" s="6"/>
      <c r="K2148" s="7">
        <v>1</v>
      </c>
      <c r="L2148" s="7">
        <v>86.356300000000005</v>
      </c>
      <c r="M2148" t="s">
        <v>19</v>
      </c>
      <c r="N2148" s="16">
        <f>POWER(SQRT(WorkOrders2710[[#This Row],[WorkDate]]-WorkOrders2710[[#This Row],[ReqDate]]),2)</f>
        <v>12.999999999999998</v>
      </c>
      <c r="O2148" s="8">
        <f t="array" ref="O2148">INDEX(TechRate,MATCH(H2148,TechNum,0))</f>
        <v>80</v>
      </c>
      <c r="P2148" s="10">
        <f>WorkOrders2710[[#This Row],[Techs]]*(WorkOrders2710[[#This Row],[PartsCost]]*WorkOrders2710[[#This Row],[LbrHrs]])</f>
        <v>86.356300000000005</v>
      </c>
      <c r="Q2148" s="10">
        <f t="shared" si="197"/>
        <v>86.356300000000005</v>
      </c>
      <c r="R2148" s="10">
        <f t="shared" si="198"/>
        <v>86.356300000000005</v>
      </c>
      <c r="S2148" s="10">
        <f t="shared" si="199"/>
        <v>172.71260000000001</v>
      </c>
      <c r="T2148" s="10">
        <f t="shared" si="200"/>
        <v>172.71260000000001</v>
      </c>
      <c r="U2148" s="8" t="str">
        <f t="shared" si="201"/>
        <v>Wed</v>
      </c>
      <c r="V2148" s="8" t="str">
        <f t="shared" si="202"/>
        <v>Tue</v>
      </c>
    </row>
    <row r="2149" spans="1:22" hidden="1" x14ac:dyDescent="0.25">
      <c r="A2149" t="s">
        <v>187</v>
      </c>
      <c r="B2149" t="s">
        <v>36</v>
      </c>
      <c r="C2149" t="s">
        <v>44</v>
      </c>
      <c r="D2149" t="s">
        <v>11</v>
      </c>
      <c r="F2149" s="5">
        <v>44139</v>
      </c>
      <c r="G2149" s="5">
        <v>44152</v>
      </c>
      <c r="H2149" s="2">
        <v>1</v>
      </c>
      <c r="I2149" s="6"/>
      <c r="J2149" s="6"/>
      <c r="K2149" s="7">
        <v>0.25</v>
      </c>
      <c r="L2149" s="7">
        <v>107.99550000000001</v>
      </c>
      <c r="M2149" t="s">
        <v>19</v>
      </c>
      <c r="N2149" s="16">
        <f>POWER(SQRT(WorkOrders2710[[#This Row],[WorkDate]]-WorkOrders2710[[#This Row],[ReqDate]]),2)</f>
        <v>12.999999999999998</v>
      </c>
      <c r="O2149" s="8">
        <f t="array" ref="O2149">INDEX(TechRate,MATCH(H2149,TechNum,0))</f>
        <v>80</v>
      </c>
      <c r="P2149" s="10">
        <f>WorkOrders2710[[#This Row],[Techs]]*(WorkOrders2710[[#This Row],[PartsCost]]*WorkOrders2710[[#This Row],[LbrHrs]])</f>
        <v>26.998875000000002</v>
      </c>
      <c r="Q2149" s="10">
        <f t="shared" si="197"/>
        <v>26.998875000000002</v>
      </c>
      <c r="R2149" s="10">
        <f t="shared" si="198"/>
        <v>107.99550000000001</v>
      </c>
      <c r="S2149" s="10">
        <f t="shared" si="199"/>
        <v>134.99437500000002</v>
      </c>
      <c r="T2149" s="10">
        <f t="shared" si="200"/>
        <v>134.99437500000002</v>
      </c>
      <c r="U2149" s="8" t="str">
        <f t="shared" si="201"/>
        <v>Wed</v>
      </c>
      <c r="V2149" s="8" t="str">
        <f t="shared" si="202"/>
        <v>Tue</v>
      </c>
    </row>
    <row r="2150" spans="1:22" hidden="1" x14ac:dyDescent="0.25">
      <c r="A2150" t="s">
        <v>188</v>
      </c>
      <c r="B2150" t="s">
        <v>34</v>
      </c>
      <c r="C2150" t="s">
        <v>44</v>
      </c>
      <c r="D2150" t="s">
        <v>13</v>
      </c>
      <c r="F2150" s="5">
        <v>44139</v>
      </c>
      <c r="G2150" s="5">
        <v>44159</v>
      </c>
      <c r="H2150" s="2">
        <v>2</v>
      </c>
      <c r="I2150" s="6"/>
      <c r="J2150" s="6"/>
      <c r="K2150" s="7">
        <v>0.5</v>
      </c>
      <c r="L2150" s="7">
        <v>279.31</v>
      </c>
      <c r="M2150" t="s">
        <v>17</v>
      </c>
      <c r="N2150" s="16">
        <f>POWER(SQRT(WorkOrders2710[[#This Row],[WorkDate]]-WorkOrders2710[[#This Row],[ReqDate]]),2)</f>
        <v>20.000000000000004</v>
      </c>
      <c r="O2150" s="8">
        <f t="array" ref="O2150">INDEX(TechRate,MATCH(H2150,TechNum,0))</f>
        <v>140</v>
      </c>
      <c r="P2150" s="10">
        <f>WorkOrders2710[[#This Row],[Techs]]*(WorkOrders2710[[#This Row],[PartsCost]]*WorkOrders2710[[#This Row],[LbrHrs]])</f>
        <v>279.31</v>
      </c>
      <c r="Q2150" s="10">
        <f t="shared" si="197"/>
        <v>279.31</v>
      </c>
      <c r="R2150" s="10">
        <f t="shared" si="198"/>
        <v>279.31</v>
      </c>
      <c r="S2150" s="10">
        <f t="shared" si="199"/>
        <v>558.62</v>
      </c>
      <c r="T2150" s="10">
        <f t="shared" si="200"/>
        <v>558.62</v>
      </c>
      <c r="U2150" s="8" t="str">
        <f t="shared" si="201"/>
        <v>Wed</v>
      </c>
      <c r="V2150" s="8" t="str">
        <f t="shared" si="202"/>
        <v>Tue</v>
      </c>
    </row>
    <row r="2151" spans="1:22" hidden="1" x14ac:dyDescent="0.25">
      <c r="A2151" t="s">
        <v>189</v>
      </c>
      <c r="B2151" t="s">
        <v>38</v>
      </c>
      <c r="C2151" t="s">
        <v>8</v>
      </c>
      <c r="D2151" t="s">
        <v>12</v>
      </c>
      <c r="F2151" s="5">
        <v>44139</v>
      </c>
      <c r="G2151" s="5">
        <v>44167</v>
      </c>
      <c r="H2151" s="2">
        <v>1</v>
      </c>
      <c r="I2151" s="6"/>
      <c r="J2151" s="6"/>
      <c r="K2151" s="7">
        <v>0.5</v>
      </c>
      <c r="L2151" s="7">
        <v>25.26</v>
      </c>
      <c r="M2151" t="s">
        <v>17</v>
      </c>
      <c r="N2151" s="16">
        <f>POWER(SQRT(WorkOrders2710[[#This Row],[WorkDate]]-WorkOrders2710[[#This Row],[ReqDate]]),2)</f>
        <v>28.000000000000004</v>
      </c>
      <c r="O2151" s="8">
        <f t="array" ref="O2151">INDEX(TechRate,MATCH(H2151,TechNum,0))</f>
        <v>80</v>
      </c>
      <c r="P2151" s="10">
        <f>WorkOrders2710[[#This Row],[Techs]]*(WorkOrders2710[[#This Row],[PartsCost]]*WorkOrders2710[[#This Row],[LbrHrs]])</f>
        <v>12.63</v>
      </c>
      <c r="Q2151" s="10">
        <f t="shared" si="197"/>
        <v>12.63</v>
      </c>
      <c r="R2151" s="10">
        <f t="shared" si="198"/>
        <v>25.26</v>
      </c>
      <c r="S2151" s="10">
        <f t="shared" si="199"/>
        <v>37.89</v>
      </c>
      <c r="T2151" s="10">
        <f t="shared" si="200"/>
        <v>37.89</v>
      </c>
      <c r="U2151" s="8" t="str">
        <f t="shared" si="201"/>
        <v>Wed</v>
      </c>
      <c r="V2151" s="8" t="str">
        <f t="shared" si="202"/>
        <v>Wed</v>
      </c>
    </row>
    <row r="2152" spans="1:22" hidden="1" x14ac:dyDescent="0.25">
      <c r="A2152" t="s">
        <v>190</v>
      </c>
      <c r="B2152" t="s">
        <v>34</v>
      </c>
      <c r="C2152" t="s">
        <v>44</v>
      </c>
      <c r="D2152" t="s">
        <v>13</v>
      </c>
      <c r="F2152" s="5">
        <v>44140</v>
      </c>
      <c r="G2152" s="5">
        <v>44153</v>
      </c>
      <c r="H2152" s="2">
        <v>1</v>
      </c>
      <c r="I2152" s="6"/>
      <c r="J2152" s="6"/>
      <c r="K2152" s="7">
        <v>1</v>
      </c>
      <c r="L2152" s="7">
        <v>351.02069999999998</v>
      </c>
      <c r="M2152" t="s">
        <v>18</v>
      </c>
      <c r="N2152" s="16">
        <f>POWER(SQRT(WorkOrders2710[[#This Row],[WorkDate]]-WorkOrders2710[[#This Row],[ReqDate]]),2)</f>
        <v>12.999999999999998</v>
      </c>
      <c r="O2152" s="8">
        <f t="array" ref="O2152">INDEX(TechRate,MATCH(H2152,TechNum,0))</f>
        <v>80</v>
      </c>
      <c r="P2152" s="10">
        <f>WorkOrders2710[[#This Row],[Techs]]*(WorkOrders2710[[#This Row],[PartsCost]]*WorkOrders2710[[#This Row],[LbrHrs]])</f>
        <v>351.02069999999998</v>
      </c>
      <c r="Q2152" s="10">
        <f t="shared" si="197"/>
        <v>351.02069999999998</v>
      </c>
      <c r="R2152" s="10">
        <f t="shared" si="198"/>
        <v>351.02069999999998</v>
      </c>
      <c r="S2152" s="10">
        <f t="shared" si="199"/>
        <v>702.04139999999995</v>
      </c>
      <c r="T2152" s="10">
        <f t="shared" si="200"/>
        <v>702.04139999999995</v>
      </c>
      <c r="U2152" s="8" t="str">
        <f t="shared" si="201"/>
        <v>Thu</v>
      </c>
      <c r="V2152" s="8" t="str">
        <f t="shared" si="202"/>
        <v>Wed</v>
      </c>
    </row>
    <row r="2153" spans="1:22" hidden="1" x14ac:dyDescent="0.25">
      <c r="A2153" t="s">
        <v>191</v>
      </c>
      <c r="B2153" t="s">
        <v>38</v>
      </c>
      <c r="C2153" t="s">
        <v>6</v>
      </c>
      <c r="D2153" t="s">
        <v>13</v>
      </c>
      <c r="F2153" s="5">
        <v>44140</v>
      </c>
      <c r="G2153" s="5">
        <v>44160</v>
      </c>
      <c r="H2153" s="2">
        <v>1</v>
      </c>
      <c r="I2153" s="6"/>
      <c r="J2153" s="6"/>
      <c r="K2153" s="7">
        <v>0.5</v>
      </c>
      <c r="L2153" s="7">
        <v>27.953900000000001</v>
      </c>
      <c r="M2153" t="s">
        <v>17</v>
      </c>
      <c r="N2153" s="16">
        <f>POWER(SQRT(WorkOrders2710[[#This Row],[WorkDate]]-WorkOrders2710[[#This Row],[ReqDate]]),2)</f>
        <v>20.000000000000004</v>
      </c>
      <c r="O2153" s="8">
        <f t="array" ref="O2153">INDEX(TechRate,MATCH(H2153,TechNum,0))</f>
        <v>80</v>
      </c>
      <c r="P2153" s="10">
        <f>WorkOrders2710[[#This Row],[Techs]]*(WorkOrders2710[[#This Row],[PartsCost]]*WorkOrders2710[[#This Row],[LbrHrs]])</f>
        <v>13.97695</v>
      </c>
      <c r="Q2153" s="10">
        <f t="shared" si="197"/>
        <v>13.97695</v>
      </c>
      <c r="R2153" s="10">
        <f t="shared" si="198"/>
        <v>27.953900000000001</v>
      </c>
      <c r="S2153" s="10">
        <f t="shared" si="199"/>
        <v>41.93085</v>
      </c>
      <c r="T2153" s="10">
        <f t="shared" si="200"/>
        <v>41.93085</v>
      </c>
      <c r="U2153" s="8" t="str">
        <f t="shared" si="201"/>
        <v>Thu</v>
      </c>
      <c r="V2153" s="8" t="str">
        <f t="shared" si="202"/>
        <v>Wed</v>
      </c>
    </row>
    <row r="2154" spans="1:22" hidden="1" x14ac:dyDescent="0.25">
      <c r="A2154" t="s">
        <v>192</v>
      </c>
      <c r="B2154" t="s">
        <v>35</v>
      </c>
      <c r="C2154" t="s">
        <v>9</v>
      </c>
      <c r="D2154" t="s">
        <v>12</v>
      </c>
      <c r="F2154" s="5">
        <v>44142</v>
      </c>
      <c r="G2154" s="5">
        <v>44174</v>
      </c>
      <c r="H2154" s="2">
        <v>2</v>
      </c>
      <c r="I2154" s="6"/>
      <c r="J2154" s="6"/>
      <c r="K2154" s="7">
        <v>0.75</v>
      </c>
      <c r="L2154" s="7">
        <v>62.13</v>
      </c>
      <c r="M2154" t="s">
        <v>17</v>
      </c>
      <c r="N2154" s="16">
        <f>POWER(SQRT(WorkOrders2710[[#This Row],[WorkDate]]-WorkOrders2710[[#This Row],[ReqDate]]),2)</f>
        <v>32.000000000000007</v>
      </c>
      <c r="O2154" s="8">
        <f t="array" ref="O2154">INDEX(TechRate,MATCH(H2154,TechNum,0))</f>
        <v>140</v>
      </c>
      <c r="P2154" s="10">
        <f>WorkOrders2710[[#This Row],[Techs]]*(WorkOrders2710[[#This Row],[PartsCost]]*WorkOrders2710[[#This Row],[LbrHrs]])</f>
        <v>93.195000000000007</v>
      </c>
      <c r="Q2154" s="10">
        <f t="shared" si="197"/>
        <v>93.195000000000007</v>
      </c>
      <c r="R2154" s="10">
        <f t="shared" si="198"/>
        <v>62.13</v>
      </c>
      <c r="S2154" s="10">
        <f t="shared" si="199"/>
        <v>155.32500000000002</v>
      </c>
      <c r="T2154" s="10">
        <f t="shared" si="200"/>
        <v>155.32500000000002</v>
      </c>
      <c r="U2154" s="8" t="str">
        <f t="shared" si="201"/>
        <v>Sat</v>
      </c>
      <c r="V2154" s="8" t="str">
        <f t="shared" si="202"/>
        <v>Wed</v>
      </c>
    </row>
    <row r="2155" spans="1:22" hidden="1" x14ac:dyDescent="0.25">
      <c r="A2155" t="s">
        <v>193</v>
      </c>
      <c r="B2155" t="s">
        <v>37</v>
      </c>
      <c r="C2155" t="s">
        <v>43</v>
      </c>
      <c r="D2155" t="s">
        <v>1</v>
      </c>
      <c r="F2155" s="5">
        <v>44144</v>
      </c>
      <c r="G2155" s="5">
        <v>44161</v>
      </c>
      <c r="H2155" s="2">
        <v>1</v>
      </c>
      <c r="I2155" s="6"/>
      <c r="J2155" s="6"/>
      <c r="K2155" s="7">
        <v>7</v>
      </c>
      <c r="L2155" s="7">
        <v>3396.25</v>
      </c>
      <c r="M2155" t="s">
        <v>19</v>
      </c>
      <c r="N2155" s="16">
        <f>POWER(SQRT(WorkOrders2710[[#This Row],[WorkDate]]-WorkOrders2710[[#This Row],[ReqDate]]),2)</f>
        <v>17</v>
      </c>
      <c r="O2155" s="8">
        <f t="array" ref="O2155">INDEX(TechRate,MATCH(H2155,TechNum,0))</f>
        <v>80</v>
      </c>
      <c r="P2155" s="10">
        <f>WorkOrders2710[[#This Row],[Techs]]*(WorkOrders2710[[#This Row],[PartsCost]]*WorkOrders2710[[#This Row],[LbrHrs]])</f>
        <v>23773.75</v>
      </c>
      <c r="Q2155" s="10">
        <f t="shared" si="197"/>
        <v>23773.75</v>
      </c>
      <c r="R2155" s="10">
        <f t="shared" si="198"/>
        <v>3396.25</v>
      </c>
      <c r="S2155" s="10">
        <f t="shared" si="199"/>
        <v>27170</v>
      </c>
      <c r="T2155" s="10">
        <f t="shared" si="200"/>
        <v>27170</v>
      </c>
      <c r="U2155" s="8" t="str">
        <f t="shared" si="201"/>
        <v>Mon</v>
      </c>
      <c r="V2155" s="8" t="str">
        <f t="shared" si="202"/>
        <v>Thu</v>
      </c>
    </row>
    <row r="2156" spans="1:22" hidden="1" x14ac:dyDescent="0.25">
      <c r="A2156" t="s">
        <v>194</v>
      </c>
      <c r="B2156" t="s">
        <v>40</v>
      </c>
      <c r="C2156" t="s">
        <v>7</v>
      </c>
      <c r="D2156" t="s">
        <v>13</v>
      </c>
      <c r="F2156" s="5">
        <v>44144</v>
      </c>
      <c r="G2156" s="5">
        <v>44258</v>
      </c>
      <c r="H2156" s="2">
        <v>2</v>
      </c>
      <c r="I2156" s="6"/>
      <c r="J2156" s="6"/>
      <c r="K2156" s="7">
        <v>0.5</v>
      </c>
      <c r="L2156" s="7">
        <v>22</v>
      </c>
      <c r="M2156" t="s">
        <v>17</v>
      </c>
      <c r="N2156" s="16">
        <f>POWER(SQRT(WorkOrders2710[[#This Row],[WorkDate]]-WorkOrders2710[[#This Row],[ReqDate]]),2)</f>
        <v>114</v>
      </c>
      <c r="O2156" s="8">
        <f t="array" ref="O2156">INDEX(TechRate,MATCH(H2156,TechNum,0))</f>
        <v>140</v>
      </c>
      <c r="P2156" s="10">
        <f>WorkOrders2710[[#This Row],[Techs]]*(WorkOrders2710[[#This Row],[PartsCost]]*WorkOrders2710[[#This Row],[LbrHrs]])</f>
        <v>22</v>
      </c>
      <c r="Q2156" s="10">
        <f t="shared" si="197"/>
        <v>22</v>
      </c>
      <c r="R2156" s="10">
        <f t="shared" si="198"/>
        <v>22</v>
      </c>
      <c r="S2156" s="10">
        <f t="shared" si="199"/>
        <v>44</v>
      </c>
      <c r="T2156" s="10">
        <f t="shared" si="200"/>
        <v>44</v>
      </c>
      <c r="U2156" s="8" t="str">
        <f t="shared" si="201"/>
        <v>Mon</v>
      </c>
      <c r="V2156" s="8" t="str">
        <f t="shared" si="202"/>
        <v>Wed</v>
      </c>
    </row>
    <row r="2157" spans="1:22" hidden="1" x14ac:dyDescent="0.25">
      <c r="A2157" t="s">
        <v>195</v>
      </c>
      <c r="B2157" t="s">
        <v>38</v>
      </c>
      <c r="C2157" t="s">
        <v>8</v>
      </c>
      <c r="D2157" t="s">
        <v>13</v>
      </c>
      <c r="F2157" s="5">
        <v>44145</v>
      </c>
      <c r="G2157" s="5">
        <v>44174</v>
      </c>
      <c r="H2157" s="2">
        <v>1</v>
      </c>
      <c r="I2157" s="6"/>
      <c r="J2157" s="6"/>
      <c r="K2157" s="7">
        <v>0.5</v>
      </c>
      <c r="L2157" s="7">
        <v>163.36609999999999</v>
      </c>
      <c r="M2157" t="s">
        <v>19</v>
      </c>
      <c r="N2157" s="16">
        <f>POWER(SQRT(WorkOrders2710[[#This Row],[WorkDate]]-WorkOrders2710[[#This Row],[ReqDate]]),2)</f>
        <v>28.999999999999996</v>
      </c>
      <c r="O2157" s="8">
        <f t="array" ref="O2157">INDEX(TechRate,MATCH(H2157,TechNum,0))</f>
        <v>80</v>
      </c>
      <c r="P2157" s="10">
        <f>WorkOrders2710[[#This Row],[Techs]]*(WorkOrders2710[[#This Row],[PartsCost]]*WorkOrders2710[[#This Row],[LbrHrs]])</f>
        <v>81.683049999999994</v>
      </c>
      <c r="Q2157" s="10">
        <f t="shared" si="197"/>
        <v>81.683049999999994</v>
      </c>
      <c r="R2157" s="10">
        <f t="shared" si="198"/>
        <v>163.36609999999999</v>
      </c>
      <c r="S2157" s="10">
        <f t="shared" si="199"/>
        <v>245.04915</v>
      </c>
      <c r="T2157" s="10">
        <f t="shared" si="200"/>
        <v>245.04915</v>
      </c>
      <c r="U2157" s="8" t="str">
        <f t="shared" si="201"/>
        <v>Tue</v>
      </c>
      <c r="V2157" s="8" t="str">
        <f t="shared" si="202"/>
        <v>Wed</v>
      </c>
    </row>
    <row r="2158" spans="1:22" hidden="1" x14ac:dyDescent="0.25">
      <c r="A2158" t="s">
        <v>196</v>
      </c>
      <c r="B2158" t="s">
        <v>37</v>
      </c>
      <c r="C2158" t="s">
        <v>43</v>
      </c>
      <c r="D2158" t="s">
        <v>12</v>
      </c>
      <c r="F2158" s="5">
        <v>44146</v>
      </c>
      <c r="G2158" s="5">
        <v>44160</v>
      </c>
      <c r="H2158" s="2">
        <v>1</v>
      </c>
      <c r="I2158" s="6"/>
      <c r="J2158" s="6"/>
      <c r="K2158" s="7">
        <v>0.25</v>
      </c>
      <c r="L2158" s="7">
        <v>25.407900000000001</v>
      </c>
      <c r="M2158" t="s">
        <v>17</v>
      </c>
      <c r="N2158" s="16">
        <f>POWER(SQRT(WorkOrders2710[[#This Row],[WorkDate]]-WorkOrders2710[[#This Row],[ReqDate]]),2)</f>
        <v>14</v>
      </c>
      <c r="O2158" s="8">
        <f t="array" ref="O2158">INDEX(TechRate,MATCH(H2158,TechNum,0))</f>
        <v>80</v>
      </c>
      <c r="P2158" s="10">
        <f>WorkOrders2710[[#This Row],[Techs]]*(WorkOrders2710[[#This Row],[PartsCost]]*WorkOrders2710[[#This Row],[LbrHrs]])</f>
        <v>6.3519750000000004</v>
      </c>
      <c r="Q2158" s="10">
        <f t="shared" si="197"/>
        <v>6.3519750000000004</v>
      </c>
      <c r="R2158" s="10">
        <f t="shared" si="198"/>
        <v>25.407900000000001</v>
      </c>
      <c r="S2158" s="10">
        <f t="shared" si="199"/>
        <v>31.759875000000001</v>
      </c>
      <c r="T2158" s="10">
        <f t="shared" si="200"/>
        <v>31.759875000000001</v>
      </c>
      <c r="U2158" s="8" t="str">
        <f t="shared" si="201"/>
        <v>Wed</v>
      </c>
      <c r="V2158" s="8" t="str">
        <f t="shared" si="202"/>
        <v>Wed</v>
      </c>
    </row>
    <row r="2159" spans="1:22" hidden="1" x14ac:dyDescent="0.25">
      <c r="A2159" t="s">
        <v>197</v>
      </c>
      <c r="B2159" t="s">
        <v>39</v>
      </c>
      <c r="C2159" t="s">
        <v>44</v>
      </c>
      <c r="D2159" t="s">
        <v>13</v>
      </c>
      <c r="F2159" s="5">
        <v>44146</v>
      </c>
      <c r="G2159" s="5">
        <v>44168</v>
      </c>
      <c r="H2159" s="2">
        <v>2</v>
      </c>
      <c r="I2159" s="6"/>
      <c r="J2159" s="6"/>
      <c r="K2159" s="7">
        <v>0.75</v>
      </c>
      <c r="L2159" s="7">
        <v>182.7</v>
      </c>
      <c r="M2159" t="s">
        <v>18</v>
      </c>
      <c r="N2159" s="16">
        <f>POWER(SQRT(WorkOrders2710[[#This Row],[WorkDate]]-WorkOrders2710[[#This Row],[ReqDate]]),2)</f>
        <v>22</v>
      </c>
      <c r="O2159" s="8">
        <f t="array" ref="O2159">INDEX(TechRate,MATCH(H2159,TechNum,0))</f>
        <v>140</v>
      </c>
      <c r="P2159" s="10">
        <f>WorkOrders2710[[#This Row],[Techs]]*(WorkOrders2710[[#This Row],[PartsCost]]*WorkOrders2710[[#This Row],[LbrHrs]])</f>
        <v>274.04999999999995</v>
      </c>
      <c r="Q2159" s="10">
        <f t="shared" si="197"/>
        <v>274.04999999999995</v>
      </c>
      <c r="R2159" s="10">
        <f t="shared" si="198"/>
        <v>182.7</v>
      </c>
      <c r="S2159" s="10">
        <f t="shared" si="199"/>
        <v>456.74999999999994</v>
      </c>
      <c r="T2159" s="10">
        <f t="shared" si="200"/>
        <v>456.74999999999994</v>
      </c>
      <c r="U2159" s="8" t="str">
        <f t="shared" si="201"/>
        <v>Wed</v>
      </c>
      <c r="V2159" s="8" t="str">
        <f t="shared" si="202"/>
        <v>Thu</v>
      </c>
    </row>
    <row r="2160" spans="1:22" hidden="1" x14ac:dyDescent="0.25">
      <c r="A2160" t="s">
        <v>198</v>
      </c>
      <c r="B2160" t="s">
        <v>39</v>
      </c>
      <c r="C2160" t="s">
        <v>8</v>
      </c>
      <c r="D2160" t="s">
        <v>13</v>
      </c>
      <c r="F2160" s="5">
        <v>44146</v>
      </c>
      <c r="G2160" s="5">
        <v>44165</v>
      </c>
      <c r="H2160" s="2">
        <v>1</v>
      </c>
      <c r="I2160" s="6"/>
      <c r="J2160" s="6"/>
      <c r="K2160" s="7">
        <v>0.5</v>
      </c>
      <c r="L2160" s="7">
        <v>73.508899999999997</v>
      </c>
      <c r="M2160" t="s">
        <v>18</v>
      </c>
      <c r="N2160" s="16">
        <f>POWER(SQRT(WorkOrders2710[[#This Row],[WorkDate]]-WorkOrders2710[[#This Row],[ReqDate]]),2)</f>
        <v>19.000000000000004</v>
      </c>
      <c r="O2160" s="8">
        <f t="array" ref="O2160">INDEX(TechRate,MATCH(H2160,TechNum,0))</f>
        <v>80</v>
      </c>
      <c r="P2160" s="10">
        <f>WorkOrders2710[[#This Row],[Techs]]*(WorkOrders2710[[#This Row],[PartsCost]]*WorkOrders2710[[#This Row],[LbrHrs]])</f>
        <v>36.754449999999999</v>
      </c>
      <c r="Q2160" s="10">
        <f t="shared" si="197"/>
        <v>36.754449999999999</v>
      </c>
      <c r="R2160" s="10">
        <f t="shared" si="198"/>
        <v>73.508899999999997</v>
      </c>
      <c r="S2160" s="10">
        <f t="shared" si="199"/>
        <v>110.26335</v>
      </c>
      <c r="T2160" s="10">
        <f t="shared" si="200"/>
        <v>110.26335</v>
      </c>
      <c r="U2160" s="8" t="str">
        <f t="shared" si="201"/>
        <v>Wed</v>
      </c>
      <c r="V2160" s="8" t="str">
        <f t="shared" si="202"/>
        <v>Mon</v>
      </c>
    </row>
    <row r="2161" spans="1:22" hidden="1" x14ac:dyDescent="0.25">
      <c r="A2161" t="s">
        <v>199</v>
      </c>
      <c r="B2161" t="s">
        <v>34</v>
      </c>
      <c r="C2161" t="s">
        <v>44</v>
      </c>
      <c r="D2161" t="s">
        <v>13</v>
      </c>
      <c r="E2161" t="s">
        <v>3</v>
      </c>
      <c r="F2161" s="5">
        <v>44146</v>
      </c>
      <c r="G2161" s="5">
        <v>44166</v>
      </c>
      <c r="H2161" s="2">
        <v>2</v>
      </c>
      <c r="I2161" s="6"/>
      <c r="J2161" s="6"/>
      <c r="K2161" s="7">
        <v>0.5</v>
      </c>
      <c r="L2161" s="7">
        <v>115.22490000000001</v>
      </c>
      <c r="M2161" t="s">
        <v>17</v>
      </c>
      <c r="N2161" s="16">
        <f>POWER(SQRT(WorkOrders2710[[#This Row],[WorkDate]]-WorkOrders2710[[#This Row],[ReqDate]]),2)</f>
        <v>20.000000000000004</v>
      </c>
      <c r="O2161" s="8">
        <f t="array" ref="O2161">INDEX(TechRate,MATCH(H2161,TechNum,0))</f>
        <v>140</v>
      </c>
      <c r="P2161" s="10">
        <f>WorkOrders2710[[#This Row],[Techs]]*(WorkOrders2710[[#This Row],[PartsCost]]*WorkOrders2710[[#This Row],[LbrHrs]])</f>
        <v>115.22490000000001</v>
      </c>
      <c r="Q2161" s="10">
        <f t="shared" si="197"/>
        <v>115.22490000000001</v>
      </c>
      <c r="R2161" s="10">
        <f t="shared" si="198"/>
        <v>115.22490000000001</v>
      </c>
      <c r="S2161" s="10">
        <f t="shared" si="199"/>
        <v>230.44980000000001</v>
      </c>
      <c r="T2161" s="10">
        <f t="shared" si="200"/>
        <v>230.44980000000001</v>
      </c>
      <c r="U2161" s="8" t="str">
        <f t="shared" si="201"/>
        <v>Wed</v>
      </c>
      <c r="V2161" s="8" t="str">
        <f t="shared" si="202"/>
        <v>Tue</v>
      </c>
    </row>
    <row r="2162" spans="1:22" hidden="1" x14ac:dyDescent="0.25">
      <c r="A2162" t="s">
        <v>200</v>
      </c>
      <c r="B2162" t="s">
        <v>35</v>
      </c>
      <c r="C2162" t="s">
        <v>44</v>
      </c>
      <c r="D2162" t="s">
        <v>13</v>
      </c>
      <c r="F2162" s="5">
        <v>44147</v>
      </c>
      <c r="G2162" s="5">
        <v>44154</v>
      </c>
      <c r="H2162" s="2">
        <v>2</v>
      </c>
      <c r="I2162" s="6"/>
      <c r="J2162" s="6"/>
      <c r="K2162" s="7">
        <v>0.75</v>
      </c>
      <c r="L2162" s="7">
        <v>340.45229999999998</v>
      </c>
      <c r="M2162" t="s">
        <v>18</v>
      </c>
      <c r="N2162" s="16">
        <f>POWER(SQRT(WorkOrders2710[[#This Row],[WorkDate]]-WorkOrders2710[[#This Row],[ReqDate]]),2)</f>
        <v>7.0000000000000009</v>
      </c>
      <c r="O2162" s="8">
        <f t="array" ref="O2162">INDEX(TechRate,MATCH(H2162,TechNum,0))</f>
        <v>140</v>
      </c>
      <c r="P2162" s="10">
        <f>WorkOrders2710[[#This Row],[Techs]]*(WorkOrders2710[[#This Row],[PartsCost]]*WorkOrders2710[[#This Row],[LbrHrs]])</f>
        <v>510.67845</v>
      </c>
      <c r="Q2162" s="10">
        <f t="shared" si="197"/>
        <v>510.67845</v>
      </c>
      <c r="R2162" s="10">
        <f t="shared" si="198"/>
        <v>340.45229999999998</v>
      </c>
      <c r="S2162" s="10">
        <f t="shared" si="199"/>
        <v>851.13075000000003</v>
      </c>
      <c r="T2162" s="10">
        <f t="shared" si="200"/>
        <v>851.13075000000003</v>
      </c>
      <c r="U2162" s="8" t="str">
        <f t="shared" si="201"/>
        <v>Thu</v>
      </c>
      <c r="V2162" s="8" t="str">
        <f t="shared" si="202"/>
        <v>Thu</v>
      </c>
    </row>
    <row r="2163" spans="1:22" hidden="1" x14ac:dyDescent="0.25">
      <c r="A2163" t="s">
        <v>201</v>
      </c>
      <c r="B2163" t="s">
        <v>38</v>
      </c>
      <c r="C2163" t="s">
        <v>8</v>
      </c>
      <c r="D2163" t="s">
        <v>12</v>
      </c>
      <c r="F2163" s="5">
        <v>44147</v>
      </c>
      <c r="G2163" s="5">
        <v>44161</v>
      </c>
      <c r="H2163" s="2">
        <v>1</v>
      </c>
      <c r="I2163" s="6"/>
      <c r="J2163" s="6"/>
      <c r="K2163" s="7">
        <v>0.5</v>
      </c>
      <c r="L2163" s="7">
        <v>12</v>
      </c>
      <c r="M2163" t="s">
        <v>17</v>
      </c>
      <c r="N2163" s="16">
        <f>POWER(SQRT(WorkOrders2710[[#This Row],[WorkDate]]-WorkOrders2710[[#This Row],[ReqDate]]),2)</f>
        <v>14</v>
      </c>
      <c r="O2163" s="8">
        <f t="array" ref="O2163">INDEX(TechRate,MATCH(H2163,TechNum,0))</f>
        <v>80</v>
      </c>
      <c r="P2163" s="10">
        <f>WorkOrders2710[[#This Row],[Techs]]*(WorkOrders2710[[#This Row],[PartsCost]]*WorkOrders2710[[#This Row],[LbrHrs]])</f>
        <v>6</v>
      </c>
      <c r="Q2163" s="10">
        <f t="shared" si="197"/>
        <v>6</v>
      </c>
      <c r="R2163" s="10">
        <f t="shared" si="198"/>
        <v>12</v>
      </c>
      <c r="S2163" s="10">
        <f t="shared" si="199"/>
        <v>18</v>
      </c>
      <c r="T2163" s="10">
        <f t="shared" si="200"/>
        <v>18</v>
      </c>
      <c r="U2163" s="8" t="str">
        <f t="shared" si="201"/>
        <v>Thu</v>
      </c>
      <c r="V2163" s="8" t="str">
        <f t="shared" si="202"/>
        <v>Thu</v>
      </c>
    </row>
    <row r="2164" spans="1:22" hidden="1" x14ac:dyDescent="0.25">
      <c r="A2164" t="s">
        <v>202</v>
      </c>
      <c r="B2164" t="s">
        <v>39</v>
      </c>
      <c r="C2164" t="s">
        <v>8</v>
      </c>
      <c r="D2164" t="s">
        <v>13</v>
      </c>
      <c r="F2164" s="5">
        <v>44148</v>
      </c>
      <c r="G2164" s="5">
        <v>44159</v>
      </c>
      <c r="H2164" s="2">
        <v>1</v>
      </c>
      <c r="I2164" s="6"/>
      <c r="J2164" s="6"/>
      <c r="K2164" s="7">
        <v>0.5</v>
      </c>
      <c r="L2164" s="7">
        <v>36.754399999999997</v>
      </c>
      <c r="M2164" t="s">
        <v>17</v>
      </c>
      <c r="N2164" s="16">
        <f>POWER(SQRT(WorkOrders2710[[#This Row],[WorkDate]]-WorkOrders2710[[#This Row],[ReqDate]]),2)</f>
        <v>11</v>
      </c>
      <c r="O2164" s="8">
        <f t="array" ref="O2164">INDEX(TechRate,MATCH(H2164,TechNum,0))</f>
        <v>80</v>
      </c>
      <c r="P2164" s="10">
        <f>WorkOrders2710[[#This Row],[Techs]]*(WorkOrders2710[[#This Row],[PartsCost]]*WorkOrders2710[[#This Row],[LbrHrs]])</f>
        <v>18.377199999999998</v>
      </c>
      <c r="Q2164" s="10">
        <f t="shared" si="197"/>
        <v>18.377199999999998</v>
      </c>
      <c r="R2164" s="10">
        <f t="shared" si="198"/>
        <v>36.754399999999997</v>
      </c>
      <c r="S2164" s="10">
        <f t="shared" si="199"/>
        <v>55.131599999999992</v>
      </c>
      <c r="T2164" s="10">
        <f t="shared" si="200"/>
        <v>55.131599999999992</v>
      </c>
      <c r="U2164" s="8" t="str">
        <f t="shared" si="201"/>
        <v>Fri</v>
      </c>
      <c r="V2164" s="8" t="str">
        <f t="shared" si="202"/>
        <v>Tue</v>
      </c>
    </row>
    <row r="2165" spans="1:22" hidden="1" x14ac:dyDescent="0.25">
      <c r="A2165" t="s">
        <v>203</v>
      </c>
      <c r="B2165" t="s">
        <v>37</v>
      </c>
      <c r="C2165" t="s">
        <v>43</v>
      </c>
      <c r="D2165" t="s">
        <v>1</v>
      </c>
      <c r="F2165" s="5">
        <v>44149</v>
      </c>
      <c r="G2165" s="5">
        <v>44170</v>
      </c>
      <c r="H2165" s="2">
        <v>1</v>
      </c>
      <c r="I2165" s="6"/>
      <c r="J2165" s="6"/>
      <c r="K2165" s="7">
        <v>1.75</v>
      </c>
      <c r="L2165" s="7">
        <v>183.95</v>
      </c>
      <c r="M2165" t="s">
        <v>19</v>
      </c>
      <c r="N2165" s="16">
        <f>POWER(SQRT(WorkOrders2710[[#This Row],[WorkDate]]-WorkOrders2710[[#This Row],[ReqDate]]),2)</f>
        <v>21</v>
      </c>
      <c r="O2165" s="8">
        <f t="array" ref="O2165">INDEX(TechRate,MATCH(H2165,TechNum,0))</f>
        <v>80</v>
      </c>
      <c r="P2165" s="10">
        <f>WorkOrders2710[[#This Row],[Techs]]*(WorkOrders2710[[#This Row],[PartsCost]]*WorkOrders2710[[#This Row],[LbrHrs]])</f>
        <v>321.91249999999997</v>
      </c>
      <c r="Q2165" s="10">
        <f t="shared" si="197"/>
        <v>321.91249999999997</v>
      </c>
      <c r="R2165" s="10">
        <f t="shared" si="198"/>
        <v>183.95</v>
      </c>
      <c r="S2165" s="10">
        <f t="shared" si="199"/>
        <v>505.86249999999995</v>
      </c>
      <c r="T2165" s="10">
        <f t="shared" si="200"/>
        <v>505.86249999999995</v>
      </c>
      <c r="U2165" s="8" t="str">
        <f t="shared" si="201"/>
        <v>Sat</v>
      </c>
      <c r="V2165" s="8" t="str">
        <f t="shared" si="202"/>
        <v>Sat</v>
      </c>
    </row>
    <row r="2166" spans="1:22" hidden="1" x14ac:dyDescent="0.25">
      <c r="A2166" t="s">
        <v>204</v>
      </c>
      <c r="B2166" t="s">
        <v>38</v>
      </c>
      <c r="C2166" t="s">
        <v>8</v>
      </c>
      <c r="D2166" t="s">
        <v>12</v>
      </c>
      <c r="E2166" t="s">
        <v>3</v>
      </c>
      <c r="F2166" s="5">
        <v>44149</v>
      </c>
      <c r="G2166" s="5">
        <v>44167</v>
      </c>
      <c r="H2166" s="2">
        <v>1</v>
      </c>
      <c r="I2166" s="6"/>
      <c r="J2166" s="6"/>
      <c r="K2166" s="7">
        <v>0.25</v>
      </c>
      <c r="L2166" s="7">
        <v>26.582599999999999</v>
      </c>
      <c r="M2166" t="s">
        <v>19</v>
      </c>
      <c r="N2166" s="16">
        <f>POWER(SQRT(WorkOrders2710[[#This Row],[WorkDate]]-WorkOrders2710[[#This Row],[ReqDate]]),2)</f>
        <v>17.999999999999996</v>
      </c>
      <c r="O2166" s="8">
        <f t="array" ref="O2166">INDEX(TechRate,MATCH(H2166,TechNum,0))</f>
        <v>80</v>
      </c>
      <c r="P2166" s="10">
        <f>WorkOrders2710[[#This Row],[Techs]]*(WorkOrders2710[[#This Row],[PartsCost]]*WorkOrders2710[[#This Row],[LbrHrs]])</f>
        <v>6.6456499999999998</v>
      </c>
      <c r="Q2166" s="10">
        <f t="shared" si="197"/>
        <v>6.6456499999999998</v>
      </c>
      <c r="R2166" s="10">
        <f t="shared" si="198"/>
        <v>26.582599999999999</v>
      </c>
      <c r="S2166" s="10">
        <f t="shared" si="199"/>
        <v>33.228250000000003</v>
      </c>
      <c r="T2166" s="10">
        <f t="shared" si="200"/>
        <v>33.228250000000003</v>
      </c>
      <c r="U2166" s="8" t="str">
        <f t="shared" si="201"/>
        <v>Sat</v>
      </c>
      <c r="V2166" s="8" t="str">
        <f t="shared" si="202"/>
        <v>Wed</v>
      </c>
    </row>
    <row r="2167" spans="1:22" hidden="1" x14ac:dyDescent="0.25">
      <c r="A2167" t="s">
        <v>205</v>
      </c>
      <c r="B2167" t="s">
        <v>38</v>
      </c>
      <c r="C2167" t="s">
        <v>8</v>
      </c>
      <c r="D2167" t="s">
        <v>12</v>
      </c>
      <c r="F2167" s="5">
        <v>44151</v>
      </c>
      <c r="G2167" s="5">
        <v>44167</v>
      </c>
      <c r="H2167" s="2">
        <v>1</v>
      </c>
      <c r="I2167" s="6"/>
      <c r="J2167" s="6"/>
      <c r="K2167" s="7">
        <v>0.5</v>
      </c>
      <c r="L2167" s="7">
        <v>13.42</v>
      </c>
      <c r="M2167" t="s">
        <v>18</v>
      </c>
      <c r="N2167" s="16">
        <f>POWER(SQRT(WorkOrders2710[[#This Row],[WorkDate]]-WorkOrders2710[[#This Row],[ReqDate]]),2)</f>
        <v>16</v>
      </c>
      <c r="O2167" s="8">
        <f t="array" ref="O2167">INDEX(TechRate,MATCH(H2167,TechNum,0))</f>
        <v>80</v>
      </c>
      <c r="P2167" s="10">
        <f>WorkOrders2710[[#This Row],[Techs]]*(WorkOrders2710[[#This Row],[PartsCost]]*WorkOrders2710[[#This Row],[LbrHrs]])</f>
        <v>6.71</v>
      </c>
      <c r="Q2167" s="10">
        <f t="shared" si="197"/>
        <v>6.71</v>
      </c>
      <c r="R2167" s="10">
        <f t="shared" si="198"/>
        <v>13.42</v>
      </c>
      <c r="S2167" s="10">
        <f t="shared" si="199"/>
        <v>20.13</v>
      </c>
      <c r="T2167" s="10">
        <f t="shared" si="200"/>
        <v>20.13</v>
      </c>
      <c r="U2167" s="8" t="str">
        <f t="shared" si="201"/>
        <v>Mon</v>
      </c>
      <c r="V2167" s="8" t="str">
        <f t="shared" si="202"/>
        <v>Wed</v>
      </c>
    </row>
    <row r="2168" spans="1:22" hidden="1" x14ac:dyDescent="0.25">
      <c r="A2168" t="s">
        <v>206</v>
      </c>
      <c r="B2168" t="s">
        <v>38</v>
      </c>
      <c r="C2168" t="s">
        <v>8</v>
      </c>
      <c r="D2168" t="s">
        <v>1</v>
      </c>
      <c r="F2168" s="5">
        <v>44151</v>
      </c>
      <c r="G2168" s="5">
        <v>44168</v>
      </c>
      <c r="H2168" s="2">
        <v>1</v>
      </c>
      <c r="I2168" s="6"/>
      <c r="J2168" s="6"/>
      <c r="K2168" s="7">
        <v>1</v>
      </c>
      <c r="L2168" s="7">
        <v>324</v>
      </c>
      <c r="M2168" t="s">
        <v>19</v>
      </c>
      <c r="N2168" s="16">
        <f>POWER(SQRT(WorkOrders2710[[#This Row],[WorkDate]]-WorkOrders2710[[#This Row],[ReqDate]]),2)</f>
        <v>17</v>
      </c>
      <c r="O2168" s="8">
        <f t="array" ref="O2168">INDEX(TechRate,MATCH(H2168,TechNum,0))</f>
        <v>80</v>
      </c>
      <c r="P2168" s="10">
        <f>WorkOrders2710[[#This Row],[Techs]]*(WorkOrders2710[[#This Row],[PartsCost]]*WorkOrders2710[[#This Row],[LbrHrs]])</f>
        <v>324</v>
      </c>
      <c r="Q2168" s="10">
        <f t="shared" si="197"/>
        <v>324</v>
      </c>
      <c r="R2168" s="10">
        <f t="shared" si="198"/>
        <v>324</v>
      </c>
      <c r="S2168" s="10">
        <f t="shared" si="199"/>
        <v>648</v>
      </c>
      <c r="T2168" s="10">
        <f t="shared" si="200"/>
        <v>648</v>
      </c>
      <c r="U2168" s="8" t="str">
        <f t="shared" si="201"/>
        <v>Mon</v>
      </c>
      <c r="V2168" s="8" t="str">
        <f t="shared" si="202"/>
        <v>Thu</v>
      </c>
    </row>
    <row r="2169" spans="1:22" hidden="1" x14ac:dyDescent="0.25">
      <c r="A2169" t="s">
        <v>207</v>
      </c>
      <c r="B2169" t="s">
        <v>39</v>
      </c>
      <c r="C2169" t="s">
        <v>8</v>
      </c>
      <c r="D2169" t="s">
        <v>13</v>
      </c>
      <c r="F2169" s="5">
        <v>44152</v>
      </c>
      <c r="G2169" s="5">
        <v>44174</v>
      </c>
      <c r="H2169" s="2">
        <v>2</v>
      </c>
      <c r="I2169" s="6"/>
      <c r="J2169" s="6"/>
      <c r="K2169" s="7">
        <v>0.5</v>
      </c>
      <c r="L2169" s="7">
        <v>504.21269999999998</v>
      </c>
      <c r="M2169" t="s">
        <v>18</v>
      </c>
      <c r="N2169" s="16">
        <f>POWER(SQRT(WorkOrders2710[[#This Row],[WorkDate]]-WorkOrders2710[[#This Row],[ReqDate]]),2)</f>
        <v>22</v>
      </c>
      <c r="O2169" s="8">
        <f t="array" ref="O2169">INDEX(TechRate,MATCH(H2169,TechNum,0))</f>
        <v>140</v>
      </c>
      <c r="P2169" s="10">
        <f>WorkOrders2710[[#This Row],[Techs]]*(WorkOrders2710[[#This Row],[PartsCost]]*WorkOrders2710[[#This Row],[LbrHrs]])</f>
        <v>504.21269999999998</v>
      </c>
      <c r="Q2169" s="10">
        <f t="shared" si="197"/>
        <v>504.21269999999998</v>
      </c>
      <c r="R2169" s="10">
        <f t="shared" si="198"/>
        <v>504.21269999999998</v>
      </c>
      <c r="S2169" s="10">
        <f t="shared" si="199"/>
        <v>1008.4254</v>
      </c>
      <c r="T2169" s="10">
        <f t="shared" si="200"/>
        <v>1008.4254</v>
      </c>
      <c r="U2169" s="8" t="str">
        <f t="shared" si="201"/>
        <v>Tue</v>
      </c>
      <c r="V2169" s="8" t="str">
        <f t="shared" si="202"/>
        <v>Wed</v>
      </c>
    </row>
    <row r="2170" spans="1:22" hidden="1" x14ac:dyDescent="0.25">
      <c r="A2170" t="s">
        <v>208</v>
      </c>
      <c r="B2170" t="s">
        <v>34</v>
      </c>
      <c r="C2170" t="s">
        <v>8</v>
      </c>
      <c r="D2170" t="s">
        <v>12</v>
      </c>
      <c r="E2170" t="s">
        <v>3</v>
      </c>
      <c r="F2170" s="5">
        <v>44152</v>
      </c>
      <c r="G2170" s="5">
        <v>44180</v>
      </c>
      <c r="H2170" s="2">
        <v>2</v>
      </c>
      <c r="I2170" s="6"/>
      <c r="J2170" s="6"/>
      <c r="K2170" s="7">
        <v>0.5</v>
      </c>
      <c r="L2170" s="7">
        <v>338.0702</v>
      </c>
      <c r="M2170" t="s">
        <v>17</v>
      </c>
      <c r="N2170" s="16">
        <f>POWER(SQRT(WorkOrders2710[[#This Row],[WorkDate]]-WorkOrders2710[[#This Row],[ReqDate]]),2)</f>
        <v>28.000000000000004</v>
      </c>
      <c r="O2170" s="8">
        <f t="array" ref="O2170">INDEX(TechRate,MATCH(H2170,TechNum,0))</f>
        <v>140</v>
      </c>
      <c r="P2170" s="10">
        <f>WorkOrders2710[[#This Row],[Techs]]*(WorkOrders2710[[#This Row],[PartsCost]]*WorkOrders2710[[#This Row],[LbrHrs]])</f>
        <v>338.0702</v>
      </c>
      <c r="Q2170" s="10">
        <f t="shared" si="197"/>
        <v>338.0702</v>
      </c>
      <c r="R2170" s="10">
        <f t="shared" si="198"/>
        <v>338.0702</v>
      </c>
      <c r="S2170" s="10">
        <f t="shared" si="199"/>
        <v>676.1404</v>
      </c>
      <c r="T2170" s="10">
        <f t="shared" si="200"/>
        <v>676.1404</v>
      </c>
      <c r="U2170" s="8" t="str">
        <f t="shared" si="201"/>
        <v>Tue</v>
      </c>
      <c r="V2170" s="8" t="str">
        <f t="shared" si="202"/>
        <v>Tue</v>
      </c>
    </row>
    <row r="2171" spans="1:22" hidden="1" x14ac:dyDescent="0.25">
      <c r="A2171" t="s">
        <v>209</v>
      </c>
      <c r="B2171" t="s">
        <v>39</v>
      </c>
      <c r="C2171" t="s">
        <v>9</v>
      </c>
      <c r="D2171" t="s">
        <v>12</v>
      </c>
      <c r="F2171" s="5">
        <v>44153</v>
      </c>
      <c r="G2171" s="5">
        <v>44165</v>
      </c>
      <c r="H2171" s="2">
        <v>2</v>
      </c>
      <c r="I2171" s="6"/>
      <c r="J2171" s="6"/>
      <c r="K2171" s="7">
        <v>1.5</v>
      </c>
      <c r="L2171" s="7">
        <v>0.98399999999999999</v>
      </c>
      <c r="M2171" t="s">
        <v>18</v>
      </c>
      <c r="N2171" s="16">
        <f>POWER(SQRT(WorkOrders2710[[#This Row],[WorkDate]]-WorkOrders2710[[#This Row],[ReqDate]]),2)</f>
        <v>11.999999999999998</v>
      </c>
      <c r="O2171" s="8">
        <f t="array" ref="O2171">INDEX(TechRate,MATCH(H2171,TechNum,0))</f>
        <v>140</v>
      </c>
      <c r="P2171" s="10">
        <f>WorkOrders2710[[#This Row],[Techs]]*(WorkOrders2710[[#This Row],[PartsCost]]*WorkOrders2710[[#This Row],[LbrHrs]])</f>
        <v>2.952</v>
      </c>
      <c r="Q2171" s="10">
        <f t="shared" si="197"/>
        <v>2.952</v>
      </c>
      <c r="R2171" s="10">
        <f t="shared" si="198"/>
        <v>0.98399999999999999</v>
      </c>
      <c r="S2171" s="10">
        <f t="shared" si="199"/>
        <v>3.9359999999999999</v>
      </c>
      <c r="T2171" s="10">
        <f t="shared" si="200"/>
        <v>3.9359999999999999</v>
      </c>
      <c r="U2171" s="8" t="str">
        <f t="shared" si="201"/>
        <v>Wed</v>
      </c>
      <c r="V2171" s="8" t="str">
        <f t="shared" si="202"/>
        <v>Mon</v>
      </c>
    </row>
    <row r="2172" spans="1:22" hidden="1" x14ac:dyDescent="0.25">
      <c r="A2172" t="s">
        <v>210</v>
      </c>
      <c r="B2172" t="s">
        <v>39</v>
      </c>
      <c r="C2172" t="s">
        <v>8</v>
      </c>
      <c r="D2172" t="s">
        <v>12</v>
      </c>
      <c r="F2172" s="5">
        <v>44153</v>
      </c>
      <c r="G2172" s="5">
        <v>44165</v>
      </c>
      <c r="H2172" s="2">
        <v>1</v>
      </c>
      <c r="I2172" s="6"/>
      <c r="J2172" s="6"/>
      <c r="K2172" s="7">
        <v>0.5</v>
      </c>
      <c r="L2172" s="7">
        <v>14.88</v>
      </c>
      <c r="M2172" t="s">
        <v>17</v>
      </c>
      <c r="N2172" s="16">
        <f>POWER(SQRT(WorkOrders2710[[#This Row],[WorkDate]]-WorkOrders2710[[#This Row],[ReqDate]]),2)</f>
        <v>11.999999999999998</v>
      </c>
      <c r="O2172" s="8">
        <f t="array" ref="O2172">INDEX(TechRate,MATCH(H2172,TechNum,0))</f>
        <v>80</v>
      </c>
      <c r="P2172" s="10">
        <f>WorkOrders2710[[#This Row],[Techs]]*(WorkOrders2710[[#This Row],[PartsCost]]*WorkOrders2710[[#This Row],[LbrHrs]])</f>
        <v>7.44</v>
      </c>
      <c r="Q2172" s="10">
        <f t="shared" si="197"/>
        <v>7.44</v>
      </c>
      <c r="R2172" s="10">
        <f t="shared" si="198"/>
        <v>14.88</v>
      </c>
      <c r="S2172" s="10">
        <f t="shared" si="199"/>
        <v>22.32</v>
      </c>
      <c r="T2172" s="10">
        <f t="shared" si="200"/>
        <v>22.32</v>
      </c>
      <c r="U2172" s="8" t="str">
        <f t="shared" si="201"/>
        <v>Wed</v>
      </c>
      <c r="V2172" s="8" t="str">
        <f t="shared" si="202"/>
        <v>Mon</v>
      </c>
    </row>
    <row r="2173" spans="1:22" hidden="1" x14ac:dyDescent="0.25">
      <c r="A2173" t="s">
        <v>211</v>
      </c>
      <c r="B2173" t="s">
        <v>37</v>
      </c>
      <c r="C2173" t="s">
        <v>43</v>
      </c>
      <c r="D2173" t="s">
        <v>12</v>
      </c>
      <c r="F2173" s="5">
        <v>44154</v>
      </c>
      <c r="G2173" s="5">
        <v>44165</v>
      </c>
      <c r="H2173" s="2">
        <v>1</v>
      </c>
      <c r="I2173" s="6"/>
      <c r="J2173" s="6"/>
      <c r="K2173" s="7">
        <v>0.5</v>
      </c>
      <c r="L2173" s="7">
        <v>81.900000000000006</v>
      </c>
      <c r="M2173" t="s">
        <v>17</v>
      </c>
      <c r="N2173" s="16">
        <f>POWER(SQRT(WorkOrders2710[[#This Row],[WorkDate]]-WorkOrders2710[[#This Row],[ReqDate]]),2)</f>
        <v>11</v>
      </c>
      <c r="O2173" s="8">
        <f t="array" ref="O2173">INDEX(TechRate,MATCH(H2173,TechNum,0))</f>
        <v>80</v>
      </c>
      <c r="P2173" s="10">
        <f>WorkOrders2710[[#This Row],[Techs]]*(WorkOrders2710[[#This Row],[PartsCost]]*WorkOrders2710[[#This Row],[LbrHrs]])</f>
        <v>40.950000000000003</v>
      </c>
      <c r="Q2173" s="10">
        <f t="shared" si="197"/>
        <v>40.950000000000003</v>
      </c>
      <c r="R2173" s="10">
        <f t="shared" si="198"/>
        <v>81.900000000000006</v>
      </c>
      <c r="S2173" s="10">
        <f t="shared" si="199"/>
        <v>122.85000000000001</v>
      </c>
      <c r="T2173" s="10">
        <f t="shared" si="200"/>
        <v>122.85000000000001</v>
      </c>
      <c r="U2173" s="8" t="str">
        <f t="shared" si="201"/>
        <v>Thu</v>
      </c>
      <c r="V2173" s="8" t="str">
        <f t="shared" si="202"/>
        <v>Mon</v>
      </c>
    </row>
    <row r="2174" spans="1:22" hidden="1" x14ac:dyDescent="0.25">
      <c r="A2174" t="s">
        <v>212</v>
      </c>
      <c r="B2174" t="s">
        <v>35</v>
      </c>
      <c r="C2174" t="s">
        <v>9</v>
      </c>
      <c r="D2174" t="s">
        <v>12</v>
      </c>
      <c r="F2174" s="5">
        <v>44154</v>
      </c>
      <c r="G2174" s="5">
        <v>44168</v>
      </c>
      <c r="H2174" s="2">
        <v>2</v>
      </c>
      <c r="I2174" s="6"/>
      <c r="J2174" s="6"/>
      <c r="K2174" s="7">
        <v>0.25</v>
      </c>
      <c r="L2174" s="7">
        <v>21.33</v>
      </c>
      <c r="M2174" t="s">
        <v>17</v>
      </c>
      <c r="N2174" s="16">
        <f>POWER(SQRT(WorkOrders2710[[#This Row],[WorkDate]]-WorkOrders2710[[#This Row],[ReqDate]]),2)</f>
        <v>14</v>
      </c>
      <c r="O2174" s="8">
        <f t="array" ref="O2174">INDEX(TechRate,MATCH(H2174,TechNum,0))</f>
        <v>140</v>
      </c>
      <c r="P2174" s="10">
        <f>WorkOrders2710[[#This Row],[Techs]]*(WorkOrders2710[[#This Row],[PartsCost]]*WorkOrders2710[[#This Row],[LbrHrs]])</f>
        <v>10.664999999999999</v>
      </c>
      <c r="Q2174" s="10">
        <f t="shared" si="197"/>
        <v>10.664999999999999</v>
      </c>
      <c r="R2174" s="10">
        <f t="shared" si="198"/>
        <v>21.33</v>
      </c>
      <c r="S2174" s="10">
        <f t="shared" si="199"/>
        <v>31.994999999999997</v>
      </c>
      <c r="T2174" s="10">
        <f t="shared" si="200"/>
        <v>31.994999999999997</v>
      </c>
      <c r="U2174" s="8" t="str">
        <f t="shared" si="201"/>
        <v>Thu</v>
      </c>
      <c r="V2174" s="8" t="str">
        <f t="shared" si="202"/>
        <v>Thu</v>
      </c>
    </row>
    <row r="2175" spans="1:22" hidden="1" x14ac:dyDescent="0.25">
      <c r="A2175" t="s">
        <v>213</v>
      </c>
      <c r="B2175" t="s">
        <v>34</v>
      </c>
      <c r="C2175" t="s">
        <v>8</v>
      </c>
      <c r="D2175" t="s">
        <v>12</v>
      </c>
      <c r="F2175" s="5">
        <v>44154</v>
      </c>
      <c r="G2175" s="5">
        <v>44168</v>
      </c>
      <c r="H2175" s="2">
        <v>1</v>
      </c>
      <c r="I2175" s="6"/>
      <c r="J2175" s="6"/>
      <c r="K2175" s="7">
        <v>0.25</v>
      </c>
      <c r="L2175" s="7">
        <v>120</v>
      </c>
      <c r="M2175" t="s">
        <v>19</v>
      </c>
      <c r="N2175" s="16">
        <f>POWER(SQRT(WorkOrders2710[[#This Row],[WorkDate]]-WorkOrders2710[[#This Row],[ReqDate]]),2)</f>
        <v>14</v>
      </c>
      <c r="O2175" s="8">
        <f t="array" ref="O2175">INDEX(TechRate,MATCH(H2175,TechNum,0))</f>
        <v>80</v>
      </c>
      <c r="P2175" s="10">
        <f>WorkOrders2710[[#This Row],[Techs]]*(WorkOrders2710[[#This Row],[PartsCost]]*WorkOrders2710[[#This Row],[LbrHrs]])</f>
        <v>30</v>
      </c>
      <c r="Q2175" s="10">
        <f t="shared" si="197"/>
        <v>30</v>
      </c>
      <c r="R2175" s="10">
        <f t="shared" si="198"/>
        <v>120</v>
      </c>
      <c r="S2175" s="10">
        <f t="shared" si="199"/>
        <v>150</v>
      </c>
      <c r="T2175" s="10">
        <f t="shared" si="200"/>
        <v>150</v>
      </c>
      <c r="U2175" s="8" t="str">
        <f t="shared" si="201"/>
        <v>Thu</v>
      </c>
      <c r="V2175" s="8" t="str">
        <f t="shared" si="202"/>
        <v>Thu</v>
      </c>
    </row>
    <row r="2176" spans="1:22" hidden="1" x14ac:dyDescent="0.25">
      <c r="A2176" t="s">
        <v>214</v>
      </c>
      <c r="B2176" t="s">
        <v>35</v>
      </c>
      <c r="C2176" t="s">
        <v>6</v>
      </c>
      <c r="D2176" t="s">
        <v>13</v>
      </c>
      <c r="F2176" s="5">
        <v>44154</v>
      </c>
      <c r="G2176" s="5">
        <v>44182</v>
      </c>
      <c r="H2176" s="2">
        <v>2</v>
      </c>
      <c r="I2176" s="6"/>
      <c r="J2176" s="6"/>
      <c r="K2176" s="7">
        <v>0.5</v>
      </c>
      <c r="L2176" s="7">
        <v>1579.4</v>
      </c>
      <c r="M2176" t="s">
        <v>17</v>
      </c>
      <c r="N2176" s="16">
        <f>POWER(SQRT(WorkOrders2710[[#This Row],[WorkDate]]-WorkOrders2710[[#This Row],[ReqDate]]),2)</f>
        <v>28.000000000000004</v>
      </c>
      <c r="O2176" s="8">
        <f t="array" ref="O2176">INDEX(TechRate,MATCH(H2176,TechNum,0))</f>
        <v>140</v>
      </c>
      <c r="P2176" s="10">
        <f>WorkOrders2710[[#This Row],[Techs]]*(WorkOrders2710[[#This Row],[PartsCost]]*WorkOrders2710[[#This Row],[LbrHrs]])</f>
        <v>1579.4</v>
      </c>
      <c r="Q2176" s="10">
        <f t="shared" si="197"/>
        <v>1579.4</v>
      </c>
      <c r="R2176" s="10">
        <f t="shared" si="198"/>
        <v>1579.4</v>
      </c>
      <c r="S2176" s="10">
        <f t="shared" si="199"/>
        <v>3158.8</v>
      </c>
      <c r="T2176" s="10">
        <f t="shared" si="200"/>
        <v>3158.8</v>
      </c>
      <c r="U2176" s="8" t="str">
        <f t="shared" si="201"/>
        <v>Thu</v>
      </c>
      <c r="V2176" s="8" t="str">
        <f t="shared" si="202"/>
        <v>Thu</v>
      </c>
    </row>
    <row r="2177" spans="1:22" hidden="1" x14ac:dyDescent="0.25">
      <c r="A2177" t="s">
        <v>215</v>
      </c>
      <c r="B2177" t="s">
        <v>37</v>
      </c>
      <c r="C2177" t="s">
        <v>8</v>
      </c>
      <c r="D2177" t="s">
        <v>13</v>
      </c>
      <c r="F2177" s="5">
        <v>44156</v>
      </c>
      <c r="G2177" s="5">
        <v>44165</v>
      </c>
      <c r="H2177" s="2">
        <v>2</v>
      </c>
      <c r="I2177" s="6"/>
      <c r="J2177" s="6"/>
      <c r="K2177" s="7">
        <v>0.5</v>
      </c>
      <c r="L2177" s="7">
        <v>174.18029999999999</v>
      </c>
      <c r="M2177" t="s">
        <v>18</v>
      </c>
      <c r="N2177" s="16">
        <f>POWER(SQRT(WorkOrders2710[[#This Row],[WorkDate]]-WorkOrders2710[[#This Row],[ReqDate]]),2)</f>
        <v>9</v>
      </c>
      <c r="O2177" s="8">
        <f t="array" ref="O2177">INDEX(TechRate,MATCH(H2177,TechNum,0))</f>
        <v>140</v>
      </c>
      <c r="P2177" s="10">
        <f>WorkOrders2710[[#This Row],[Techs]]*(WorkOrders2710[[#This Row],[PartsCost]]*WorkOrders2710[[#This Row],[LbrHrs]])</f>
        <v>174.18029999999999</v>
      </c>
      <c r="Q2177" s="10">
        <f t="shared" si="197"/>
        <v>174.18029999999999</v>
      </c>
      <c r="R2177" s="10">
        <f t="shared" si="198"/>
        <v>174.18029999999999</v>
      </c>
      <c r="S2177" s="10">
        <f t="shared" si="199"/>
        <v>348.36059999999998</v>
      </c>
      <c r="T2177" s="10">
        <f t="shared" si="200"/>
        <v>348.36059999999998</v>
      </c>
      <c r="U2177" s="8" t="str">
        <f t="shared" si="201"/>
        <v>Sat</v>
      </c>
      <c r="V2177" s="8" t="str">
        <f t="shared" si="202"/>
        <v>Mon</v>
      </c>
    </row>
    <row r="2178" spans="1:22" hidden="1" x14ac:dyDescent="0.25">
      <c r="A2178" t="s">
        <v>216</v>
      </c>
      <c r="B2178" t="s">
        <v>34</v>
      </c>
      <c r="C2178" t="s">
        <v>9</v>
      </c>
      <c r="D2178" t="s">
        <v>13</v>
      </c>
      <c r="F2178" s="5">
        <v>44158</v>
      </c>
      <c r="G2178" s="5">
        <v>44172</v>
      </c>
      <c r="H2178" s="2">
        <v>1</v>
      </c>
      <c r="I2178" s="6"/>
      <c r="J2178" s="6"/>
      <c r="K2178" s="7">
        <v>0.75</v>
      </c>
      <c r="L2178" s="7">
        <v>20</v>
      </c>
      <c r="M2178" t="s">
        <v>17</v>
      </c>
      <c r="N2178" s="16">
        <f>POWER(SQRT(WorkOrders2710[[#This Row],[WorkDate]]-WorkOrders2710[[#This Row],[ReqDate]]),2)</f>
        <v>14</v>
      </c>
      <c r="O2178" s="8">
        <f t="array" ref="O2178">INDEX(TechRate,MATCH(H2178,TechNum,0))</f>
        <v>80</v>
      </c>
      <c r="P2178" s="10">
        <f>WorkOrders2710[[#This Row],[Techs]]*(WorkOrders2710[[#This Row],[PartsCost]]*WorkOrders2710[[#This Row],[LbrHrs]])</f>
        <v>15</v>
      </c>
      <c r="Q2178" s="10">
        <f t="shared" si="197"/>
        <v>15</v>
      </c>
      <c r="R2178" s="10">
        <f t="shared" si="198"/>
        <v>20</v>
      </c>
      <c r="S2178" s="10">
        <f t="shared" si="199"/>
        <v>35</v>
      </c>
      <c r="T2178" s="10">
        <f t="shared" si="200"/>
        <v>35</v>
      </c>
      <c r="U2178" s="8" t="str">
        <f t="shared" si="201"/>
        <v>Mon</v>
      </c>
      <c r="V2178" s="8" t="str">
        <f t="shared" si="202"/>
        <v>Mon</v>
      </c>
    </row>
    <row r="2179" spans="1:22" hidden="1" x14ac:dyDescent="0.25">
      <c r="A2179" t="s">
        <v>217</v>
      </c>
      <c r="B2179" t="s">
        <v>35</v>
      </c>
      <c r="C2179" t="s">
        <v>8</v>
      </c>
      <c r="D2179" t="s">
        <v>1</v>
      </c>
      <c r="F2179" s="5">
        <v>44158</v>
      </c>
      <c r="G2179" s="5">
        <v>44201</v>
      </c>
      <c r="H2179" s="2">
        <v>1</v>
      </c>
      <c r="I2179" s="6"/>
      <c r="J2179" s="6"/>
      <c r="K2179" s="7">
        <v>2.5</v>
      </c>
      <c r="L2179" s="7">
        <v>689.15409999999997</v>
      </c>
      <c r="M2179" t="s">
        <v>19</v>
      </c>
      <c r="N2179" s="16">
        <f>POWER(SQRT(WorkOrders2710[[#This Row],[WorkDate]]-WorkOrders2710[[#This Row],[ReqDate]]),2)</f>
        <v>42.999999999999993</v>
      </c>
      <c r="O2179" s="8">
        <f t="array" ref="O2179">INDEX(TechRate,MATCH(H2179,TechNum,0))</f>
        <v>80</v>
      </c>
      <c r="P2179" s="10">
        <f>WorkOrders2710[[#This Row],[Techs]]*(WorkOrders2710[[#This Row],[PartsCost]]*WorkOrders2710[[#This Row],[LbrHrs]])</f>
        <v>1722.8852499999998</v>
      </c>
      <c r="Q2179" s="10">
        <f t="shared" si="197"/>
        <v>1722.8852499999998</v>
      </c>
      <c r="R2179" s="10">
        <f t="shared" si="198"/>
        <v>689.15409999999997</v>
      </c>
      <c r="S2179" s="10">
        <f t="shared" si="199"/>
        <v>2412.03935</v>
      </c>
      <c r="T2179" s="10">
        <f t="shared" si="200"/>
        <v>2412.03935</v>
      </c>
      <c r="U2179" s="8" t="str">
        <f t="shared" si="201"/>
        <v>Mon</v>
      </c>
      <c r="V2179" s="8" t="str">
        <f t="shared" si="202"/>
        <v>Tue</v>
      </c>
    </row>
    <row r="2180" spans="1:22" hidden="1" x14ac:dyDescent="0.25">
      <c r="A2180" t="s">
        <v>218</v>
      </c>
      <c r="B2180" t="s">
        <v>39</v>
      </c>
      <c r="C2180" t="s">
        <v>6</v>
      </c>
      <c r="D2180" t="s">
        <v>12</v>
      </c>
      <c r="F2180" s="5">
        <v>44158</v>
      </c>
      <c r="G2180" s="5">
        <v>44203</v>
      </c>
      <c r="H2180" s="2">
        <v>1</v>
      </c>
      <c r="I2180" s="6"/>
      <c r="J2180" s="6"/>
      <c r="K2180" s="7">
        <v>0.25</v>
      </c>
      <c r="L2180" s="7">
        <v>156</v>
      </c>
      <c r="M2180" t="s">
        <v>17</v>
      </c>
      <c r="N2180" s="16">
        <f>POWER(SQRT(WorkOrders2710[[#This Row],[WorkDate]]-WorkOrders2710[[#This Row],[ReqDate]]),2)</f>
        <v>45.000000000000007</v>
      </c>
      <c r="O2180" s="8">
        <f t="array" ref="O2180">INDEX(TechRate,MATCH(H2180,TechNum,0))</f>
        <v>80</v>
      </c>
      <c r="P2180" s="10">
        <f>WorkOrders2710[[#This Row],[Techs]]*(WorkOrders2710[[#This Row],[PartsCost]]*WorkOrders2710[[#This Row],[LbrHrs]])</f>
        <v>39</v>
      </c>
      <c r="Q2180" s="10">
        <f t="shared" si="197"/>
        <v>39</v>
      </c>
      <c r="R2180" s="10">
        <f t="shared" si="198"/>
        <v>156</v>
      </c>
      <c r="S2180" s="10">
        <f t="shared" si="199"/>
        <v>195</v>
      </c>
      <c r="T2180" s="10">
        <f t="shared" si="200"/>
        <v>195</v>
      </c>
      <c r="U2180" s="8" t="str">
        <f t="shared" si="201"/>
        <v>Mon</v>
      </c>
      <c r="V2180" s="8" t="str">
        <f t="shared" si="202"/>
        <v>Thu</v>
      </c>
    </row>
    <row r="2181" spans="1:22" hidden="1" x14ac:dyDescent="0.25">
      <c r="A2181" t="s">
        <v>219</v>
      </c>
      <c r="B2181" t="s">
        <v>37</v>
      </c>
      <c r="C2181" t="s">
        <v>43</v>
      </c>
      <c r="D2181" t="s">
        <v>12</v>
      </c>
      <c r="F2181" s="5">
        <v>44158</v>
      </c>
      <c r="G2181" s="5">
        <v>44212</v>
      </c>
      <c r="H2181" s="2">
        <v>1</v>
      </c>
      <c r="I2181" s="6"/>
      <c r="J2181" s="6"/>
      <c r="K2181" s="7">
        <v>0.25</v>
      </c>
      <c r="L2181" s="7">
        <v>45.734099999999998</v>
      </c>
      <c r="M2181" t="s">
        <v>17</v>
      </c>
      <c r="N2181" s="16">
        <f>POWER(SQRT(WorkOrders2710[[#This Row],[WorkDate]]-WorkOrders2710[[#This Row],[ReqDate]]),2)</f>
        <v>54</v>
      </c>
      <c r="O2181" s="8">
        <f t="array" ref="O2181">INDEX(TechRate,MATCH(H2181,TechNum,0))</f>
        <v>80</v>
      </c>
      <c r="P2181" s="10">
        <f>WorkOrders2710[[#This Row],[Techs]]*(WorkOrders2710[[#This Row],[PartsCost]]*WorkOrders2710[[#This Row],[LbrHrs]])</f>
        <v>11.433524999999999</v>
      </c>
      <c r="Q2181" s="10">
        <f t="shared" si="197"/>
        <v>11.433524999999999</v>
      </c>
      <c r="R2181" s="10">
        <f t="shared" si="198"/>
        <v>45.734099999999998</v>
      </c>
      <c r="S2181" s="10">
        <f t="shared" si="199"/>
        <v>57.167625000000001</v>
      </c>
      <c r="T2181" s="10">
        <f t="shared" si="200"/>
        <v>57.167625000000001</v>
      </c>
      <c r="U2181" s="8" t="str">
        <f t="shared" si="201"/>
        <v>Mon</v>
      </c>
      <c r="V2181" s="8" t="str">
        <f t="shared" si="202"/>
        <v>Sat</v>
      </c>
    </row>
    <row r="2182" spans="1:22" hidden="1" x14ac:dyDescent="0.25">
      <c r="A2182" t="s">
        <v>220</v>
      </c>
      <c r="B2182" t="s">
        <v>40</v>
      </c>
      <c r="C2182" t="s">
        <v>7</v>
      </c>
      <c r="D2182" t="s">
        <v>13</v>
      </c>
      <c r="F2182" s="5">
        <v>44158</v>
      </c>
      <c r="G2182" s="5">
        <v>44236</v>
      </c>
      <c r="H2182" s="2">
        <v>2</v>
      </c>
      <c r="I2182" s="6"/>
      <c r="J2182" s="6"/>
      <c r="K2182" s="7">
        <v>0.5</v>
      </c>
      <c r="L2182" s="7">
        <v>204.28399999999999</v>
      </c>
      <c r="M2182" t="s">
        <v>17</v>
      </c>
      <c r="N2182" s="16">
        <f>POWER(SQRT(WorkOrders2710[[#This Row],[WorkDate]]-WorkOrders2710[[#This Row],[ReqDate]]),2)</f>
        <v>78.000000000000014</v>
      </c>
      <c r="O2182" s="8">
        <f t="array" ref="O2182">INDEX(TechRate,MATCH(H2182,TechNum,0))</f>
        <v>140</v>
      </c>
      <c r="P2182" s="10">
        <f>WorkOrders2710[[#This Row],[Techs]]*(WorkOrders2710[[#This Row],[PartsCost]]*WorkOrders2710[[#This Row],[LbrHrs]])</f>
        <v>204.28399999999999</v>
      </c>
      <c r="Q2182" s="10">
        <f t="shared" si="197"/>
        <v>204.28399999999999</v>
      </c>
      <c r="R2182" s="10">
        <f t="shared" si="198"/>
        <v>204.28399999999999</v>
      </c>
      <c r="S2182" s="10">
        <f t="shared" si="199"/>
        <v>408.56799999999998</v>
      </c>
      <c r="T2182" s="10">
        <f t="shared" si="200"/>
        <v>408.56799999999998</v>
      </c>
      <c r="U2182" s="8" t="str">
        <f t="shared" si="201"/>
        <v>Mon</v>
      </c>
      <c r="V2182" s="8" t="str">
        <f t="shared" si="202"/>
        <v>Tue</v>
      </c>
    </row>
    <row r="2183" spans="1:22" hidden="1" x14ac:dyDescent="0.25">
      <c r="A2183" t="s">
        <v>221</v>
      </c>
      <c r="B2183" t="s">
        <v>35</v>
      </c>
      <c r="C2183" t="s">
        <v>8</v>
      </c>
      <c r="D2183" t="s">
        <v>11</v>
      </c>
      <c r="E2183" t="s">
        <v>3</v>
      </c>
      <c r="F2183" s="5">
        <v>44159</v>
      </c>
      <c r="G2183" s="5">
        <v>44161</v>
      </c>
      <c r="H2183" s="2">
        <v>1</v>
      </c>
      <c r="I2183" s="6"/>
      <c r="J2183" s="6"/>
      <c r="K2183" s="7">
        <v>0.25</v>
      </c>
      <c r="L2183" s="7">
        <v>21.33</v>
      </c>
      <c r="M2183" t="s">
        <v>17</v>
      </c>
      <c r="N2183" s="16">
        <f>POWER(SQRT(WorkOrders2710[[#This Row],[WorkDate]]-WorkOrders2710[[#This Row],[ReqDate]]),2)</f>
        <v>2.0000000000000004</v>
      </c>
      <c r="O2183" s="8">
        <f t="array" ref="O2183">INDEX(TechRate,MATCH(H2183,TechNum,0))</f>
        <v>80</v>
      </c>
      <c r="P2183" s="10">
        <f>WorkOrders2710[[#This Row],[Techs]]*(WorkOrders2710[[#This Row],[PartsCost]]*WorkOrders2710[[#This Row],[LbrHrs]])</f>
        <v>5.3324999999999996</v>
      </c>
      <c r="Q2183" s="10">
        <f t="shared" si="197"/>
        <v>5.3324999999999996</v>
      </c>
      <c r="R2183" s="10">
        <f t="shared" si="198"/>
        <v>21.33</v>
      </c>
      <c r="S2183" s="10">
        <f t="shared" si="199"/>
        <v>26.662499999999998</v>
      </c>
      <c r="T2183" s="10">
        <f t="shared" si="200"/>
        <v>26.662499999999998</v>
      </c>
      <c r="U2183" s="8" t="str">
        <f t="shared" si="201"/>
        <v>Tue</v>
      </c>
      <c r="V2183" s="8" t="str">
        <f t="shared" si="202"/>
        <v>Thu</v>
      </c>
    </row>
    <row r="2184" spans="1:22" hidden="1" x14ac:dyDescent="0.25">
      <c r="A2184" t="s">
        <v>222</v>
      </c>
      <c r="B2184" t="s">
        <v>39</v>
      </c>
      <c r="C2184" t="s">
        <v>8</v>
      </c>
      <c r="D2184" t="s">
        <v>13</v>
      </c>
      <c r="F2184" s="5">
        <v>44159</v>
      </c>
      <c r="G2184" s="5">
        <v>44168</v>
      </c>
      <c r="H2184" s="2">
        <v>1</v>
      </c>
      <c r="I2184" s="6"/>
      <c r="J2184" s="6"/>
      <c r="K2184" s="7">
        <v>0.5</v>
      </c>
      <c r="L2184" s="7">
        <v>34.08</v>
      </c>
      <c r="M2184" t="s">
        <v>19</v>
      </c>
      <c r="N2184" s="16">
        <f>POWER(SQRT(WorkOrders2710[[#This Row],[WorkDate]]-WorkOrders2710[[#This Row],[ReqDate]]),2)</f>
        <v>9</v>
      </c>
      <c r="O2184" s="8">
        <f t="array" ref="O2184">INDEX(TechRate,MATCH(H2184,TechNum,0))</f>
        <v>80</v>
      </c>
      <c r="P2184" s="10">
        <f>WorkOrders2710[[#This Row],[Techs]]*(WorkOrders2710[[#This Row],[PartsCost]]*WorkOrders2710[[#This Row],[LbrHrs]])</f>
        <v>17.04</v>
      </c>
      <c r="Q2184" s="10">
        <f t="shared" si="197"/>
        <v>17.04</v>
      </c>
      <c r="R2184" s="10">
        <f t="shared" si="198"/>
        <v>34.08</v>
      </c>
      <c r="S2184" s="10">
        <f t="shared" si="199"/>
        <v>51.12</v>
      </c>
      <c r="T2184" s="10">
        <f t="shared" si="200"/>
        <v>51.12</v>
      </c>
      <c r="U2184" s="8" t="str">
        <f t="shared" si="201"/>
        <v>Tue</v>
      </c>
      <c r="V2184" s="8" t="str">
        <f t="shared" si="202"/>
        <v>Thu</v>
      </c>
    </row>
    <row r="2185" spans="1:22" hidden="1" x14ac:dyDescent="0.25">
      <c r="A2185" t="s">
        <v>223</v>
      </c>
      <c r="B2185" t="s">
        <v>35</v>
      </c>
      <c r="C2185" t="s">
        <v>6</v>
      </c>
      <c r="D2185" t="s">
        <v>13</v>
      </c>
      <c r="F2185" s="5">
        <v>44159</v>
      </c>
      <c r="G2185" s="5">
        <v>44168</v>
      </c>
      <c r="H2185" s="2">
        <v>2</v>
      </c>
      <c r="I2185" s="6"/>
      <c r="J2185" s="6"/>
      <c r="K2185" s="7">
        <v>0.75</v>
      </c>
      <c r="L2185" s="7">
        <v>212.0085</v>
      </c>
      <c r="M2185" t="s">
        <v>17</v>
      </c>
      <c r="N2185" s="16">
        <f>POWER(SQRT(WorkOrders2710[[#This Row],[WorkDate]]-WorkOrders2710[[#This Row],[ReqDate]]),2)</f>
        <v>9</v>
      </c>
      <c r="O2185" s="8">
        <f t="array" ref="O2185">INDEX(TechRate,MATCH(H2185,TechNum,0))</f>
        <v>140</v>
      </c>
      <c r="P2185" s="10">
        <f>WorkOrders2710[[#This Row],[Techs]]*(WorkOrders2710[[#This Row],[PartsCost]]*WorkOrders2710[[#This Row],[LbrHrs]])</f>
        <v>318.01274999999998</v>
      </c>
      <c r="Q2185" s="10">
        <f t="shared" si="197"/>
        <v>318.01274999999998</v>
      </c>
      <c r="R2185" s="10">
        <f t="shared" si="198"/>
        <v>212.0085</v>
      </c>
      <c r="S2185" s="10">
        <f t="shared" si="199"/>
        <v>530.02125000000001</v>
      </c>
      <c r="T2185" s="10">
        <f t="shared" si="200"/>
        <v>530.02125000000001</v>
      </c>
      <c r="U2185" s="8" t="str">
        <f t="shared" si="201"/>
        <v>Tue</v>
      </c>
      <c r="V2185" s="8" t="str">
        <f t="shared" si="202"/>
        <v>Thu</v>
      </c>
    </row>
    <row r="2186" spans="1:22" hidden="1" x14ac:dyDescent="0.25">
      <c r="A2186" t="s">
        <v>224</v>
      </c>
      <c r="B2186" t="s">
        <v>35</v>
      </c>
      <c r="C2186" t="s">
        <v>8</v>
      </c>
      <c r="D2186" t="s">
        <v>2</v>
      </c>
      <c r="F2186" s="5">
        <v>44159</v>
      </c>
      <c r="G2186" s="5">
        <v>44172</v>
      </c>
      <c r="H2186" s="2">
        <v>1</v>
      </c>
      <c r="I2186" s="6"/>
      <c r="J2186" s="6"/>
      <c r="K2186" s="7">
        <v>1</v>
      </c>
      <c r="L2186" s="7">
        <v>341.2672</v>
      </c>
      <c r="M2186" t="s">
        <v>18</v>
      </c>
      <c r="N2186" s="16">
        <f>POWER(SQRT(WorkOrders2710[[#This Row],[WorkDate]]-WorkOrders2710[[#This Row],[ReqDate]]),2)</f>
        <v>12.999999999999998</v>
      </c>
      <c r="O2186" s="8">
        <f t="array" ref="O2186">INDEX(TechRate,MATCH(H2186,TechNum,0))</f>
        <v>80</v>
      </c>
      <c r="P2186" s="10">
        <f>WorkOrders2710[[#This Row],[Techs]]*(WorkOrders2710[[#This Row],[PartsCost]]*WorkOrders2710[[#This Row],[LbrHrs]])</f>
        <v>341.2672</v>
      </c>
      <c r="Q2186" s="10">
        <f t="shared" si="197"/>
        <v>341.2672</v>
      </c>
      <c r="R2186" s="10">
        <f t="shared" si="198"/>
        <v>341.2672</v>
      </c>
      <c r="S2186" s="10">
        <f t="shared" si="199"/>
        <v>682.53440000000001</v>
      </c>
      <c r="T2186" s="10">
        <f t="shared" si="200"/>
        <v>682.53440000000001</v>
      </c>
      <c r="U2186" s="8" t="str">
        <f t="shared" si="201"/>
        <v>Tue</v>
      </c>
      <c r="V2186" s="8" t="str">
        <f t="shared" si="202"/>
        <v>Mon</v>
      </c>
    </row>
    <row r="2187" spans="1:22" hidden="1" x14ac:dyDescent="0.25">
      <c r="A2187" t="s">
        <v>225</v>
      </c>
      <c r="B2187" t="s">
        <v>34</v>
      </c>
      <c r="C2187" t="s">
        <v>44</v>
      </c>
      <c r="D2187" t="s">
        <v>13</v>
      </c>
      <c r="F2187" s="5">
        <v>44159</v>
      </c>
      <c r="G2187" s="5">
        <v>44245</v>
      </c>
      <c r="H2187" s="2">
        <v>1</v>
      </c>
      <c r="I2187" s="6"/>
      <c r="J2187" s="6"/>
      <c r="K2187" s="7">
        <v>0.5</v>
      </c>
      <c r="L2187" s="7">
        <v>25.773599999999998</v>
      </c>
      <c r="M2187" t="s">
        <v>17</v>
      </c>
      <c r="N2187" s="16">
        <f>POWER(SQRT(WorkOrders2710[[#This Row],[WorkDate]]-WorkOrders2710[[#This Row],[ReqDate]]),2)</f>
        <v>86</v>
      </c>
      <c r="O2187" s="8">
        <f t="array" ref="O2187">INDEX(TechRate,MATCH(H2187,TechNum,0))</f>
        <v>80</v>
      </c>
      <c r="P2187" s="10">
        <f>WorkOrders2710[[#This Row],[Techs]]*(WorkOrders2710[[#This Row],[PartsCost]]*WorkOrders2710[[#This Row],[LbrHrs]])</f>
        <v>12.886799999999999</v>
      </c>
      <c r="Q2187" s="10">
        <f t="shared" si="197"/>
        <v>12.886799999999999</v>
      </c>
      <c r="R2187" s="10">
        <f t="shared" si="198"/>
        <v>25.773599999999998</v>
      </c>
      <c r="S2187" s="10">
        <f t="shared" si="199"/>
        <v>38.660399999999996</v>
      </c>
      <c r="T2187" s="10">
        <f t="shared" si="200"/>
        <v>38.660399999999996</v>
      </c>
      <c r="U2187" s="8" t="str">
        <f t="shared" si="201"/>
        <v>Tue</v>
      </c>
      <c r="V2187" s="8" t="str">
        <f t="shared" si="202"/>
        <v>Thu</v>
      </c>
    </row>
    <row r="2188" spans="1:22" hidden="1" x14ac:dyDescent="0.25">
      <c r="A2188" t="s">
        <v>226</v>
      </c>
      <c r="B2188" t="s">
        <v>39</v>
      </c>
      <c r="C2188" t="s">
        <v>8</v>
      </c>
      <c r="D2188" t="s">
        <v>12</v>
      </c>
      <c r="E2188" t="s">
        <v>3</v>
      </c>
      <c r="F2188" s="5">
        <v>44160</v>
      </c>
      <c r="G2188" s="5">
        <v>44172</v>
      </c>
      <c r="H2188" s="2">
        <v>1</v>
      </c>
      <c r="I2188" s="6"/>
      <c r="J2188" s="6"/>
      <c r="K2188" s="7">
        <v>0.5</v>
      </c>
      <c r="L2188" s="7">
        <v>133.36609999999999</v>
      </c>
      <c r="M2188" t="s">
        <v>17</v>
      </c>
      <c r="N2188" s="16">
        <f>POWER(SQRT(WorkOrders2710[[#This Row],[WorkDate]]-WorkOrders2710[[#This Row],[ReqDate]]),2)</f>
        <v>11.999999999999998</v>
      </c>
      <c r="O2188" s="8">
        <f t="array" ref="O2188">INDEX(TechRate,MATCH(H2188,TechNum,0))</f>
        <v>80</v>
      </c>
      <c r="P2188" s="10">
        <f>WorkOrders2710[[#This Row],[Techs]]*(WorkOrders2710[[#This Row],[PartsCost]]*WorkOrders2710[[#This Row],[LbrHrs]])</f>
        <v>66.683049999999994</v>
      </c>
      <c r="Q2188" s="10">
        <f t="shared" si="197"/>
        <v>66.683049999999994</v>
      </c>
      <c r="R2188" s="10">
        <f t="shared" si="198"/>
        <v>133.36609999999999</v>
      </c>
      <c r="S2188" s="10">
        <f t="shared" si="199"/>
        <v>200.04915</v>
      </c>
      <c r="T2188" s="10">
        <f t="shared" si="200"/>
        <v>200.04915</v>
      </c>
      <c r="U2188" s="8" t="str">
        <f t="shared" si="201"/>
        <v>Wed</v>
      </c>
      <c r="V2188" s="8" t="str">
        <f t="shared" si="202"/>
        <v>Mon</v>
      </c>
    </row>
    <row r="2189" spans="1:22" hidden="1" x14ac:dyDescent="0.25">
      <c r="A2189" t="s">
        <v>227</v>
      </c>
      <c r="B2189" t="s">
        <v>38</v>
      </c>
      <c r="C2189" t="s">
        <v>8</v>
      </c>
      <c r="D2189" t="s">
        <v>12</v>
      </c>
      <c r="F2189" s="5">
        <v>44160</v>
      </c>
      <c r="G2189" s="5">
        <v>44200</v>
      </c>
      <c r="H2189" s="2">
        <v>1</v>
      </c>
      <c r="I2189" s="6"/>
      <c r="J2189" s="6"/>
      <c r="K2189" s="7">
        <v>0.5</v>
      </c>
      <c r="L2189" s="7">
        <v>66.864900000000006</v>
      </c>
      <c r="M2189" t="s">
        <v>17</v>
      </c>
      <c r="N2189" s="16">
        <f>POWER(SQRT(WorkOrders2710[[#This Row],[WorkDate]]-WorkOrders2710[[#This Row],[ReqDate]]),2)</f>
        <v>40.000000000000007</v>
      </c>
      <c r="O2189" s="8">
        <f t="array" ref="O2189">INDEX(TechRate,MATCH(H2189,TechNum,0))</f>
        <v>80</v>
      </c>
      <c r="P2189" s="10">
        <f>WorkOrders2710[[#This Row],[Techs]]*(WorkOrders2710[[#This Row],[PartsCost]]*WorkOrders2710[[#This Row],[LbrHrs]])</f>
        <v>33.432450000000003</v>
      </c>
      <c r="Q2189" s="10">
        <f t="shared" si="197"/>
        <v>33.432450000000003</v>
      </c>
      <c r="R2189" s="10">
        <f t="shared" si="198"/>
        <v>66.864900000000006</v>
      </c>
      <c r="S2189" s="10">
        <f t="shared" si="199"/>
        <v>100.29735000000001</v>
      </c>
      <c r="T2189" s="10">
        <f t="shared" si="200"/>
        <v>100.29735000000001</v>
      </c>
      <c r="U2189" s="8" t="str">
        <f t="shared" si="201"/>
        <v>Wed</v>
      </c>
      <c r="V2189" s="8" t="str">
        <f t="shared" si="202"/>
        <v>Mon</v>
      </c>
    </row>
    <row r="2190" spans="1:22" hidden="1" x14ac:dyDescent="0.25">
      <c r="A2190" t="s">
        <v>228</v>
      </c>
      <c r="B2190" t="s">
        <v>38</v>
      </c>
      <c r="C2190" t="s">
        <v>8</v>
      </c>
      <c r="D2190" t="s">
        <v>12</v>
      </c>
      <c r="F2190" s="5">
        <v>44160</v>
      </c>
      <c r="G2190" s="5">
        <v>44200</v>
      </c>
      <c r="H2190" s="2">
        <v>1</v>
      </c>
      <c r="I2190" s="6"/>
      <c r="J2190" s="6"/>
      <c r="K2190" s="7">
        <v>0.75</v>
      </c>
      <c r="L2190" s="7">
        <v>94.26</v>
      </c>
      <c r="M2190" t="s">
        <v>19</v>
      </c>
      <c r="N2190" s="16">
        <f>POWER(SQRT(WorkOrders2710[[#This Row],[WorkDate]]-WorkOrders2710[[#This Row],[ReqDate]]),2)</f>
        <v>40.000000000000007</v>
      </c>
      <c r="O2190" s="8">
        <f t="array" ref="O2190">INDEX(TechRate,MATCH(H2190,TechNum,0))</f>
        <v>80</v>
      </c>
      <c r="P2190" s="10">
        <f>WorkOrders2710[[#This Row],[Techs]]*(WorkOrders2710[[#This Row],[PartsCost]]*WorkOrders2710[[#This Row],[LbrHrs]])</f>
        <v>70.695000000000007</v>
      </c>
      <c r="Q2190" s="10">
        <f t="shared" si="197"/>
        <v>70.695000000000007</v>
      </c>
      <c r="R2190" s="10">
        <f t="shared" si="198"/>
        <v>94.26</v>
      </c>
      <c r="S2190" s="10">
        <f t="shared" si="199"/>
        <v>164.95500000000001</v>
      </c>
      <c r="T2190" s="10">
        <f t="shared" si="200"/>
        <v>164.95500000000001</v>
      </c>
      <c r="U2190" s="8" t="str">
        <f t="shared" si="201"/>
        <v>Wed</v>
      </c>
      <c r="V2190" s="8" t="str">
        <f t="shared" si="202"/>
        <v>Mon</v>
      </c>
    </row>
    <row r="2191" spans="1:22" hidden="1" x14ac:dyDescent="0.25">
      <c r="A2191" t="s">
        <v>229</v>
      </c>
      <c r="B2191" t="s">
        <v>38</v>
      </c>
      <c r="C2191" t="s">
        <v>8</v>
      </c>
      <c r="D2191" t="s">
        <v>12</v>
      </c>
      <c r="F2191" s="5">
        <v>44160</v>
      </c>
      <c r="G2191" s="5">
        <v>44200</v>
      </c>
      <c r="H2191" s="2">
        <v>1</v>
      </c>
      <c r="I2191" s="6"/>
      <c r="J2191" s="6"/>
      <c r="K2191" s="7">
        <v>0.25</v>
      </c>
      <c r="L2191" s="7">
        <v>120</v>
      </c>
      <c r="M2191" t="s">
        <v>18</v>
      </c>
      <c r="N2191" s="16">
        <f>POWER(SQRT(WorkOrders2710[[#This Row],[WorkDate]]-WorkOrders2710[[#This Row],[ReqDate]]),2)</f>
        <v>40.000000000000007</v>
      </c>
      <c r="O2191" s="8">
        <f t="array" ref="O2191">INDEX(TechRate,MATCH(H2191,TechNum,0))</f>
        <v>80</v>
      </c>
      <c r="P2191" s="10">
        <f>WorkOrders2710[[#This Row],[Techs]]*(WorkOrders2710[[#This Row],[PartsCost]]*WorkOrders2710[[#This Row],[LbrHrs]])</f>
        <v>30</v>
      </c>
      <c r="Q2191" s="10">
        <f t="shared" si="197"/>
        <v>30</v>
      </c>
      <c r="R2191" s="10">
        <f t="shared" si="198"/>
        <v>120</v>
      </c>
      <c r="S2191" s="10">
        <f t="shared" si="199"/>
        <v>150</v>
      </c>
      <c r="T2191" s="10">
        <f t="shared" si="200"/>
        <v>150</v>
      </c>
      <c r="U2191" s="8" t="str">
        <f t="shared" si="201"/>
        <v>Wed</v>
      </c>
      <c r="V2191" s="8" t="str">
        <f t="shared" si="202"/>
        <v>Mon</v>
      </c>
    </row>
    <row r="2192" spans="1:22" hidden="1" x14ac:dyDescent="0.25">
      <c r="A2192" t="s">
        <v>230</v>
      </c>
      <c r="B2192" t="s">
        <v>38</v>
      </c>
      <c r="C2192" t="s">
        <v>8</v>
      </c>
      <c r="D2192" t="s">
        <v>11</v>
      </c>
      <c r="F2192" s="5">
        <v>44161</v>
      </c>
      <c r="G2192" s="5">
        <v>44167</v>
      </c>
      <c r="H2192" s="2">
        <v>1</v>
      </c>
      <c r="I2192" s="6"/>
      <c r="J2192" s="6"/>
      <c r="K2192" s="7">
        <v>0.25</v>
      </c>
      <c r="L2192" s="7">
        <v>120</v>
      </c>
      <c r="M2192" t="s">
        <v>17</v>
      </c>
      <c r="N2192" s="16">
        <f>POWER(SQRT(WorkOrders2710[[#This Row],[WorkDate]]-WorkOrders2710[[#This Row],[ReqDate]]),2)</f>
        <v>5.9999999999999991</v>
      </c>
      <c r="O2192" s="8">
        <f t="array" ref="O2192">INDEX(TechRate,MATCH(H2192,TechNum,0))</f>
        <v>80</v>
      </c>
      <c r="P2192" s="10">
        <f>WorkOrders2710[[#This Row],[Techs]]*(WorkOrders2710[[#This Row],[PartsCost]]*WorkOrders2710[[#This Row],[LbrHrs]])</f>
        <v>30</v>
      </c>
      <c r="Q2192" s="10">
        <f t="shared" si="197"/>
        <v>30</v>
      </c>
      <c r="R2192" s="10">
        <f t="shared" si="198"/>
        <v>120</v>
      </c>
      <c r="S2192" s="10">
        <f t="shared" si="199"/>
        <v>150</v>
      </c>
      <c r="T2192" s="10">
        <f t="shared" si="200"/>
        <v>150</v>
      </c>
      <c r="U2192" s="8" t="str">
        <f t="shared" si="201"/>
        <v>Thu</v>
      </c>
      <c r="V2192" s="8" t="str">
        <f t="shared" si="202"/>
        <v>Wed</v>
      </c>
    </row>
    <row r="2193" spans="1:22" hidden="1" x14ac:dyDescent="0.25">
      <c r="A2193" t="s">
        <v>231</v>
      </c>
      <c r="B2193" t="s">
        <v>35</v>
      </c>
      <c r="C2193" t="s">
        <v>9</v>
      </c>
      <c r="D2193" t="s">
        <v>11</v>
      </c>
      <c r="E2193" t="s">
        <v>3</v>
      </c>
      <c r="F2193" s="5">
        <v>44161</v>
      </c>
      <c r="G2193" s="5">
        <v>44168</v>
      </c>
      <c r="H2193" s="2">
        <v>1</v>
      </c>
      <c r="I2193" s="6"/>
      <c r="J2193" s="6"/>
      <c r="K2193" s="7">
        <v>0.25</v>
      </c>
      <c r="L2193" s="7">
        <v>45.99</v>
      </c>
      <c r="M2193" t="s">
        <v>19</v>
      </c>
      <c r="N2193" s="16">
        <f>POWER(SQRT(WorkOrders2710[[#This Row],[WorkDate]]-WorkOrders2710[[#This Row],[ReqDate]]),2)</f>
        <v>7.0000000000000009</v>
      </c>
      <c r="O2193" s="8">
        <f t="array" ref="O2193">INDEX(TechRate,MATCH(H2193,TechNum,0))</f>
        <v>80</v>
      </c>
      <c r="P2193" s="10">
        <f>WorkOrders2710[[#This Row],[Techs]]*(WorkOrders2710[[#This Row],[PartsCost]]*WorkOrders2710[[#This Row],[LbrHrs]])</f>
        <v>11.4975</v>
      </c>
      <c r="Q2193" s="10">
        <f t="shared" si="197"/>
        <v>11.4975</v>
      </c>
      <c r="R2193" s="10">
        <f t="shared" si="198"/>
        <v>45.99</v>
      </c>
      <c r="S2193" s="10">
        <f t="shared" si="199"/>
        <v>57.487500000000004</v>
      </c>
      <c r="T2193" s="10">
        <f t="shared" si="200"/>
        <v>57.487500000000004</v>
      </c>
      <c r="U2193" s="8" t="str">
        <f t="shared" si="201"/>
        <v>Thu</v>
      </c>
      <c r="V2193" s="8" t="str">
        <f t="shared" si="202"/>
        <v>Thu</v>
      </c>
    </row>
    <row r="2194" spans="1:22" hidden="1" x14ac:dyDescent="0.25">
      <c r="A2194" t="s">
        <v>232</v>
      </c>
      <c r="B2194" t="s">
        <v>39</v>
      </c>
      <c r="C2194" t="s">
        <v>9</v>
      </c>
      <c r="D2194" t="s">
        <v>12</v>
      </c>
      <c r="F2194" s="5">
        <v>44161</v>
      </c>
      <c r="G2194" s="5">
        <v>44175</v>
      </c>
      <c r="H2194" s="2">
        <v>1</v>
      </c>
      <c r="I2194" s="6"/>
      <c r="J2194" s="6"/>
      <c r="K2194" s="7">
        <v>0.5</v>
      </c>
      <c r="L2194" s="7">
        <v>33</v>
      </c>
      <c r="M2194" t="s">
        <v>18</v>
      </c>
      <c r="N2194" s="16">
        <f>POWER(SQRT(WorkOrders2710[[#This Row],[WorkDate]]-WorkOrders2710[[#This Row],[ReqDate]]),2)</f>
        <v>14</v>
      </c>
      <c r="O2194" s="8">
        <f t="array" ref="O2194">INDEX(TechRate,MATCH(H2194,TechNum,0))</f>
        <v>80</v>
      </c>
      <c r="P2194" s="10">
        <f>WorkOrders2710[[#This Row],[Techs]]*(WorkOrders2710[[#This Row],[PartsCost]]*WorkOrders2710[[#This Row],[LbrHrs]])</f>
        <v>16.5</v>
      </c>
      <c r="Q2194" s="10">
        <f t="shared" si="197"/>
        <v>16.5</v>
      </c>
      <c r="R2194" s="10">
        <f t="shared" si="198"/>
        <v>33</v>
      </c>
      <c r="S2194" s="10">
        <f t="shared" si="199"/>
        <v>49.5</v>
      </c>
      <c r="T2194" s="10">
        <f t="shared" si="200"/>
        <v>49.5</v>
      </c>
      <c r="U2194" s="8" t="str">
        <f t="shared" si="201"/>
        <v>Thu</v>
      </c>
      <c r="V2194" s="8" t="str">
        <f t="shared" si="202"/>
        <v>Thu</v>
      </c>
    </row>
    <row r="2195" spans="1:22" hidden="1" x14ac:dyDescent="0.25">
      <c r="A2195" t="s">
        <v>233</v>
      </c>
      <c r="B2195" t="s">
        <v>35</v>
      </c>
      <c r="C2195" t="s">
        <v>6</v>
      </c>
      <c r="D2195" t="s">
        <v>12</v>
      </c>
      <c r="F2195" s="5">
        <v>44161</v>
      </c>
      <c r="G2195" s="5">
        <v>44207</v>
      </c>
      <c r="H2195" s="2">
        <v>1</v>
      </c>
      <c r="I2195" s="6"/>
      <c r="J2195" s="6"/>
      <c r="K2195" s="7">
        <v>0.25</v>
      </c>
      <c r="L2195" s="7">
        <v>21.33</v>
      </c>
      <c r="M2195" t="s">
        <v>18</v>
      </c>
      <c r="N2195" s="16">
        <f>POWER(SQRT(WorkOrders2710[[#This Row],[WorkDate]]-WorkOrders2710[[#This Row],[ReqDate]]),2)</f>
        <v>46</v>
      </c>
      <c r="O2195" s="8">
        <f t="array" ref="O2195">INDEX(TechRate,MATCH(H2195,TechNum,0))</f>
        <v>80</v>
      </c>
      <c r="P2195" s="10">
        <f>WorkOrders2710[[#This Row],[Techs]]*(WorkOrders2710[[#This Row],[PartsCost]]*WorkOrders2710[[#This Row],[LbrHrs]])</f>
        <v>5.3324999999999996</v>
      </c>
      <c r="Q2195" s="10">
        <f t="shared" si="197"/>
        <v>5.3324999999999996</v>
      </c>
      <c r="R2195" s="10">
        <f t="shared" si="198"/>
        <v>21.33</v>
      </c>
      <c r="S2195" s="10">
        <f t="shared" si="199"/>
        <v>26.662499999999998</v>
      </c>
      <c r="T2195" s="10">
        <f t="shared" si="200"/>
        <v>26.662499999999998</v>
      </c>
      <c r="U2195" s="8" t="str">
        <f t="shared" si="201"/>
        <v>Thu</v>
      </c>
      <c r="V2195" s="8" t="str">
        <f t="shared" si="202"/>
        <v>Mon</v>
      </c>
    </row>
    <row r="2196" spans="1:22" hidden="1" x14ac:dyDescent="0.25">
      <c r="A2196" t="s">
        <v>234</v>
      </c>
      <c r="B2196" t="s">
        <v>35</v>
      </c>
      <c r="C2196" t="s">
        <v>44</v>
      </c>
      <c r="D2196" t="s">
        <v>11</v>
      </c>
      <c r="E2196" t="s">
        <v>3</v>
      </c>
      <c r="F2196" s="5">
        <v>44161</v>
      </c>
      <c r="G2196" s="5">
        <v>44244</v>
      </c>
      <c r="H2196" s="2">
        <v>1</v>
      </c>
      <c r="I2196" s="6"/>
      <c r="J2196" s="6"/>
      <c r="K2196" s="7">
        <v>0.25</v>
      </c>
      <c r="L2196" s="7">
        <v>37.26</v>
      </c>
      <c r="M2196" t="s">
        <v>17</v>
      </c>
      <c r="N2196" s="16">
        <f>POWER(SQRT(WorkOrders2710[[#This Row],[WorkDate]]-WorkOrders2710[[#This Row],[ReqDate]]),2)</f>
        <v>83</v>
      </c>
      <c r="O2196" s="8">
        <f t="array" ref="O2196">INDEX(TechRate,MATCH(H2196,TechNum,0))</f>
        <v>80</v>
      </c>
      <c r="P2196" s="10">
        <f>WorkOrders2710[[#This Row],[Techs]]*(WorkOrders2710[[#This Row],[PartsCost]]*WorkOrders2710[[#This Row],[LbrHrs]])</f>
        <v>9.3149999999999995</v>
      </c>
      <c r="Q2196" s="10">
        <f t="shared" si="197"/>
        <v>9.3149999999999995</v>
      </c>
      <c r="R2196" s="10">
        <f t="shared" si="198"/>
        <v>37.26</v>
      </c>
      <c r="S2196" s="10">
        <f t="shared" si="199"/>
        <v>46.574999999999996</v>
      </c>
      <c r="T2196" s="10">
        <f t="shared" si="200"/>
        <v>46.574999999999996</v>
      </c>
      <c r="U2196" s="8" t="str">
        <f t="shared" si="201"/>
        <v>Thu</v>
      </c>
      <c r="V2196" s="8" t="str">
        <f t="shared" si="202"/>
        <v>Wed</v>
      </c>
    </row>
    <row r="2197" spans="1:22" hidden="1" x14ac:dyDescent="0.25">
      <c r="A2197" t="s">
        <v>235</v>
      </c>
      <c r="B2197" t="s">
        <v>39</v>
      </c>
      <c r="C2197" t="s">
        <v>8</v>
      </c>
      <c r="D2197" t="s">
        <v>13</v>
      </c>
      <c r="F2197" s="5">
        <v>44162</v>
      </c>
      <c r="G2197" s="5">
        <v>44187</v>
      </c>
      <c r="H2197" s="2">
        <v>1</v>
      </c>
      <c r="I2197" s="6"/>
      <c r="J2197" s="6"/>
      <c r="K2197" s="7">
        <v>1</v>
      </c>
      <c r="L2197" s="7">
        <v>81.885000000000005</v>
      </c>
      <c r="M2197" t="s">
        <v>18</v>
      </c>
      <c r="N2197" s="16">
        <f>POWER(SQRT(WorkOrders2710[[#This Row],[WorkDate]]-WorkOrders2710[[#This Row],[ReqDate]]),2)</f>
        <v>25</v>
      </c>
      <c r="O2197" s="8">
        <f t="array" ref="O2197">INDEX(TechRate,MATCH(H2197,TechNum,0))</f>
        <v>80</v>
      </c>
      <c r="P2197" s="10">
        <f>WorkOrders2710[[#This Row],[Techs]]*(WorkOrders2710[[#This Row],[PartsCost]]*WorkOrders2710[[#This Row],[LbrHrs]])</f>
        <v>81.885000000000005</v>
      </c>
      <c r="Q2197" s="10">
        <f t="shared" si="197"/>
        <v>81.885000000000005</v>
      </c>
      <c r="R2197" s="10">
        <f t="shared" si="198"/>
        <v>81.885000000000005</v>
      </c>
      <c r="S2197" s="10">
        <f t="shared" si="199"/>
        <v>163.77000000000001</v>
      </c>
      <c r="T2197" s="10">
        <f t="shared" si="200"/>
        <v>163.77000000000001</v>
      </c>
      <c r="U2197" s="8" t="str">
        <f t="shared" si="201"/>
        <v>Fri</v>
      </c>
      <c r="V2197" s="8" t="str">
        <f t="shared" si="202"/>
        <v>Tue</v>
      </c>
    </row>
    <row r="2198" spans="1:22" hidden="1" x14ac:dyDescent="0.25">
      <c r="A2198" t="s">
        <v>236</v>
      </c>
      <c r="B2198" t="s">
        <v>34</v>
      </c>
      <c r="C2198" t="s">
        <v>8</v>
      </c>
      <c r="D2198" t="s">
        <v>11</v>
      </c>
      <c r="E2198" t="s">
        <v>3</v>
      </c>
      <c r="F2198" s="5">
        <v>44165</v>
      </c>
      <c r="G2198" s="5">
        <v>44173</v>
      </c>
      <c r="H2198" s="2">
        <v>1</v>
      </c>
      <c r="I2198" s="6"/>
      <c r="J2198" s="6"/>
      <c r="K2198" s="7">
        <v>0.25</v>
      </c>
      <c r="L2198" s="7">
        <v>10.103199999999999</v>
      </c>
      <c r="M2198" t="s">
        <v>18</v>
      </c>
      <c r="N2198" s="16">
        <f>POWER(SQRT(WorkOrders2710[[#This Row],[WorkDate]]-WorkOrders2710[[#This Row],[ReqDate]]),2)</f>
        <v>8.0000000000000018</v>
      </c>
      <c r="O2198" s="8">
        <f t="array" ref="O2198">INDEX(TechRate,MATCH(H2198,TechNum,0))</f>
        <v>80</v>
      </c>
      <c r="P2198" s="10">
        <f>WorkOrders2710[[#This Row],[Techs]]*(WorkOrders2710[[#This Row],[PartsCost]]*WorkOrders2710[[#This Row],[LbrHrs]])</f>
        <v>2.5257999999999998</v>
      </c>
      <c r="Q2198" s="10">
        <f t="shared" si="197"/>
        <v>2.5257999999999998</v>
      </c>
      <c r="R2198" s="10">
        <f t="shared" si="198"/>
        <v>10.103199999999999</v>
      </c>
      <c r="S2198" s="10">
        <f t="shared" si="199"/>
        <v>12.629</v>
      </c>
      <c r="T2198" s="10">
        <f t="shared" si="200"/>
        <v>12.629</v>
      </c>
      <c r="U2198" s="8" t="str">
        <f t="shared" si="201"/>
        <v>Mon</v>
      </c>
      <c r="V2198" s="8" t="str">
        <f t="shared" si="202"/>
        <v>Tue</v>
      </c>
    </row>
    <row r="2199" spans="1:22" hidden="1" x14ac:dyDescent="0.25">
      <c r="A2199" t="s">
        <v>237</v>
      </c>
      <c r="B2199" t="s">
        <v>39</v>
      </c>
      <c r="C2199" t="s">
        <v>8</v>
      </c>
      <c r="D2199" t="s">
        <v>11</v>
      </c>
      <c r="F2199" s="5">
        <v>44165</v>
      </c>
      <c r="G2199" s="5">
        <v>44173</v>
      </c>
      <c r="H2199" s="2">
        <v>1</v>
      </c>
      <c r="I2199" s="6"/>
      <c r="J2199" s="6"/>
      <c r="K2199" s="7">
        <v>0.25</v>
      </c>
      <c r="L2199" s="7">
        <v>17.88</v>
      </c>
      <c r="M2199" t="s">
        <v>17</v>
      </c>
      <c r="N2199" s="16">
        <f>POWER(SQRT(WorkOrders2710[[#This Row],[WorkDate]]-WorkOrders2710[[#This Row],[ReqDate]]),2)</f>
        <v>8.0000000000000018</v>
      </c>
      <c r="O2199" s="8">
        <f t="array" ref="O2199">INDEX(TechRate,MATCH(H2199,TechNum,0))</f>
        <v>80</v>
      </c>
      <c r="P2199" s="10">
        <f>WorkOrders2710[[#This Row],[Techs]]*(WorkOrders2710[[#This Row],[PartsCost]]*WorkOrders2710[[#This Row],[LbrHrs]])</f>
        <v>4.47</v>
      </c>
      <c r="Q2199" s="10">
        <f t="shared" si="197"/>
        <v>4.47</v>
      </c>
      <c r="R2199" s="10">
        <f t="shared" si="198"/>
        <v>17.88</v>
      </c>
      <c r="S2199" s="10">
        <f t="shared" si="199"/>
        <v>22.349999999999998</v>
      </c>
      <c r="T2199" s="10">
        <f t="shared" si="200"/>
        <v>22.349999999999998</v>
      </c>
      <c r="U2199" s="8" t="str">
        <f t="shared" si="201"/>
        <v>Mon</v>
      </c>
      <c r="V2199" s="8" t="str">
        <f t="shared" si="202"/>
        <v>Tue</v>
      </c>
    </row>
    <row r="2200" spans="1:22" hidden="1" x14ac:dyDescent="0.25">
      <c r="A2200" t="s">
        <v>238</v>
      </c>
      <c r="B2200" t="s">
        <v>41</v>
      </c>
      <c r="C2200" t="s">
        <v>6</v>
      </c>
      <c r="D2200" t="s">
        <v>2</v>
      </c>
      <c r="F2200" s="5">
        <v>44165</v>
      </c>
      <c r="G2200" s="5">
        <v>44173</v>
      </c>
      <c r="H2200" s="2">
        <v>2</v>
      </c>
      <c r="I2200" s="6"/>
      <c r="J2200" s="6"/>
      <c r="K2200" s="7">
        <v>2.75</v>
      </c>
      <c r="L2200" s="7">
        <v>1204.6415</v>
      </c>
      <c r="M2200" t="s">
        <v>18</v>
      </c>
      <c r="N2200" s="16">
        <f>POWER(SQRT(WorkOrders2710[[#This Row],[WorkDate]]-WorkOrders2710[[#This Row],[ReqDate]]),2)</f>
        <v>8.0000000000000018</v>
      </c>
      <c r="O2200" s="8">
        <f t="array" ref="O2200">INDEX(TechRate,MATCH(H2200,TechNum,0))</f>
        <v>140</v>
      </c>
      <c r="P2200" s="10">
        <f>WorkOrders2710[[#This Row],[Techs]]*(WorkOrders2710[[#This Row],[PartsCost]]*WorkOrders2710[[#This Row],[LbrHrs]])</f>
        <v>6625.5282499999994</v>
      </c>
      <c r="Q2200" s="10">
        <f t="shared" si="197"/>
        <v>6625.5282499999994</v>
      </c>
      <c r="R2200" s="10">
        <f t="shared" si="198"/>
        <v>1204.6415</v>
      </c>
      <c r="S2200" s="10">
        <f t="shared" si="199"/>
        <v>7830.1697499999991</v>
      </c>
      <c r="T2200" s="10">
        <f t="shared" si="200"/>
        <v>7830.1697499999991</v>
      </c>
      <c r="U2200" s="8" t="str">
        <f t="shared" si="201"/>
        <v>Mon</v>
      </c>
      <c r="V2200" s="8" t="str">
        <f t="shared" si="202"/>
        <v>Tue</v>
      </c>
    </row>
    <row r="2201" spans="1:22" hidden="1" x14ac:dyDescent="0.25">
      <c r="A2201" t="s">
        <v>239</v>
      </c>
      <c r="B2201" t="s">
        <v>41</v>
      </c>
      <c r="C2201" t="s">
        <v>9</v>
      </c>
      <c r="D2201" t="s">
        <v>2</v>
      </c>
      <c r="F2201" s="5">
        <v>44165</v>
      </c>
      <c r="G2201" s="5">
        <v>44182</v>
      </c>
      <c r="H2201" s="2">
        <v>2</v>
      </c>
      <c r="I2201" s="6"/>
      <c r="J2201" s="6"/>
      <c r="K2201" s="7">
        <v>3</v>
      </c>
      <c r="L2201" s="7">
        <v>111</v>
      </c>
      <c r="M2201" t="s">
        <v>18</v>
      </c>
      <c r="N2201" s="16">
        <f>POWER(SQRT(WorkOrders2710[[#This Row],[WorkDate]]-WorkOrders2710[[#This Row],[ReqDate]]),2)</f>
        <v>17</v>
      </c>
      <c r="O2201" s="8">
        <f t="array" ref="O2201">INDEX(TechRate,MATCH(H2201,TechNum,0))</f>
        <v>140</v>
      </c>
      <c r="P2201" s="10">
        <f>WorkOrders2710[[#This Row],[Techs]]*(WorkOrders2710[[#This Row],[PartsCost]]*WorkOrders2710[[#This Row],[LbrHrs]])</f>
        <v>666</v>
      </c>
      <c r="Q2201" s="10">
        <f t="shared" ref="Q2201:Q2264" si="203">IF(I2201="Yes",0,P2201)</f>
        <v>666</v>
      </c>
      <c r="R2201" s="10">
        <f t="shared" ref="R2201:R2264" si="204">IF(J2201="Yes",0,L2201)</f>
        <v>111</v>
      </c>
      <c r="S2201" s="10">
        <f t="shared" ref="S2201:S2264" si="205">SUM(L2201,P2201)</f>
        <v>777</v>
      </c>
      <c r="T2201" s="10">
        <f t="shared" ref="T2201:T2264" si="206">SUM(Q2201,R2201)</f>
        <v>777</v>
      </c>
      <c r="U2201" s="8" t="str">
        <f t="shared" ref="U2201:U2264" si="207">TEXT(F2201,"ddd")</f>
        <v>Mon</v>
      </c>
      <c r="V2201" s="8" t="str">
        <f t="shared" ref="V2201:V2264" si="208">TEXT(G2201,"ddd")</f>
        <v>Thu</v>
      </c>
    </row>
    <row r="2202" spans="1:22" hidden="1" x14ac:dyDescent="0.25">
      <c r="A2202" t="s">
        <v>240</v>
      </c>
      <c r="B2202" t="s">
        <v>38</v>
      </c>
      <c r="C2202" t="s">
        <v>8</v>
      </c>
      <c r="D2202" t="s">
        <v>12</v>
      </c>
      <c r="F2202" s="5">
        <v>44165</v>
      </c>
      <c r="G2202" s="5">
        <v>44200</v>
      </c>
      <c r="H2202" s="2">
        <v>1</v>
      </c>
      <c r="I2202" s="6"/>
      <c r="J2202" s="6"/>
      <c r="K2202" s="7">
        <v>0.25</v>
      </c>
      <c r="L2202" s="7">
        <v>21.21</v>
      </c>
      <c r="M2202" t="s">
        <v>19</v>
      </c>
      <c r="N2202" s="16">
        <f>POWER(SQRT(WorkOrders2710[[#This Row],[WorkDate]]-WorkOrders2710[[#This Row],[ReqDate]]),2)</f>
        <v>35</v>
      </c>
      <c r="O2202" s="8">
        <f t="array" ref="O2202">INDEX(TechRate,MATCH(H2202,TechNum,0))</f>
        <v>80</v>
      </c>
      <c r="P2202" s="10">
        <f>WorkOrders2710[[#This Row],[Techs]]*(WorkOrders2710[[#This Row],[PartsCost]]*WorkOrders2710[[#This Row],[LbrHrs]])</f>
        <v>5.3025000000000002</v>
      </c>
      <c r="Q2202" s="10">
        <f t="shared" si="203"/>
        <v>5.3025000000000002</v>
      </c>
      <c r="R2202" s="10">
        <f t="shared" si="204"/>
        <v>21.21</v>
      </c>
      <c r="S2202" s="10">
        <f t="shared" si="205"/>
        <v>26.512500000000003</v>
      </c>
      <c r="T2202" s="10">
        <f t="shared" si="206"/>
        <v>26.512500000000003</v>
      </c>
      <c r="U2202" s="8" t="str">
        <f t="shared" si="207"/>
        <v>Mon</v>
      </c>
      <c r="V2202" s="8" t="str">
        <f t="shared" si="208"/>
        <v>Mon</v>
      </c>
    </row>
    <row r="2203" spans="1:22" hidden="1" x14ac:dyDescent="0.25">
      <c r="A2203" t="s">
        <v>241</v>
      </c>
      <c r="B2203" t="s">
        <v>41</v>
      </c>
      <c r="C2203" t="s">
        <v>7</v>
      </c>
      <c r="D2203" t="s">
        <v>12</v>
      </c>
      <c r="F2203" s="5">
        <v>44165</v>
      </c>
      <c r="G2203" s="5">
        <v>44252</v>
      </c>
      <c r="H2203" s="2">
        <v>2</v>
      </c>
      <c r="I2203" s="6"/>
      <c r="J2203" s="6"/>
      <c r="K2203" s="7">
        <v>0.5</v>
      </c>
      <c r="L2203" s="7">
        <v>158.31389999999999</v>
      </c>
      <c r="M2203" t="s">
        <v>18</v>
      </c>
      <c r="N2203" s="16">
        <f>POWER(SQRT(WorkOrders2710[[#This Row],[WorkDate]]-WorkOrders2710[[#This Row],[ReqDate]]),2)</f>
        <v>87.000000000000014</v>
      </c>
      <c r="O2203" s="8">
        <f t="array" ref="O2203">INDEX(TechRate,MATCH(H2203,TechNum,0))</f>
        <v>140</v>
      </c>
      <c r="P2203" s="10">
        <f>WorkOrders2710[[#This Row],[Techs]]*(WorkOrders2710[[#This Row],[PartsCost]]*WorkOrders2710[[#This Row],[LbrHrs]])</f>
        <v>158.31389999999999</v>
      </c>
      <c r="Q2203" s="10">
        <f t="shared" si="203"/>
        <v>158.31389999999999</v>
      </c>
      <c r="R2203" s="10">
        <f t="shared" si="204"/>
        <v>158.31389999999999</v>
      </c>
      <c r="S2203" s="10">
        <f t="shared" si="205"/>
        <v>316.62779999999998</v>
      </c>
      <c r="T2203" s="10">
        <f t="shared" si="206"/>
        <v>316.62779999999998</v>
      </c>
      <c r="U2203" s="8" t="str">
        <f t="shared" si="207"/>
        <v>Mon</v>
      </c>
      <c r="V2203" s="8" t="str">
        <f t="shared" si="208"/>
        <v>Thu</v>
      </c>
    </row>
    <row r="2204" spans="1:22" hidden="1" x14ac:dyDescent="0.25">
      <c r="A2204" t="s">
        <v>242</v>
      </c>
      <c r="B2204" t="s">
        <v>39</v>
      </c>
      <c r="C2204" t="s">
        <v>9</v>
      </c>
      <c r="D2204" t="s">
        <v>12</v>
      </c>
      <c r="F2204" s="5">
        <v>44166</v>
      </c>
      <c r="G2204" s="5">
        <v>44207</v>
      </c>
      <c r="H2204" s="2">
        <v>1</v>
      </c>
      <c r="I2204" s="6"/>
      <c r="J2204" s="6"/>
      <c r="K2204" s="7">
        <v>0.5</v>
      </c>
      <c r="L2204" s="7">
        <v>36.754399999999997</v>
      </c>
      <c r="M2204" t="s">
        <v>18</v>
      </c>
      <c r="N2204" s="16">
        <f>POWER(SQRT(WorkOrders2710[[#This Row],[WorkDate]]-WorkOrders2710[[#This Row],[ReqDate]]),2)</f>
        <v>41</v>
      </c>
      <c r="O2204" s="8">
        <f t="array" ref="O2204">INDEX(TechRate,MATCH(H2204,TechNum,0))</f>
        <v>80</v>
      </c>
      <c r="P2204" s="10">
        <f>WorkOrders2710[[#This Row],[Techs]]*(WorkOrders2710[[#This Row],[PartsCost]]*WorkOrders2710[[#This Row],[LbrHrs]])</f>
        <v>18.377199999999998</v>
      </c>
      <c r="Q2204" s="10">
        <f t="shared" si="203"/>
        <v>18.377199999999998</v>
      </c>
      <c r="R2204" s="10">
        <f t="shared" si="204"/>
        <v>36.754399999999997</v>
      </c>
      <c r="S2204" s="10">
        <f t="shared" si="205"/>
        <v>55.131599999999992</v>
      </c>
      <c r="T2204" s="10">
        <f t="shared" si="206"/>
        <v>55.131599999999992</v>
      </c>
      <c r="U2204" s="8" t="str">
        <f t="shared" si="207"/>
        <v>Tue</v>
      </c>
      <c r="V2204" s="8" t="str">
        <f t="shared" si="208"/>
        <v>Mon</v>
      </c>
    </row>
    <row r="2205" spans="1:22" hidden="1" x14ac:dyDescent="0.25">
      <c r="A2205" t="s">
        <v>243</v>
      </c>
      <c r="B2205" t="s">
        <v>36</v>
      </c>
      <c r="C2205" t="s">
        <v>7</v>
      </c>
      <c r="D2205" t="s">
        <v>13</v>
      </c>
      <c r="F2205" s="5">
        <v>44166</v>
      </c>
      <c r="G2205" s="5">
        <v>44320</v>
      </c>
      <c r="H2205" s="2">
        <v>2</v>
      </c>
      <c r="I2205" s="6"/>
      <c r="J2205" s="6"/>
      <c r="K2205" s="7">
        <v>0.5</v>
      </c>
      <c r="L2205" s="7">
        <v>242.07</v>
      </c>
      <c r="M2205" t="s">
        <v>18</v>
      </c>
      <c r="N2205" s="16">
        <f>POWER(SQRT(WorkOrders2710[[#This Row],[WorkDate]]-WorkOrders2710[[#This Row],[ReqDate]]),2)</f>
        <v>154</v>
      </c>
      <c r="O2205" s="8">
        <f t="array" ref="O2205">INDEX(TechRate,MATCH(H2205,TechNum,0))</f>
        <v>140</v>
      </c>
      <c r="P2205" s="10">
        <f>WorkOrders2710[[#This Row],[Techs]]*(WorkOrders2710[[#This Row],[PartsCost]]*WorkOrders2710[[#This Row],[LbrHrs]])</f>
        <v>242.07</v>
      </c>
      <c r="Q2205" s="10">
        <f t="shared" si="203"/>
        <v>242.07</v>
      </c>
      <c r="R2205" s="10">
        <f t="shared" si="204"/>
        <v>242.07</v>
      </c>
      <c r="S2205" s="10">
        <f t="shared" si="205"/>
        <v>484.14</v>
      </c>
      <c r="T2205" s="10">
        <f t="shared" si="206"/>
        <v>484.14</v>
      </c>
      <c r="U2205" s="8" t="str">
        <f t="shared" si="207"/>
        <v>Tue</v>
      </c>
      <c r="V2205" s="8" t="str">
        <f t="shared" si="208"/>
        <v>Tue</v>
      </c>
    </row>
    <row r="2206" spans="1:22" hidden="1" x14ac:dyDescent="0.25">
      <c r="A2206" t="s">
        <v>244</v>
      </c>
      <c r="B2206" t="s">
        <v>35</v>
      </c>
      <c r="C2206" t="s">
        <v>8</v>
      </c>
      <c r="D2206" t="s">
        <v>12</v>
      </c>
      <c r="F2206" s="5">
        <v>44167</v>
      </c>
      <c r="G2206" s="5">
        <v>44182</v>
      </c>
      <c r="H2206" s="2">
        <v>1</v>
      </c>
      <c r="I2206" s="6"/>
      <c r="J2206" s="6"/>
      <c r="K2206" s="7">
        <v>0.5</v>
      </c>
      <c r="L2206" s="7">
        <v>30</v>
      </c>
      <c r="M2206" t="s">
        <v>18</v>
      </c>
      <c r="N2206" s="16">
        <f>POWER(SQRT(WorkOrders2710[[#This Row],[WorkDate]]-WorkOrders2710[[#This Row],[ReqDate]]),2)</f>
        <v>15.000000000000002</v>
      </c>
      <c r="O2206" s="8">
        <f t="array" ref="O2206">INDEX(TechRate,MATCH(H2206,TechNum,0))</f>
        <v>80</v>
      </c>
      <c r="P2206" s="10">
        <f>WorkOrders2710[[#This Row],[Techs]]*(WorkOrders2710[[#This Row],[PartsCost]]*WorkOrders2710[[#This Row],[LbrHrs]])</f>
        <v>15</v>
      </c>
      <c r="Q2206" s="10">
        <f t="shared" si="203"/>
        <v>15</v>
      </c>
      <c r="R2206" s="10">
        <f t="shared" si="204"/>
        <v>30</v>
      </c>
      <c r="S2206" s="10">
        <f t="shared" si="205"/>
        <v>45</v>
      </c>
      <c r="T2206" s="10">
        <f t="shared" si="206"/>
        <v>45</v>
      </c>
      <c r="U2206" s="8" t="str">
        <f t="shared" si="207"/>
        <v>Wed</v>
      </c>
      <c r="V2206" s="8" t="str">
        <f t="shared" si="208"/>
        <v>Thu</v>
      </c>
    </row>
    <row r="2207" spans="1:22" hidden="1" x14ac:dyDescent="0.25">
      <c r="A2207" t="s">
        <v>245</v>
      </c>
      <c r="B2207" t="s">
        <v>35</v>
      </c>
      <c r="C2207" t="s">
        <v>8</v>
      </c>
      <c r="D2207" t="s">
        <v>12</v>
      </c>
      <c r="E2207" t="s">
        <v>3</v>
      </c>
      <c r="F2207" s="5">
        <v>44167</v>
      </c>
      <c r="G2207" s="5">
        <v>44180</v>
      </c>
      <c r="H2207" s="2">
        <v>1</v>
      </c>
      <c r="I2207" s="6"/>
      <c r="J2207" s="6"/>
      <c r="K2207" s="7">
        <v>0.5</v>
      </c>
      <c r="L2207" s="7">
        <v>52.8994</v>
      </c>
      <c r="M2207" t="s">
        <v>18</v>
      </c>
      <c r="N2207" s="16">
        <f>POWER(SQRT(WorkOrders2710[[#This Row],[WorkDate]]-WorkOrders2710[[#This Row],[ReqDate]]),2)</f>
        <v>12.999999999999998</v>
      </c>
      <c r="O2207" s="8">
        <f t="array" ref="O2207">INDEX(TechRate,MATCH(H2207,TechNum,0))</f>
        <v>80</v>
      </c>
      <c r="P2207" s="10">
        <f>WorkOrders2710[[#This Row],[Techs]]*(WorkOrders2710[[#This Row],[PartsCost]]*WorkOrders2710[[#This Row],[LbrHrs]])</f>
        <v>26.4497</v>
      </c>
      <c r="Q2207" s="10">
        <f t="shared" si="203"/>
        <v>26.4497</v>
      </c>
      <c r="R2207" s="10">
        <f t="shared" si="204"/>
        <v>52.8994</v>
      </c>
      <c r="S2207" s="10">
        <f t="shared" si="205"/>
        <v>79.349099999999993</v>
      </c>
      <c r="T2207" s="10">
        <f t="shared" si="206"/>
        <v>79.349099999999993</v>
      </c>
      <c r="U2207" s="8" t="str">
        <f t="shared" si="207"/>
        <v>Wed</v>
      </c>
      <c r="V2207" s="8" t="str">
        <f t="shared" si="208"/>
        <v>Tue</v>
      </c>
    </row>
    <row r="2208" spans="1:22" hidden="1" x14ac:dyDescent="0.25">
      <c r="A2208" t="s">
        <v>246</v>
      </c>
      <c r="B2208" t="s">
        <v>35</v>
      </c>
      <c r="C2208" t="s">
        <v>44</v>
      </c>
      <c r="D2208" t="s">
        <v>11</v>
      </c>
      <c r="E2208" t="s">
        <v>3</v>
      </c>
      <c r="F2208" s="5">
        <v>44167</v>
      </c>
      <c r="G2208" s="5">
        <v>44182</v>
      </c>
      <c r="H2208" s="2">
        <v>1</v>
      </c>
      <c r="I2208" s="6"/>
      <c r="J2208" s="6"/>
      <c r="K2208" s="7">
        <v>0.25</v>
      </c>
      <c r="L2208" s="7">
        <v>36.754399999999997</v>
      </c>
      <c r="M2208" t="s">
        <v>17</v>
      </c>
      <c r="N2208" s="16">
        <f>POWER(SQRT(WorkOrders2710[[#This Row],[WorkDate]]-WorkOrders2710[[#This Row],[ReqDate]]),2)</f>
        <v>15.000000000000002</v>
      </c>
      <c r="O2208" s="8">
        <f t="array" ref="O2208">INDEX(TechRate,MATCH(H2208,TechNum,0))</f>
        <v>80</v>
      </c>
      <c r="P2208" s="10">
        <f>WorkOrders2710[[#This Row],[Techs]]*(WorkOrders2710[[#This Row],[PartsCost]]*WorkOrders2710[[#This Row],[LbrHrs]])</f>
        <v>9.1885999999999992</v>
      </c>
      <c r="Q2208" s="10">
        <f t="shared" si="203"/>
        <v>9.1885999999999992</v>
      </c>
      <c r="R2208" s="10">
        <f t="shared" si="204"/>
        <v>36.754399999999997</v>
      </c>
      <c r="S2208" s="10">
        <f t="shared" si="205"/>
        <v>45.942999999999998</v>
      </c>
      <c r="T2208" s="10">
        <f t="shared" si="206"/>
        <v>45.942999999999998</v>
      </c>
      <c r="U2208" s="8" t="str">
        <f t="shared" si="207"/>
        <v>Wed</v>
      </c>
      <c r="V2208" s="8" t="str">
        <f t="shared" si="208"/>
        <v>Thu</v>
      </c>
    </row>
    <row r="2209" spans="1:22" hidden="1" x14ac:dyDescent="0.25">
      <c r="A2209" t="s">
        <v>247</v>
      </c>
      <c r="B2209" t="s">
        <v>39</v>
      </c>
      <c r="C2209" t="s">
        <v>6</v>
      </c>
      <c r="D2209" t="s">
        <v>11</v>
      </c>
      <c r="F2209" s="5">
        <v>44167</v>
      </c>
      <c r="G2209" s="5">
        <v>44203</v>
      </c>
      <c r="H2209" s="2">
        <v>1</v>
      </c>
      <c r="I2209" s="6"/>
      <c r="J2209" s="6"/>
      <c r="K2209" s="7">
        <v>0.25</v>
      </c>
      <c r="L2209" s="7">
        <v>45.237400000000001</v>
      </c>
      <c r="M2209" t="s">
        <v>18</v>
      </c>
      <c r="N2209" s="16">
        <f>POWER(SQRT(WorkOrders2710[[#This Row],[WorkDate]]-WorkOrders2710[[#This Row],[ReqDate]]),2)</f>
        <v>36</v>
      </c>
      <c r="O2209" s="8">
        <f t="array" ref="O2209">INDEX(TechRate,MATCH(H2209,TechNum,0))</f>
        <v>80</v>
      </c>
      <c r="P2209" s="10">
        <f>WorkOrders2710[[#This Row],[Techs]]*(WorkOrders2710[[#This Row],[PartsCost]]*WorkOrders2710[[#This Row],[LbrHrs]])</f>
        <v>11.30935</v>
      </c>
      <c r="Q2209" s="10">
        <f t="shared" si="203"/>
        <v>11.30935</v>
      </c>
      <c r="R2209" s="10">
        <f t="shared" si="204"/>
        <v>45.237400000000001</v>
      </c>
      <c r="S2209" s="10">
        <f t="shared" si="205"/>
        <v>56.546750000000003</v>
      </c>
      <c r="T2209" s="10">
        <f t="shared" si="206"/>
        <v>56.546750000000003</v>
      </c>
      <c r="U2209" s="8" t="str">
        <f t="shared" si="207"/>
        <v>Wed</v>
      </c>
      <c r="V2209" s="8" t="str">
        <f t="shared" si="208"/>
        <v>Thu</v>
      </c>
    </row>
    <row r="2210" spans="1:22" hidden="1" x14ac:dyDescent="0.25">
      <c r="A2210" t="s">
        <v>248</v>
      </c>
      <c r="B2210" t="s">
        <v>35</v>
      </c>
      <c r="C2210" t="s">
        <v>44</v>
      </c>
      <c r="D2210" t="s">
        <v>13</v>
      </c>
      <c r="E2210" t="s">
        <v>3</v>
      </c>
      <c r="F2210" s="5">
        <v>44167</v>
      </c>
      <c r="G2210" s="5">
        <v>44223</v>
      </c>
      <c r="H2210" s="2">
        <v>1</v>
      </c>
      <c r="I2210" s="6"/>
      <c r="J2210" s="6"/>
      <c r="K2210" s="7">
        <v>0.75</v>
      </c>
      <c r="L2210" s="7">
        <v>42.66</v>
      </c>
      <c r="M2210" t="s">
        <v>17</v>
      </c>
      <c r="N2210" s="16">
        <f>POWER(SQRT(WorkOrders2710[[#This Row],[WorkDate]]-WorkOrders2710[[#This Row],[ReqDate]]),2)</f>
        <v>56</v>
      </c>
      <c r="O2210" s="8">
        <f t="array" ref="O2210">INDEX(TechRate,MATCH(H2210,TechNum,0))</f>
        <v>80</v>
      </c>
      <c r="P2210" s="10">
        <f>WorkOrders2710[[#This Row],[Techs]]*(WorkOrders2710[[#This Row],[PartsCost]]*WorkOrders2710[[#This Row],[LbrHrs]])</f>
        <v>31.994999999999997</v>
      </c>
      <c r="Q2210" s="10">
        <f t="shared" si="203"/>
        <v>31.994999999999997</v>
      </c>
      <c r="R2210" s="10">
        <f t="shared" si="204"/>
        <v>42.66</v>
      </c>
      <c r="S2210" s="10">
        <f t="shared" si="205"/>
        <v>74.655000000000001</v>
      </c>
      <c r="T2210" s="10">
        <f t="shared" si="206"/>
        <v>74.655000000000001</v>
      </c>
      <c r="U2210" s="8" t="str">
        <f t="shared" si="207"/>
        <v>Wed</v>
      </c>
      <c r="V2210" s="8" t="str">
        <f t="shared" si="208"/>
        <v>Wed</v>
      </c>
    </row>
    <row r="2211" spans="1:22" hidden="1" x14ac:dyDescent="0.25">
      <c r="A2211" t="s">
        <v>249</v>
      </c>
      <c r="B2211" t="s">
        <v>36</v>
      </c>
      <c r="C2211" t="s">
        <v>7</v>
      </c>
      <c r="D2211" t="s">
        <v>13</v>
      </c>
      <c r="F2211" s="5">
        <v>44167</v>
      </c>
      <c r="G2211" s="5">
        <v>44242</v>
      </c>
      <c r="H2211" s="2">
        <v>2</v>
      </c>
      <c r="I2211" s="6"/>
      <c r="J2211" s="6"/>
      <c r="K2211" s="7">
        <v>1</v>
      </c>
      <c r="L2211" s="7">
        <v>226</v>
      </c>
      <c r="M2211" t="s">
        <v>17</v>
      </c>
      <c r="N2211" s="16">
        <f>POWER(SQRT(WorkOrders2710[[#This Row],[WorkDate]]-WorkOrders2710[[#This Row],[ReqDate]]),2)</f>
        <v>75.000000000000014</v>
      </c>
      <c r="O2211" s="8">
        <f t="array" ref="O2211">INDEX(TechRate,MATCH(H2211,TechNum,0))</f>
        <v>140</v>
      </c>
      <c r="P2211" s="10">
        <f>WorkOrders2710[[#This Row],[Techs]]*(WorkOrders2710[[#This Row],[PartsCost]]*WorkOrders2710[[#This Row],[LbrHrs]])</f>
        <v>452</v>
      </c>
      <c r="Q2211" s="10">
        <f t="shared" si="203"/>
        <v>452</v>
      </c>
      <c r="R2211" s="10">
        <f t="shared" si="204"/>
        <v>226</v>
      </c>
      <c r="S2211" s="10">
        <f t="shared" si="205"/>
        <v>678</v>
      </c>
      <c r="T2211" s="10">
        <f t="shared" si="206"/>
        <v>678</v>
      </c>
      <c r="U2211" s="8" t="str">
        <f t="shared" si="207"/>
        <v>Wed</v>
      </c>
      <c r="V2211" s="8" t="str">
        <f t="shared" si="208"/>
        <v>Mon</v>
      </c>
    </row>
    <row r="2212" spans="1:22" hidden="1" x14ac:dyDescent="0.25">
      <c r="A2212" t="s">
        <v>250</v>
      </c>
      <c r="B2212" t="s">
        <v>37</v>
      </c>
      <c r="C2212" t="s">
        <v>6</v>
      </c>
      <c r="D2212" t="s">
        <v>12</v>
      </c>
      <c r="F2212" s="5">
        <v>44168</v>
      </c>
      <c r="G2212" s="5">
        <v>44202</v>
      </c>
      <c r="H2212" s="2">
        <v>2</v>
      </c>
      <c r="I2212" s="6"/>
      <c r="J2212" s="6"/>
      <c r="K2212" s="7">
        <v>0.5</v>
      </c>
      <c r="L2212" s="7">
        <v>45.237400000000001</v>
      </c>
      <c r="M2212" t="s">
        <v>17</v>
      </c>
      <c r="N2212" s="16">
        <f>POWER(SQRT(WorkOrders2710[[#This Row],[WorkDate]]-WorkOrders2710[[#This Row],[ReqDate]]),2)</f>
        <v>34</v>
      </c>
      <c r="O2212" s="8">
        <f t="array" ref="O2212">INDEX(TechRate,MATCH(H2212,TechNum,0))</f>
        <v>140</v>
      </c>
      <c r="P2212" s="10">
        <f>WorkOrders2710[[#This Row],[Techs]]*(WorkOrders2710[[#This Row],[PartsCost]]*WorkOrders2710[[#This Row],[LbrHrs]])</f>
        <v>45.237400000000001</v>
      </c>
      <c r="Q2212" s="10">
        <f t="shared" si="203"/>
        <v>45.237400000000001</v>
      </c>
      <c r="R2212" s="10">
        <f t="shared" si="204"/>
        <v>45.237400000000001</v>
      </c>
      <c r="S2212" s="10">
        <f t="shared" si="205"/>
        <v>90.474800000000002</v>
      </c>
      <c r="T2212" s="10">
        <f t="shared" si="206"/>
        <v>90.474800000000002</v>
      </c>
      <c r="U2212" s="8" t="str">
        <f t="shared" si="207"/>
        <v>Thu</v>
      </c>
      <c r="V2212" s="8" t="str">
        <f t="shared" si="208"/>
        <v>Wed</v>
      </c>
    </row>
    <row r="2213" spans="1:22" hidden="1" x14ac:dyDescent="0.25">
      <c r="A2213" t="s">
        <v>251</v>
      </c>
      <c r="B2213" t="s">
        <v>35</v>
      </c>
      <c r="C2213" t="s">
        <v>9</v>
      </c>
      <c r="D2213" t="s">
        <v>11</v>
      </c>
      <c r="E2213" t="s">
        <v>3</v>
      </c>
      <c r="F2213" s="5">
        <v>44168</v>
      </c>
      <c r="G2213" s="5">
        <v>44221</v>
      </c>
      <c r="H2213" s="2">
        <v>1</v>
      </c>
      <c r="I2213" s="6"/>
      <c r="J2213" s="6"/>
      <c r="K2213" s="7">
        <v>0.25</v>
      </c>
      <c r="L2213" s="7">
        <v>36.972099999999998</v>
      </c>
      <c r="M2213" t="s">
        <v>18</v>
      </c>
      <c r="N2213" s="16">
        <f>POWER(SQRT(WorkOrders2710[[#This Row],[WorkDate]]-WorkOrders2710[[#This Row],[ReqDate]]),2)</f>
        <v>53</v>
      </c>
      <c r="O2213" s="8">
        <f t="array" ref="O2213">INDEX(TechRate,MATCH(H2213,TechNum,0))</f>
        <v>80</v>
      </c>
      <c r="P2213" s="10">
        <f>WorkOrders2710[[#This Row],[Techs]]*(WorkOrders2710[[#This Row],[PartsCost]]*WorkOrders2710[[#This Row],[LbrHrs]])</f>
        <v>9.2430249999999994</v>
      </c>
      <c r="Q2213" s="10">
        <f t="shared" si="203"/>
        <v>9.2430249999999994</v>
      </c>
      <c r="R2213" s="10">
        <f t="shared" si="204"/>
        <v>36.972099999999998</v>
      </c>
      <c r="S2213" s="10">
        <f t="shared" si="205"/>
        <v>46.215125</v>
      </c>
      <c r="T2213" s="10">
        <f t="shared" si="206"/>
        <v>46.215125</v>
      </c>
      <c r="U2213" s="8" t="str">
        <f t="shared" si="207"/>
        <v>Thu</v>
      </c>
      <c r="V2213" s="8" t="str">
        <f t="shared" si="208"/>
        <v>Mon</v>
      </c>
    </row>
    <row r="2214" spans="1:22" hidden="1" x14ac:dyDescent="0.25">
      <c r="A2214" t="s">
        <v>252</v>
      </c>
      <c r="B2214" t="s">
        <v>37</v>
      </c>
      <c r="C2214" t="s">
        <v>43</v>
      </c>
      <c r="D2214" t="s">
        <v>12</v>
      </c>
      <c r="F2214" s="5">
        <v>44170</v>
      </c>
      <c r="G2214" s="5">
        <v>44188</v>
      </c>
      <c r="H2214" s="2">
        <v>1</v>
      </c>
      <c r="I2214" s="6"/>
      <c r="J2214" s="6"/>
      <c r="K2214" s="7">
        <v>0.5</v>
      </c>
      <c r="L2214" s="7">
        <v>138.5667</v>
      </c>
      <c r="M2214" t="s">
        <v>17</v>
      </c>
      <c r="N2214" s="16">
        <f>POWER(SQRT(WorkOrders2710[[#This Row],[WorkDate]]-WorkOrders2710[[#This Row],[ReqDate]]),2)</f>
        <v>17.999999999999996</v>
      </c>
      <c r="O2214" s="8">
        <f t="array" ref="O2214">INDEX(TechRate,MATCH(H2214,TechNum,0))</f>
        <v>80</v>
      </c>
      <c r="P2214" s="10">
        <f>WorkOrders2710[[#This Row],[Techs]]*(WorkOrders2710[[#This Row],[PartsCost]]*WorkOrders2710[[#This Row],[LbrHrs]])</f>
        <v>69.283349999999999</v>
      </c>
      <c r="Q2214" s="10">
        <f t="shared" si="203"/>
        <v>69.283349999999999</v>
      </c>
      <c r="R2214" s="10">
        <f t="shared" si="204"/>
        <v>138.5667</v>
      </c>
      <c r="S2214" s="10">
        <f t="shared" si="205"/>
        <v>207.85005000000001</v>
      </c>
      <c r="T2214" s="10">
        <f t="shared" si="206"/>
        <v>207.85005000000001</v>
      </c>
      <c r="U2214" s="8" t="str">
        <f t="shared" si="207"/>
        <v>Sat</v>
      </c>
      <c r="V2214" s="8" t="str">
        <f t="shared" si="208"/>
        <v>Wed</v>
      </c>
    </row>
    <row r="2215" spans="1:22" hidden="1" x14ac:dyDescent="0.25">
      <c r="A2215" t="s">
        <v>253</v>
      </c>
      <c r="B2215" t="s">
        <v>37</v>
      </c>
      <c r="C2215" t="s">
        <v>43</v>
      </c>
      <c r="D2215" t="s">
        <v>11</v>
      </c>
      <c r="F2215" s="5">
        <v>44170</v>
      </c>
      <c r="G2215" s="5">
        <v>44202</v>
      </c>
      <c r="H2215" s="2">
        <v>1</v>
      </c>
      <c r="I2215" s="6"/>
      <c r="J2215" s="6"/>
      <c r="K2215" s="7">
        <v>0.25</v>
      </c>
      <c r="L2215" s="7">
        <v>126.5641</v>
      </c>
      <c r="M2215" t="s">
        <v>17</v>
      </c>
      <c r="N2215" s="16">
        <f>POWER(SQRT(WorkOrders2710[[#This Row],[WorkDate]]-WorkOrders2710[[#This Row],[ReqDate]]),2)</f>
        <v>32.000000000000007</v>
      </c>
      <c r="O2215" s="8">
        <f t="array" ref="O2215">INDEX(TechRate,MATCH(H2215,TechNum,0))</f>
        <v>80</v>
      </c>
      <c r="P2215" s="10">
        <f>WorkOrders2710[[#This Row],[Techs]]*(WorkOrders2710[[#This Row],[PartsCost]]*WorkOrders2710[[#This Row],[LbrHrs]])</f>
        <v>31.641024999999999</v>
      </c>
      <c r="Q2215" s="10">
        <f t="shared" si="203"/>
        <v>31.641024999999999</v>
      </c>
      <c r="R2215" s="10">
        <f t="shared" si="204"/>
        <v>126.5641</v>
      </c>
      <c r="S2215" s="10">
        <f t="shared" si="205"/>
        <v>158.20512500000001</v>
      </c>
      <c r="T2215" s="10">
        <f t="shared" si="206"/>
        <v>158.20512500000001</v>
      </c>
      <c r="U2215" s="8" t="str">
        <f t="shared" si="207"/>
        <v>Sat</v>
      </c>
      <c r="V2215" s="8" t="str">
        <f t="shared" si="208"/>
        <v>Wed</v>
      </c>
    </row>
    <row r="2216" spans="1:22" hidden="1" x14ac:dyDescent="0.25">
      <c r="A2216" t="s">
        <v>254</v>
      </c>
      <c r="B2216" t="s">
        <v>38</v>
      </c>
      <c r="C2216" t="s">
        <v>9</v>
      </c>
      <c r="D2216" t="s">
        <v>1</v>
      </c>
      <c r="F2216" s="5">
        <v>44172</v>
      </c>
      <c r="G2216" s="5">
        <v>44201</v>
      </c>
      <c r="H2216" s="2">
        <v>2</v>
      </c>
      <c r="I2216" s="6"/>
      <c r="J2216" s="6"/>
      <c r="K2216" s="7">
        <v>1</v>
      </c>
      <c r="L2216" s="7">
        <v>51.45</v>
      </c>
      <c r="M2216" t="s">
        <v>19</v>
      </c>
      <c r="N2216" s="16">
        <f>POWER(SQRT(WorkOrders2710[[#This Row],[WorkDate]]-WorkOrders2710[[#This Row],[ReqDate]]),2)</f>
        <v>28.999999999999996</v>
      </c>
      <c r="O2216" s="8">
        <f t="array" ref="O2216">INDEX(TechRate,MATCH(H2216,TechNum,0))</f>
        <v>140</v>
      </c>
      <c r="P2216" s="10">
        <f>WorkOrders2710[[#This Row],[Techs]]*(WorkOrders2710[[#This Row],[PartsCost]]*WorkOrders2710[[#This Row],[LbrHrs]])</f>
        <v>102.9</v>
      </c>
      <c r="Q2216" s="10">
        <f t="shared" si="203"/>
        <v>102.9</v>
      </c>
      <c r="R2216" s="10">
        <f t="shared" si="204"/>
        <v>51.45</v>
      </c>
      <c r="S2216" s="10">
        <f t="shared" si="205"/>
        <v>154.35000000000002</v>
      </c>
      <c r="T2216" s="10">
        <f t="shared" si="206"/>
        <v>154.35000000000002</v>
      </c>
      <c r="U2216" s="8" t="str">
        <f t="shared" si="207"/>
        <v>Mon</v>
      </c>
      <c r="V2216" s="8" t="str">
        <f t="shared" si="208"/>
        <v>Tue</v>
      </c>
    </row>
    <row r="2217" spans="1:22" hidden="1" x14ac:dyDescent="0.25">
      <c r="A2217" t="s">
        <v>255</v>
      </c>
      <c r="B2217" t="s">
        <v>37</v>
      </c>
      <c r="C2217" t="s">
        <v>43</v>
      </c>
      <c r="D2217" t="s">
        <v>11</v>
      </c>
      <c r="F2217" s="5">
        <v>44172</v>
      </c>
      <c r="G2217" s="5">
        <v>44203</v>
      </c>
      <c r="H2217" s="2">
        <v>1</v>
      </c>
      <c r="I2217" s="6"/>
      <c r="J2217" s="6"/>
      <c r="K2217" s="7">
        <v>0.25</v>
      </c>
      <c r="L2217" s="7">
        <v>227.93719999999999</v>
      </c>
      <c r="M2217" t="s">
        <v>17</v>
      </c>
      <c r="N2217" s="16">
        <f>POWER(SQRT(WorkOrders2710[[#This Row],[WorkDate]]-WorkOrders2710[[#This Row],[ReqDate]]),2)</f>
        <v>30.999999999999996</v>
      </c>
      <c r="O2217" s="8">
        <f t="array" ref="O2217">INDEX(TechRate,MATCH(H2217,TechNum,0))</f>
        <v>80</v>
      </c>
      <c r="P2217" s="10">
        <f>WorkOrders2710[[#This Row],[Techs]]*(WorkOrders2710[[#This Row],[PartsCost]]*WorkOrders2710[[#This Row],[LbrHrs]])</f>
        <v>56.984299999999998</v>
      </c>
      <c r="Q2217" s="10">
        <f t="shared" si="203"/>
        <v>56.984299999999998</v>
      </c>
      <c r="R2217" s="10">
        <f t="shared" si="204"/>
        <v>227.93719999999999</v>
      </c>
      <c r="S2217" s="10">
        <f t="shared" si="205"/>
        <v>284.92149999999998</v>
      </c>
      <c r="T2217" s="10">
        <f t="shared" si="206"/>
        <v>284.92149999999998</v>
      </c>
      <c r="U2217" s="8" t="str">
        <f t="shared" si="207"/>
        <v>Mon</v>
      </c>
      <c r="V2217" s="8" t="str">
        <f t="shared" si="208"/>
        <v>Thu</v>
      </c>
    </row>
    <row r="2218" spans="1:22" hidden="1" x14ac:dyDescent="0.25">
      <c r="A2218" t="s">
        <v>256</v>
      </c>
      <c r="B2218" t="s">
        <v>35</v>
      </c>
      <c r="C2218" t="s">
        <v>6</v>
      </c>
      <c r="D2218" t="s">
        <v>13</v>
      </c>
      <c r="F2218" s="5">
        <v>44172</v>
      </c>
      <c r="G2218" s="5">
        <v>44207</v>
      </c>
      <c r="H2218" s="2">
        <v>1</v>
      </c>
      <c r="I2218" s="6"/>
      <c r="J2218" s="6"/>
      <c r="K2218" s="7">
        <v>0.5</v>
      </c>
      <c r="L2218" s="7">
        <v>367.71109999999999</v>
      </c>
      <c r="M2218" t="s">
        <v>19</v>
      </c>
      <c r="N2218" s="16">
        <f>POWER(SQRT(WorkOrders2710[[#This Row],[WorkDate]]-WorkOrders2710[[#This Row],[ReqDate]]),2)</f>
        <v>35</v>
      </c>
      <c r="O2218" s="8">
        <f t="array" ref="O2218">INDEX(TechRate,MATCH(H2218,TechNum,0))</f>
        <v>80</v>
      </c>
      <c r="P2218" s="10">
        <f>WorkOrders2710[[#This Row],[Techs]]*(WorkOrders2710[[#This Row],[PartsCost]]*WorkOrders2710[[#This Row],[LbrHrs]])</f>
        <v>183.85554999999999</v>
      </c>
      <c r="Q2218" s="10">
        <f t="shared" si="203"/>
        <v>183.85554999999999</v>
      </c>
      <c r="R2218" s="10">
        <f t="shared" si="204"/>
        <v>367.71109999999999</v>
      </c>
      <c r="S2218" s="10">
        <f t="shared" si="205"/>
        <v>551.56664999999998</v>
      </c>
      <c r="T2218" s="10">
        <f t="shared" si="206"/>
        <v>551.56664999999998</v>
      </c>
      <c r="U2218" s="8" t="str">
        <f t="shared" si="207"/>
        <v>Mon</v>
      </c>
      <c r="V2218" s="8" t="str">
        <f t="shared" si="208"/>
        <v>Mon</v>
      </c>
    </row>
    <row r="2219" spans="1:22" hidden="1" x14ac:dyDescent="0.25">
      <c r="A2219" t="s">
        <v>257</v>
      </c>
      <c r="B2219" t="s">
        <v>36</v>
      </c>
      <c r="C2219" t="s">
        <v>8</v>
      </c>
      <c r="D2219" t="s">
        <v>13</v>
      </c>
      <c r="F2219" s="5">
        <v>44172</v>
      </c>
      <c r="G2219" s="5">
        <v>44208</v>
      </c>
      <c r="H2219" s="2">
        <v>2</v>
      </c>
      <c r="I2219" s="6"/>
      <c r="J2219" s="6"/>
      <c r="K2219" s="7">
        <v>1.25</v>
      </c>
      <c r="L2219" s="7">
        <v>637.53</v>
      </c>
      <c r="M2219" t="s">
        <v>17</v>
      </c>
      <c r="N2219" s="16">
        <f>POWER(SQRT(WorkOrders2710[[#This Row],[WorkDate]]-WorkOrders2710[[#This Row],[ReqDate]]),2)</f>
        <v>36</v>
      </c>
      <c r="O2219" s="8">
        <f t="array" ref="O2219">INDEX(TechRate,MATCH(H2219,TechNum,0))</f>
        <v>140</v>
      </c>
      <c r="P2219" s="10">
        <f>WorkOrders2710[[#This Row],[Techs]]*(WorkOrders2710[[#This Row],[PartsCost]]*WorkOrders2710[[#This Row],[LbrHrs]])</f>
        <v>1593.8249999999998</v>
      </c>
      <c r="Q2219" s="10">
        <f t="shared" si="203"/>
        <v>1593.8249999999998</v>
      </c>
      <c r="R2219" s="10">
        <f t="shared" si="204"/>
        <v>637.53</v>
      </c>
      <c r="S2219" s="10">
        <f t="shared" si="205"/>
        <v>2231.3549999999996</v>
      </c>
      <c r="T2219" s="10">
        <f t="shared" si="206"/>
        <v>2231.3549999999996</v>
      </c>
      <c r="U2219" s="8" t="str">
        <f t="shared" si="207"/>
        <v>Mon</v>
      </c>
      <c r="V2219" s="8" t="str">
        <f t="shared" si="208"/>
        <v>Tue</v>
      </c>
    </row>
    <row r="2220" spans="1:22" hidden="1" x14ac:dyDescent="0.25">
      <c r="A2220" t="s">
        <v>258</v>
      </c>
      <c r="B2220" t="s">
        <v>34</v>
      </c>
      <c r="C2220" t="s">
        <v>8</v>
      </c>
      <c r="D2220" t="s">
        <v>13</v>
      </c>
      <c r="F2220" s="5">
        <v>44173</v>
      </c>
      <c r="G2220" s="5">
        <v>44180</v>
      </c>
      <c r="H2220" s="2">
        <v>2</v>
      </c>
      <c r="I2220" s="6"/>
      <c r="J2220" s="6"/>
      <c r="K2220" s="7">
        <v>3</v>
      </c>
      <c r="L2220" s="7">
        <v>21.33</v>
      </c>
      <c r="M2220" t="s">
        <v>17</v>
      </c>
      <c r="N2220" s="16">
        <f>POWER(SQRT(WorkOrders2710[[#This Row],[WorkDate]]-WorkOrders2710[[#This Row],[ReqDate]]),2)</f>
        <v>7.0000000000000009</v>
      </c>
      <c r="O2220" s="8">
        <f t="array" ref="O2220">INDEX(TechRate,MATCH(H2220,TechNum,0))</f>
        <v>140</v>
      </c>
      <c r="P2220" s="10">
        <f>WorkOrders2710[[#This Row],[Techs]]*(WorkOrders2710[[#This Row],[PartsCost]]*WorkOrders2710[[#This Row],[LbrHrs]])</f>
        <v>127.97999999999999</v>
      </c>
      <c r="Q2220" s="10">
        <f t="shared" si="203"/>
        <v>127.97999999999999</v>
      </c>
      <c r="R2220" s="10">
        <f t="shared" si="204"/>
        <v>21.33</v>
      </c>
      <c r="S2220" s="10">
        <f t="shared" si="205"/>
        <v>149.31</v>
      </c>
      <c r="T2220" s="10">
        <f t="shared" si="206"/>
        <v>149.31</v>
      </c>
      <c r="U2220" s="8" t="str">
        <f t="shared" si="207"/>
        <v>Tue</v>
      </c>
      <c r="V2220" s="8" t="str">
        <f t="shared" si="208"/>
        <v>Tue</v>
      </c>
    </row>
    <row r="2221" spans="1:22" hidden="1" x14ac:dyDescent="0.25">
      <c r="A2221" t="s">
        <v>259</v>
      </c>
      <c r="B2221" t="s">
        <v>38</v>
      </c>
      <c r="C2221" t="s">
        <v>44</v>
      </c>
      <c r="D2221" t="s">
        <v>13</v>
      </c>
      <c r="F2221" s="5">
        <v>44173</v>
      </c>
      <c r="G2221" s="5">
        <v>44181</v>
      </c>
      <c r="H2221" s="2">
        <v>2</v>
      </c>
      <c r="I2221" s="6"/>
      <c r="J2221" s="6"/>
      <c r="K2221" s="7">
        <v>1.5</v>
      </c>
      <c r="L2221" s="7">
        <v>318.72519999999997</v>
      </c>
      <c r="M2221" t="s">
        <v>17</v>
      </c>
      <c r="N2221" s="16">
        <f>POWER(SQRT(WorkOrders2710[[#This Row],[WorkDate]]-WorkOrders2710[[#This Row],[ReqDate]]),2)</f>
        <v>8.0000000000000018</v>
      </c>
      <c r="O2221" s="8">
        <f t="array" ref="O2221">INDEX(TechRate,MATCH(H2221,TechNum,0))</f>
        <v>140</v>
      </c>
      <c r="P2221" s="10">
        <f>WorkOrders2710[[#This Row],[Techs]]*(WorkOrders2710[[#This Row],[PartsCost]]*WorkOrders2710[[#This Row],[LbrHrs]])</f>
        <v>956.17559999999992</v>
      </c>
      <c r="Q2221" s="10">
        <f t="shared" si="203"/>
        <v>956.17559999999992</v>
      </c>
      <c r="R2221" s="10">
        <f t="shared" si="204"/>
        <v>318.72519999999997</v>
      </c>
      <c r="S2221" s="10">
        <f t="shared" si="205"/>
        <v>1274.9007999999999</v>
      </c>
      <c r="T2221" s="10">
        <f t="shared" si="206"/>
        <v>1274.9007999999999</v>
      </c>
      <c r="U2221" s="8" t="str">
        <f t="shared" si="207"/>
        <v>Tue</v>
      </c>
      <c r="V2221" s="8" t="str">
        <f t="shared" si="208"/>
        <v>Wed</v>
      </c>
    </row>
    <row r="2222" spans="1:22" hidden="1" x14ac:dyDescent="0.25">
      <c r="A2222" t="s">
        <v>260</v>
      </c>
      <c r="B2222" t="s">
        <v>35</v>
      </c>
      <c r="C2222" t="s">
        <v>44</v>
      </c>
      <c r="D2222" t="s">
        <v>13</v>
      </c>
      <c r="E2222" t="s">
        <v>3</v>
      </c>
      <c r="F2222" s="5">
        <v>44173</v>
      </c>
      <c r="G2222" s="5">
        <v>44239</v>
      </c>
      <c r="H2222" s="2">
        <v>2</v>
      </c>
      <c r="I2222" s="6"/>
      <c r="J2222" s="6"/>
      <c r="K2222" s="7">
        <v>0.75</v>
      </c>
      <c r="L2222" s="7">
        <v>35.450000000000003</v>
      </c>
      <c r="M2222" t="s">
        <v>17</v>
      </c>
      <c r="N2222" s="16">
        <f>POWER(SQRT(WorkOrders2710[[#This Row],[WorkDate]]-WorkOrders2710[[#This Row],[ReqDate]]),2)</f>
        <v>66.000000000000014</v>
      </c>
      <c r="O2222" s="8">
        <f t="array" ref="O2222">INDEX(TechRate,MATCH(H2222,TechNum,0))</f>
        <v>140</v>
      </c>
      <c r="P2222" s="10">
        <f>WorkOrders2710[[#This Row],[Techs]]*(WorkOrders2710[[#This Row],[PartsCost]]*WorkOrders2710[[#This Row],[LbrHrs]])</f>
        <v>53.175000000000004</v>
      </c>
      <c r="Q2222" s="10">
        <f t="shared" si="203"/>
        <v>53.175000000000004</v>
      </c>
      <c r="R2222" s="10">
        <f t="shared" si="204"/>
        <v>35.450000000000003</v>
      </c>
      <c r="S2222" s="10">
        <f t="shared" si="205"/>
        <v>88.625</v>
      </c>
      <c r="T2222" s="10">
        <f t="shared" si="206"/>
        <v>88.625</v>
      </c>
      <c r="U2222" s="8" t="str">
        <f t="shared" si="207"/>
        <v>Tue</v>
      </c>
      <c r="V2222" s="8" t="str">
        <f t="shared" si="208"/>
        <v>Fri</v>
      </c>
    </row>
    <row r="2223" spans="1:22" hidden="1" x14ac:dyDescent="0.25">
      <c r="A2223" t="s">
        <v>261</v>
      </c>
      <c r="B2223" t="s">
        <v>37</v>
      </c>
      <c r="C2223" t="s">
        <v>43</v>
      </c>
      <c r="D2223" t="s">
        <v>1</v>
      </c>
      <c r="F2223" s="5">
        <v>44174</v>
      </c>
      <c r="G2223" s="5">
        <v>44182</v>
      </c>
      <c r="H2223" s="2">
        <v>1</v>
      </c>
      <c r="I2223" s="6"/>
      <c r="J2223" s="6"/>
      <c r="K2223" s="7">
        <v>1.75</v>
      </c>
      <c r="L2223" s="7">
        <v>131.30000000000001</v>
      </c>
      <c r="M2223" t="s">
        <v>19</v>
      </c>
      <c r="N2223" s="16">
        <f>POWER(SQRT(WorkOrders2710[[#This Row],[WorkDate]]-WorkOrders2710[[#This Row],[ReqDate]]),2)</f>
        <v>8.0000000000000018</v>
      </c>
      <c r="O2223" s="8">
        <f t="array" ref="O2223">INDEX(TechRate,MATCH(H2223,TechNum,0))</f>
        <v>80</v>
      </c>
      <c r="P2223" s="10">
        <f>WorkOrders2710[[#This Row],[Techs]]*(WorkOrders2710[[#This Row],[PartsCost]]*WorkOrders2710[[#This Row],[LbrHrs]])</f>
        <v>229.77500000000003</v>
      </c>
      <c r="Q2223" s="10">
        <f t="shared" si="203"/>
        <v>229.77500000000003</v>
      </c>
      <c r="R2223" s="10">
        <f t="shared" si="204"/>
        <v>131.30000000000001</v>
      </c>
      <c r="S2223" s="10">
        <f t="shared" si="205"/>
        <v>361.07500000000005</v>
      </c>
      <c r="T2223" s="10">
        <f t="shared" si="206"/>
        <v>361.07500000000005</v>
      </c>
      <c r="U2223" s="8" t="str">
        <f t="shared" si="207"/>
        <v>Wed</v>
      </c>
      <c r="V2223" s="8" t="str">
        <f t="shared" si="208"/>
        <v>Thu</v>
      </c>
    </row>
    <row r="2224" spans="1:22" hidden="1" x14ac:dyDescent="0.25">
      <c r="A2224" t="s">
        <v>262</v>
      </c>
      <c r="B2224" t="s">
        <v>35</v>
      </c>
      <c r="C2224" t="s">
        <v>44</v>
      </c>
      <c r="D2224" t="s">
        <v>11</v>
      </c>
      <c r="F2224" s="5">
        <v>44174</v>
      </c>
      <c r="G2224" s="5">
        <v>44207</v>
      </c>
      <c r="H2224" s="2">
        <v>1</v>
      </c>
      <c r="I2224" s="6"/>
      <c r="J2224" s="6"/>
      <c r="K2224" s="7">
        <v>0.25</v>
      </c>
      <c r="L2224" s="7">
        <v>37.262799999999999</v>
      </c>
      <c r="M2224" t="s">
        <v>18</v>
      </c>
      <c r="N2224" s="16">
        <f>POWER(SQRT(WorkOrders2710[[#This Row],[WorkDate]]-WorkOrders2710[[#This Row],[ReqDate]]),2)</f>
        <v>33</v>
      </c>
      <c r="O2224" s="8">
        <f t="array" ref="O2224">INDEX(TechRate,MATCH(H2224,TechNum,0))</f>
        <v>80</v>
      </c>
      <c r="P2224" s="10">
        <f>WorkOrders2710[[#This Row],[Techs]]*(WorkOrders2710[[#This Row],[PartsCost]]*WorkOrders2710[[#This Row],[LbrHrs]])</f>
        <v>9.3156999999999996</v>
      </c>
      <c r="Q2224" s="10">
        <f t="shared" si="203"/>
        <v>9.3156999999999996</v>
      </c>
      <c r="R2224" s="10">
        <f t="shared" si="204"/>
        <v>37.262799999999999</v>
      </c>
      <c r="S2224" s="10">
        <f t="shared" si="205"/>
        <v>46.578499999999998</v>
      </c>
      <c r="T2224" s="10">
        <f t="shared" si="206"/>
        <v>46.578499999999998</v>
      </c>
      <c r="U2224" s="8" t="str">
        <f t="shared" si="207"/>
        <v>Wed</v>
      </c>
      <c r="V2224" s="8" t="str">
        <f t="shared" si="208"/>
        <v>Mon</v>
      </c>
    </row>
    <row r="2225" spans="1:22" hidden="1" x14ac:dyDescent="0.25">
      <c r="A2225" t="s">
        <v>263</v>
      </c>
      <c r="B2225" t="s">
        <v>41</v>
      </c>
      <c r="C2225" t="s">
        <v>6</v>
      </c>
      <c r="D2225" t="s">
        <v>1</v>
      </c>
      <c r="F2225" s="5">
        <v>44174</v>
      </c>
      <c r="G2225" s="5">
        <v>44208</v>
      </c>
      <c r="H2225" s="2">
        <v>2</v>
      </c>
      <c r="I2225" s="6"/>
      <c r="J2225" s="6"/>
      <c r="K2225" s="7">
        <v>3</v>
      </c>
      <c r="L2225" s="7">
        <v>1193.7465999999999</v>
      </c>
      <c r="M2225" t="s">
        <v>18</v>
      </c>
      <c r="N2225" s="16">
        <f>POWER(SQRT(WorkOrders2710[[#This Row],[WorkDate]]-WorkOrders2710[[#This Row],[ReqDate]]),2)</f>
        <v>34</v>
      </c>
      <c r="O2225" s="8">
        <f t="array" ref="O2225">INDEX(TechRate,MATCH(H2225,TechNum,0))</f>
        <v>140</v>
      </c>
      <c r="P2225" s="10">
        <f>WorkOrders2710[[#This Row],[Techs]]*(WorkOrders2710[[#This Row],[PartsCost]]*WorkOrders2710[[#This Row],[LbrHrs]])</f>
        <v>7162.4795999999997</v>
      </c>
      <c r="Q2225" s="10">
        <f t="shared" si="203"/>
        <v>7162.4795999999997</v>
      </c>
      <c r="R2225" s="10">
        <f t="shared" si="204"/>
        <v>1193.7465999999999</v>
      </c>
      <c r="S2225" s="10">
        <f t="shared" si="205"/>
        <v>8356.2261999999992</v>
      </c>
      <c r="T2225" s="10">
        <f t="shared" si="206"/>
        <v>8356.2261999999992</v>
      </c>
      <c r="U2225" s="8" t="str">
        <f t="shared" si="207"/>
        <v>Wed</v>
      </c>
      <c r="V2225" s="8" t="str">
        <f t="shared" si="208"/>
        <v>Tue</v>
      </c>
    </row>
    <row r="2226" spans="1:22" hidden="1" x14ac:dyDescent="0.25">
      <c r="A2226" t="s">
        <v>264</v>
      </c>
      <c r="B2226" t="s">
        <v>39</v>
      </c>
      <c r="C2226" t="s">
        <v>6</v>
      </c>
      <c r="D2226" t="s">
        <v>13</v>
      </c>
      <c r="E2226" t="s">
        <v>3</v>
      </c>
      <c r="F2226" s="5">
        <v>44175</v>
      </c>
      <c r="G2226" s="5">
        <v>44179</v>
      </c>
      <c r="H2226" s="2">
        <v>1</v>
      </c>
      <c r="I2226" s="6"/>
      <c r="J2226" s="6"/>
      <c r="K2226" s="7">
        <v>0.5</v>
      </c>
      <c r="L2226" s="7">
        <v>250.42240000000001</v>
      </c>
      <c r="M2226" t="s">
        <v>18</v>
      </c>
      <c r="N2226" s="16">
        <f>POWER(SQRT(WorkOrders2710[[#This Row],[WorkDate]]-WorkOrders2710[[#This Row],[ReqDate]]),2)</f>
        <v>4</v>
      </c>
      <c r="O2226" s="8">
        <f t="array" ref="O2226">INDEX(TechRate,MATCH(H2226,TechNum,0))</f>
        <v>80</v>
      </c>
      <c r="P2226" s="10">
        <f>WorkOrders2710[[#This Row],[Techs]]*(WorkOrders2710[[#This Row],[PartsCost]]*WorkOrders2710[[#This Row],[LbrHrs]])</f>
        <v>125.21120000000001</v>
      </c>
      <c r="Q2226" s="10">
        <f t="shared" si="203"/>
        <v>125.21120000000001</v>
      </c>
      <c r="R2226" s="10">
        <f t="shared" si="204"/>
        <v>250.42240000000001</v>
      </c>
      <c r="S2226" s="10">
        <f t="shared" si="205"/>
        <v>375.6336</v>
      </c>
      <c r="T2226" s="10">
        <f t="shared" si="206"/>
        <v>375.6336</v>
      </c>
      <c r="U2226" s="8" t="str">
        <f t="shared" si="207"/>
        <v>Thu</v>
      </c>
      <c r="V2226" s="8" t="str">
        <f t="shared" si="208"/>
        <v>Mon</v>
      </c>
    </row>
    <row r="2227" spans="1:22" hidden="1" x14ac:dyDescent="0.25">
      <c r="A2227" t="s">
        <v>265</v>
      </c>
      <c r="B2227" t="s">
        <v>37</v>
      </c>
      <c r="C2227" t="s">
        <v>43</v>
      </c>
      <c r="D2227" t="s">
        <v>11</v>
      </c>
      <c r="F2227" s="5">
        <v>44175</v>
      </c>
      <c r="G2227" s="5">
        <v>44203</v>
      </c>
      <c r="H2227" s="2">
        <v>1</v>
      </c>
      <c r="I2227" s="6"/>
      <c r="J2227" s="6"/>
      <c r="K2227" s="7">
        <v>0.25</v>
      </c>
      <c r="L2227" s="7">
        <v>67.703999999999994</v>
      </c>
      <c r="M2227" t="s">
        <v>19</v>
      </c>
      <c r="N2227" s="16">
        <f>POWER(SQRT(WorkOrders2710[[#This Row],[WorkDate]]-WorkOrders2710[[#This Row],[ReqDate]]),2)</f>
        <v>28.000000000000004</v>
      </c>
      <c r="O2227" s="8">
        <f t="array" ref="O2227">INDEX(TechRate,MATCH(H2227,TechNum,0))</f>
        <v>80</v>
      </c>
      <c r="P2227" s="10">
        <f>WorkOrders2710[[#This Row],[Techs]]*(WorkOrders2710[[#This Row],[PartsCost]]*WorkOrders2710[[#This Row],[LbrHrs]])</f>
        <v>16.925999999999998</v>
      </c>
      <c r="Q2227" s="10">
        <f t="shared" si="203"/>
        <v>16.925999999999998</v>
      </c>
      <c r="R2227" s="10">
        <f t="shared" si="204"/>
        <v>67.703999999999994</v>
      </c>
      <c r="S2227" s="10">
        <f t="shared" si="205"/>
        <v>84.63</v>
      </c>
      <c r="T2227" s="10">
        <f t="shared" si="206"/>
        <v>84.63</v>
      </c>
      <c r="U2227" s="8" t="str">
        <f t="shared" si="207"/>
        <v>Thu</v>
      </c>
      <c r="V2227" s="8" t="str">
        <f t="shared" si="208"/>
        <v>Thu</v>
      </c>
    </row>
    <row r="2228" spans="1:22" hidden="1" x14ac:dyDescent="0.25">
      <c r="A2228" t="s">
        <v>266</v>
      </c>
      <c r="B2228" t="s">
        <v>34</v>
      </c>
      <c r="C2228" t="s">
        <v>9</v>
      </c>
      <c r="D2228" t="s">
        <v>1</v>
      </c>
      <c r="F2228" s="5">
        <v>44175</v>
      </c>
      <c r="G2228" s="5">
        <v>44203</v>
      </c>
      <c r="H2228" s="2">
        <v>2</v>
      </c>
      <c r="I2228" s="6"/>
      <c r="J2228" s="6"/>
      <c r="K2228" s="7">
        <v>1.25</v>
      </c>
      <c r="L2228" s="7">
        <v>58.238999999999997</v>
      </c>
      <c r="M2228" t="s">
        <v>17</v>
      </c>
      <c r="N2228" s="16">
        <f>POWER(SQRT(WorkOrders2710[[#This Row],[WorkDate]]-WorkOrders2710[[#This Row],[ReqDate]]),2)</f>
        <v>28.000000000000004</v>
      </c>
      <c r="O2228" s="8">
        <f t="array" ref="O2228">INDEX(TechRate,MATCH(H2228,TechNum,0))</f>
        <v>140</v>
      </c>
      <c r="P2228" s="10">
        <f>WorkOrders2710[[#This Row],[Techs]]*(WorkOrders2710[[#This Row],[PartsCost]]*WorkOrders2710[[#This Row],[LbrHrs]])</f>
        <v>145.5975</v>
      </c>
      <c r="Q2228" s="10">
        <f t="shared" si="203"/>
        <v>145.5975</v>
      </c>
      <c r="R2228" s="10">
        <f t="shared" si="204"/>
        <v>58.238999999999997</v>
      </c>
      <c r="S2228" s="10">
        <f t="shared" si="205"/>
        <v>203.8365</v>
      </c>
      <c r="T2228" s="10">
        <f t="shared" si="206"/>
        <v>203.8365</v>
      </c>
      <c r="U2228" s="8" t="str">
        <f t="shared" si="207"/>
        <v>Thu</v>
      </c>
      <c r="V2228" s="8" t="str">
        <f t="shared" si="208"/>
        <v>Thu</v>
      </c>
    </row>
    <row r="2229" spans="1:22" hidden="1" x14ac:dyDescent="0.25">
      <c r="A2229" t="s">
        <v>267</v>
      </c>
      <c r="B2229" t="s">
        <v>38</v>
      </c>
      <c r="C2229" t="s">
        <v>43</v>
      </c>
      <c r="D2229" t="s">
        <v>12</v>
      </c>
      <c r="F2229" s="5">
        <v>44175</v>
      </c>
      <c r="G2229" s="5">
        <v>44210</v>
      </c>
      <c r="H2229" s="2">
        <v>1</v>
      </c>
      <c r="I2229" s="6"/>
      <c r="J2229" s="6"/>
      <c r="K2229" s="7">
        <v>0.5</v>
      </c>
      <c r="L2229" s="7">
        <v>32.226999999999997</v>
      </c>
      <c r="M2229" t="s">
        <v>19</v>
      </c>
      <c r="N2229" s="16">
        <f>POWER(SQRT(WorkOrders2710[[#This Row],[WorkDate]]-WorkOrders2710[[#This Row],[ReqDate]]),2)</f>
        <v>35</v>
      </c>
      <c r="O2229" s="8">
        <f t="array" ref="O2229">INDEX(TechRate,MATCH(H2229,TechNum,0))</f>
        <v>80</v>
      </c>
      <c r="P2229" s="10">
        <f>WorkOrders2710[[#This Row],[Techs]]*(WorkOrders2710[[#This Row],[PartsCost]]*WorkOrders2710[[#This Row],[LbrHrs]])</f>
        <v>16.113499999999998</v>
      </c>
      <c r="Q2229" s="10">
        <f t="shared" si="203"/>
        <v>16.113499999999998</v>
      </c>
      <c r="R2229" s="10">
        <f t="shared" si="204"/>
        <v>32.226999999999997</v>
      </c>
      <c r="S2229" s="10">
        <f t="shared" si="205"/>
        <v>48.340499999999992</v>
      </c>
      <c r="T2229" s="10">
        <f t="shared" si="206"/>
        <v>48.340499999999992</v>
      </c>
      <c r="U2229" s="8" t="str">
        <f t="shared" si="207"/>
        <v>Thu</v>
      </c>
      <c r="V2229" s="8" t="str">
        <f t="shared" si="208"/>
        <v>Thu</v>
      </c>
    </row>
    <row r="2230" spans="1:22" hidden="1" x14ac:dyDescent="0.25">
      <c r="A2230" t="s">
        <v>268</v>
      </c>
      <c r="B2230" t="s">
        <v>34</v>
      </c>
      <c r="C2230" t="s">
        <v>8</v>
      </c>
      <c r="D2230" t="s">
        <v>13</v>
      </c>
      <c r="F2230" s="5">
        <v>44175</v>
      </c>
      <c r="G2230" s="5">
        <v>44219</v>
      </c>
      <c r="H2230" s="2">
        <v>1</v>
      </c>
      <c r="I2230" s="6"/>
      <c r="J2230" s="6"/>
      <c r="K2230" s="7">
        <v>2.25</v>
      </c>
      <c r="L2230" s="7">
        <v>180</v>
      </c>
      <c r="M2230" t="s">
        <v>17</v>
      </c>
      <c r="N2230" s="16">
        <f>POWER(SQRT(WorkOrders2710[[#This Row],[WorkDate]]-WorkOrders2710[[#This Row],[ReqDate]]),2)</f>
        <v>44</v>
      </c>
      <c r="O2230" s="8">
        <f t="array" ref="O2230">INDEX(TechRate,MATCH(H2230,TechNum,0))</f>
        <v>80</v>
      </c>
      <c r="P2230" s="10">
        <f>WorkOrders2710[[#This Row],[Techs]]*(WorkOrders2710[[#This Row],[PartsCost]]*WorkOrders2710[[#This Row],[LbrHrs]])</f>
        <v>405</v>
      </c>
      <c r="Q2230" s="10">
        <f t="shared" si="203"/>
        <v>405</v>
      </c>
      <c r="R2230" s="10">
        <f t="shared" si="204"/>
        <v>180</v>
      </c>
      <c r="S2230" s="10">
        <f t="shared" si="205"/>
        <v>585</v>
      </c>
      <c r="T2230" s="10">
        <f t="shared" si="206"/>
        <v>585</v>
      </c>
      <c r="U2230" s="8" t="str">
        <f t="shared" si="207"/>
        <v>Thu</v>
      </c>
      <c r="V2230" s="8" t="str">
        <f t="shared" si="208"/>
        <v>Sat</v>
      </c>
    </row>
    <row r="2231" spans="1:22" hidden="1" x14ac:dyDescent="0.25">
      <c r="A2231" t="s">
        <v>269</v>
      </c>
      <c r="B2231" t="s">
        <v>38</v>
      </c>
      <c r="C2231" t="s">
        <v>8</v>
      </c>
      <c r="D2231" t="s">
        <v>12</v>
      </c>
      <c r="E2231" t="s">
        <v>3</v>
      </c>
      <c r="F2231" s="5">
        <v>44177</v>
      </c>
      <c r="G2231" s="5">
        <v>44224</v>
      </c>
      <c r="H2231" s="2">
        <v>1</v>
      </c>
      <c r="I2231" s="6"/>
      <c r="J2231" s="6"/>
      <c r="K2231" s="7">
        <v>1</v>
      </c>
      <c r="L2231" s="7">
        <v>337.9237</v>
      </c>
      <c r="M2231" t="s">
        <v>17</v>
      </c>
      <c r="N2231" s="16">
        <f>POWER(SQRT(WorkOrders2710[[#This Row],[WorkDate]]-WorkOrders2710[[#This Row],[ReqDate]]),2)</f>
        <v>47</v>
      </c>
      <c r="O2231" s="8">
        <f t="array" ref="O2231">INDEX(TechRate,MATCH(H2231,TechNum,0))</f>
        <v>80</v>
      </c>
      <c r="P2231" s="10">
        <f>WorkOrders2710[[#This Row],[Techs]]*(WorkOrders2710[[#This Row],[PartsCost]]*WorkOrders2710[[#This Row],[LbrHrs]])</f>
        <v>337.9237</v>
      </c>
      <c r="Q2231" s="10">
        <f t="shared" si="203"/>
        <v>337.9237</v>
      </c>
      <c r="R2231" s="10">
        <f t="shared" si="204"/>
        <v>337.9237</v>
      </c>
      <c r="S2231" s="10">
        <f t="shared" si="205"/>
        <v>675.84739999999999</v>
      </c>
      <c r="T2231" s="10">
        <f t="shared" si="206"/>
        <v>675.84739999999999</v>
      </c>
      <c r="U2231" s="8" t="str">
        <f t="shared" si="207"/>
        <v>Sat</v>
      </c>
      <c r="V2231" s="8" t="str">
        <f t="shared" si="208"/>
        <v>Thu</v>
      </c>
    </row>
    <row r="2232" spans="1:22" hidden="1" x14ac:dyDescent="0.25">
      <c r="A2232" t="s">
        <v>270</v>
      </c>
      <c r="B2232" t="s">
        <v>35</v>
      </c>
      <c r="C2232" t="s">
        <v>6</v>
      </c>
      <c r="D2232" t="s">
        <v>12</v>
      </c>
      <c r="E2232" t="s">
        <v>3</v>
      </c>
      <c r="F2232" s="5">
        <v>44179</v>
      </c>
      <c r="G2232" s="5">
        <v>44180</v>
      </c>
      <c r="H2232" s="2">
        <v>1</v>
      </c>
      <c r="I2232" s="6"/>
      <c r="J2232" s="6"/>
      <c r="K2232" s="7">
        <v>0.75</v>
      </c>
      <c r="L2232" s="7">
        <v>63.99</v>
      </c>
      <c r="M2232" t="s">
        <v>17</v>
      </c>
      <c r="N2232" s="16">
        <f>POWER(SQRT(WorkOrders2710[[#This Row],[WorkDate]]-WorkOrders2710[[#This Row],[ReqDate]]),2)</f>
        <v>1</v>
      </c>
      <c r="O2232" s="8">
        <f t="array" ref="O2232">INDEX(TechRate,MATCH(H2232,TechNum,0))</f>
        <v>80</v>
      </c>
      <c r="P2232" s="10">
        <f>WorkOrders2710[[#This Row],[Techs]]*(WorkOrders2710[[#This Row],[PartsCost]]*WorkOrders2710[[#This Row],[LbrHrs]])</f>
        <v>47.9925</v>
      </c>
      <c r="Q2232" s="10">
        <f t="shared" si="203"/>
        <v>47.9925</v>
      </c>
      <c r="R2232" s="10">
        <f t="shared" si="204"/>
        <v>63.99</v>
      </c>
      <c r="S2232" s="10">
        <f t="shared" si="205"/>
        <v>111.9825</v>
      </c>
      <c r="T2232" s="10">
        <f t="shared" si="206"/>
        <v>111.9825</v>
      </c>
      <c r="U2232" s="8" t="str">
        <f t="shared" si="207"/>
        <v>Mon</v>
      </c>
      <c r="V2232" s="8" t="str">
        <f t="shared" si="208"/>
        <v>Tue</v>
      </c>
    </row>
    <row r="2233" spans="1:22" hidden="1" x14ac:dyDescent="0.25">
      <c r="A2233" t="s">
        <v>271</v>
      </c>
      <c r="B2233" t="s">
        <v>38</v>
      </c>
      <c r="C2233" t="s">
        <v>8</v>
      </c>
      <c r="D2233" t="s">
        <v>12</v>
      </c>
      <c r="F2233" s="5">
        <v>44179</v>
      </c>
      <c r="G2233" s="5">
        <v>44181</v>
      </c>
      <c r="H2233" s="2">
        <v>1</v>
      </c>
      <c r="I2233" s="6"/>
      <c r="J2233" s="6"/>
      <c r="K2233" s="7">
        <v>0.5</v>
      </c>
      <c r="L2233" s="7">
        <v>145.88999999999999</v>
      </c>
      <c r="M2233" t="s">
        <v>19</v>
      </c>
      <c r="N2233" s="16">
        <f>POWER(SQRT(WorkOrders2710[[#This Row],[WorkDate]]-WorkOrders2710[[#This Row],[ReqDate]]),2)</f>
        <v>2.0000000000000004</v>
      </c>
      <c r="O2233" s="8">
        <f t="array" ref="O2233">INDEX(TechRate,MATCH(H2233,TechNum,0))</f>
        <v>80</v>
      </c>
      <c r="P2233" s="10">
        <f>WorkOrders2710[[#This Row],[Techs]]*(WorkOrders2710[[#This Row],[PartsCost]]*WorkOrders2710[[#This Row],[LbrHrs]])</f>
        <v>72.944999999999993</v>
      </c>
      <c r="Q2233" s="10">
        <f t="shared" si="203"/>
        <v>72.944999999999993</v>
      </c>
      <c r="R2233" s="10">
        <f t="shared" si="204"/>
        <v>145.88999999999999</v>
      </c>
      <c r="S2233" s="10">
        <f t="shared" si="205"/>
        <v>218.83499999999998</v>
      </c>
      <c r="T2233" s="10">
        <f t="shared" si="206"/>
        <v>218.83499999999998</v>
      </c>
      <c r="U2233" s="8" t="str">
        <f t="shared" si="207"/>
        <v>Mon</v>
      </c>
      <c r="V2233" s="8" t="str">
        <f t="shared" si="208"/>
        <v>Wed</v>
      </c>
    </row>
    <row r="2234" spans="1:22" hidden="1" x14ac:dyDescent="0.25">
      <c r="A2234" t="s">
        <v>272</v>
      </c>
      <c r="B2234" t="s">
        <v>38</v>
      </c>
      <c r="C2234" t="s">
        <v>8</v>
      </c>
      <c r="D2234" t="s">
        <v>11</v>
      </c>
      <c r="F2234" s="5">
        <v>44179</v>
      </c>
      <c r="G2234" s="5">
        <v>44200</v>
      </c>
      <c r="H2234" s="2">
        <v>1</v>
      </c>
      <c r="I2234" s="6"/>
      <c r="J2234" s="6"/>
      <c r="K2234" s="7">
        <v>0.25</v>
      </c>
      <c r="L2234" s="7">
        <v>30</v>
      </c>
      <c r="M2234" t="s">
        <v>19</v>
      </c>
      <c r="N2234" s="16">
        <f>POWER(SQRT(WorkOrders2710[[#This Row],[WorkDate]]-WorkOrders2710[[#This Row],[ReqDate]]),2)</f>
        <v>21</v>
      </c>
      <c r="O2234" s="8">
        <f t="array" ref="O2234">INDEX(TechRate,MATCH(H2234,TechNum,0))</f>
        <v>80</v>
      </c>
      <c r="P2234" s="10">
        <f>WorkOrders2710[[#This Row],[Techs]]*(WorkOrders2710[[#This Row],[PartsCost]]*WorkOrders2710[[#This Row],[LbrHrs]])</f>
        <v>7.5</v>
      </c>
      <c r="Q2234" s="10">
        <f t="shared" si="203"/>
        <v>7.5</v>
      </c>
      <c r="R2234" s="10">
        <f t="shared" si="204"/>
        <v>30</v>
      </c>
      <c r="S2234" s="10">
        <f t="shared" si="205"/>
        <v>37.5</v>
      </c>
      <c r="T2234" s="10">
        <f t="shared" si="206"/>
        <v>37.5</v>
      </c>
      <c r="U2234" s="8" t="str">
        <f t="shared" si="207"/>
        <v>Mon</v>
      </c>
      <c r="V2234" s="8" t="str">
        <f t="shared" si="208"/>
        <v>Mon</v>
      </c>
    </row>
    <row r="2235" spans="1:22" hidden="1" x14ac:dyDescent="0.25">
      <c r="A2235" t="s">
        <v>273</v>
      </c>
      <c r="B2235" t="s">
        <v>38</v>
      </c>
      <c r="C2235" t="s">
        <v>8</v>
      </c>
      <c r="D2235" t="s">
        <v>13</v>
      </c>
      <c r="F2235" s="5">
        <v>44179</v>
      </c>
      <c r="G2235" s="5">
        <v>44200</v>
      </c>
      <c r="H2235" s="2">
        <v>1</v>
      </c>
      <c r="I2235" s="6"/>
      <c r="J2235" s="6"/>
      <c r="K2235" s="7">
        <v>0.5</v>
      </c>
      <c r="L2235" s="7">
        <v>57.098199999999999</v>
      </c>
      <c r="M2235" t="s">
        <v>17</v>
      </c>
      <c r="N2235" s="16">
        <f>POWER(SQRT(WorkOrders2710[[#This Row],[WorkDate]]-WorkOrders2710[[#This Row],[ReqDate]]),2)</f>
        <v>21</v>
      </c>
      <c r="O2235" s="8">
        <f t="array" ref="O2235">INDEX(TechRate,MATCH(H2235,TechNum,0))</f>
        <v>80</v>
      </c>
      <c r="P2235" s="10">
        <f>WorkOrders2710[[#This Row],[Techs]]*(WorkOrders2710[[#This Row],[PartsCost]]*WorkOrders2710[[#This Row],[LbrHrs]])</f>
        <v>28.549099999999999</v>
      </c>
      <c r="Q2235" s="10">
        <f t="shared" si="203"/>
        <v>28.549099999999999</v>
      </c>
      <c r="R2235" s="10">
        <f t="shared" si="204"/>
        <v>57.098199999999999</v>
      </c>
      <c r="S2235" s="10">
        <f t="shared" si="205"/>
        <v>85.647300000000001</v>
      </c>
      <c r="T2235" s="10">
        <f t="shared" si="206"/>
        <v>85.647300000000001</v>
      </c>
      <c r="U2235" s="8" t="str">
        <f t="shared" si="207"/>
        <v>Mon</v>
      </c>
      <c r="V2235" s="8" t="str">
        <f t="shared" si="208"/>
        <v>Mon</v>
      </c>
    </row>
    <row r="2236" spans="1:22" hidden="1" x14ac:dyDescent="0.25">
      <c r="A2236" t="s">
        <v>274</v>
      </c>
      <c r="B2236" t="s">
        <v>36</v>
      </c>
      <c r="C2236" t="s">
        <v>8</v>
      </c>
      <c r="D2236" t="s">
        <v>1</v>
      </c>
      <c r="F2236" s="5">
        <v>44179</v>
      </c>
      <c r="G2236" s="5">
        <v>44209</v>
      </c>
      <c r="H2236" s="2">
        <v>2</v>
      </c>
      <c r="I2236" s="6"/>
      <c r="J2236" s="6"/>
      <c r="K2236" s="7">
        <v>3.5</v>
      </c>
      <c r="L2236" s="7">
        <v>262.44</v>
      </c>
      <c r="M2236" t="s">
        <v>17</v>
      </c>
      <c r="N2236" s="16">
        <f>POWER(SQRT(WorkOrders2710[[#This Row],[WorkDate]]-WorkOrders2710[[#This Row],[ReqDate]]),2)</f>
        <v>30</v>
      </c>
      <c r="O2236" s="8">
        <f t="array" ref="O2236">INDEX(TechRate,MATCH(H2236,TechNum,0))</f>
        <v>140</v>
      </c>
      <c r="P2236" s="10">
        <f>WorkOrders2710[[#This Row],[Techs]]*(WorkOrders2710[[#This Row],[PartsCost]]*WorkOrders2710[[#This Row],[LbrHrs]])</f>
        <v>1837.08</v>
      </c>
      <c r="Q2236" s="10">
        <f t="shared" si="203"/>
        <v>1837.08</v>
      </c>
      <c r="R2236" s="10">
        <f t="shared" si="204"/>
        <v>262.44</v>
      </c>
      <c r="S2236" s="10">
        <f t="shared" si="205"/>
        <v>2099.52</v>
      </c>
      <c r="T2236" s="10">
        <f t="shared" si="206"/>
        <v>2099.52</v>
      </c>
      <c r="U2236" s="8" t="str">
        <f t="shared" si="207"/>
        <v>Mon</v>
      </c>
      <c r="V2236" s="8" t="str">
        <f t="shared" si="208"/>
        <v>Wed</v>
      </c>
    </row>
    <row r="2237" spans="1:22" hidden="1" x14ac:dyDescent="0.25">
      <c r="A2237" t="s">
        <v>275</v>
      </c>
      <c r="B2237" t="s">
        <v>38</v>
      </c>
      <c r="C2237" t="s">
        <v>8</v>
      </c>
      <c r="D2237" t="s">
        <v>12</v>
      </c>
      <c r="F2237" s="5">
        <v>44179</v>
      </c>
      <c r="G2237" s="5">
        <v>44215</v>
      </c>
      <c r="H2237" s="2">
        <v>1</v>
      </c>
      <c r="I2237" s="6"/>
      <c r="J2237" s="6"/>
      <c r="K2237" s="7">
        <v>0.5</v>
      </c>
      <c r="L2237" s="7">
        <v>21.33</v>
      </c>
      <c r="M2237" t="s">
        <v>19</v>
      </c>
      <c r="N2237" s="16">
        <f>POWER(SQRT(WorkOrders2710[[#This Row],[WorkDate]]-WorkOrders2710[[#This Row],[ReqDate]]),2)</f>
        <v>36</v>
      </c>
      <c r="O2237" s="8">
        <f t="array" ref="O2237">INDEX(TechRate,MATCH(H2237,TechNum,0))</f>
        <v>80</v>
      </c>
      <c r="P2237" s="10">
        <f>WorkOrders2710[[#This Row],[Techs]]*(WorkOrders2710[[#This Row],[PartsCost]]*WorkOrders2710[[#This Row],[LbrHrs]])</f>
        <v>10.664999999999999</v>
      </c>
      <c r="Q2237" s="10">
        <f t="shared" si="203"/>
        <v>10.664999999999999</v>
      </c>
      <c r="R2237" s="10">
        <f t="shared" si="204"/>
        <v>21.33</v>
      </c>
      <c r="S2237" s="10">
        <f t="shared" si="205"/>
        <v>31.994999999999997</v>
      </c>
      <c r="T2237" s="10">
        <f t="shared" si="206"/>
        <v>31.994999999999997</v>
      </c>
      <c r="U2237" s="8" t="str">
        <f t="shared" si="207"/>
        <v>Mon</v>
      </c>
      <c r="V2237" s="8" t="str">
        <f t="shared" si="208"/>
        <v>Tue</v>
      </c>
    </row>
    <row r="2238" spans="1:22" hidden="1" x14ac:dyDescent="0.25">
      <c r="A2238" t="s">
        <v>276</v>
      </c>
      <c r="B2238" t="s">
        <v>37</v>
      </c>
      <c r="C2238" t="s">
        <v>43</v>
      </c>
      <c r="D2238" t="s">
        <v>2</v>
      </c>
      <c r="F2238" s="5">
        <v>44179</v>
      </c>
      <c r="G2238" s="5">
        <v>44320</v>
      </c>
      <c r="H2238" s="2">
        <v>1</v>
      </c>
      <c r="I2238" s="6"/>
      <c r="J2238" s="6"/>
      <c r="K2238" s="7">
        <v>4</v>
      </c>
      <c r="L2238" s="7">
        <v>1769.625</v>
      </c>
      <c r="M2238" t="s">
        <v>19</v>
      </c>
      <c r="N2238" s="16">
        <f>POWER(SQRT(WorkOrders2710[[#This Row],[WorkDate]]-WorkOrders2710[[#This Row],[ReqDate]]),2)</f>
        <v>141</v>
      </c>
      <c r="O2238" s="8">
        <f t="array" ref="O2238">INDEX(TechRate,MATCH(H2238,TechNum,0))</f>
        <v>80</v>
      </c>
      <c r="P2238" s="10">
        <f>WorkOrders2710[[#This Row],[Techs]]*(WorkOrders2710[[#This Row],[PartsCost]]*WorkOrders2710[[#This Row],[LbrHrs]])</f>
        <v>7078.5</v>
      </c>
      <c r="Q2238" s="10">
        <f t="shared" si="203"/>
        <v>7078.5</v>
      </c>
      <c r="R2238" s="10">
        <f t="shared" si="204"/>
        <v>1769.625</v>
      </c>
      <c r="S2238" s="10">
        <f t="shared" si="205"/>
        <v>8848.125</v>
      </c>
      <c r="T2238" s="10">
        <f t="shared" si="206"/>
        <v>8848.125</v>
      </c>
      <c r="U2238" s="8" t="str">
        <f t="shared" si="207"/>
        <v>Mon</v>
      </c>
      <c r="V2238" s="8" t="str">
        <f t="shared" si="208"/>
        <v>Tue</v>
      </c>
    </row>
    <row r="2239" spans="1:22" hidden="1" x14ac:dyDescent="0.25">
      <c r="A2239" t="s">
        <v>277</v>
      </c>
      <c r="B2239" t="s">
        <v>37</v>
      </c>
      <c r="C2239" t="s">
        <v>43</v>
      </c>
      <c r="D2239" t="s">
        <v>13</v>
      </c>
      <c r="F2239" s="5">
        <v>44180</v>
      </c>
      <c r="G2239" s="5">
        <v>44209</v>
      </c>
      <c r="H2239" s="2">
        <v>1</v>
      </c>
      <c r="I2239" s="6"/>
      <c r="J2239" s="6"/>
      <c r="K2239" s="7">
        <v>0.75</v>
      </c>
      <c r="L2239" s="7">
        <v>82.875</v>
      </c>
      <c r="M2239" t="s">
        <v>19</v>
      </c>
      <c r="N2239" s="16">
        <f>POWER(SQRT(WorkOrders2710[[#This Row],[WorkDate]]-WorkOrders2710[[#This Row],[ReqDate]]),2)</f>
        <v>28.999999999999996</v>
      </c>
      <c r="O2239" s="8">
        <f t="array" ref="O2239">INDEX(TechRate,MATCH(H2239,TechNum,0))</f>
        <v>80</v>
      </c>
      <c r="P2239" s="10">
        <f>WorkOrders2710[[#This Row],[Techs]]*(WorkOrders2710[[#This Row],[PartsCost]]*WorkOrders2710[[#This Row],[LbrHrs]])</f>
        <v>62.15625</v>
      </c>
      <c r="Q2239" s="10">
        <f t="shared" si="203"/>
        <v>62.15625</v>
      </c>
      <c r="R2239" s="10">
        <f t="shared" si="204"/>
        <v>82.875</v>
      </c>
      <c r="S2239" s="10">
        <f t="shared" si="205"/>
        <v>145.03125</v>
      </c>
      <c r="T2239" s="10">
        <f t="shared" si="206"/>
        <v>145.03125</v>
      </c>
      <c r="U2239" s="8" t="str">
        <f t="shared" si="207"/>
        <v>Tue</v>
      </c>
      <c r="V2239" s="8" t="str">
        <f t="shared" si="208"/>
        <v>Wed</v>
      </c>
    </row>
    <row r="2240" spans="1:22" hidden="1" x14ac:dyDescent="0.25">
      <c r="A2240" t="s">
        <v>278</v>
      </c>
      <c r="B2240" t="s">
        <v>34</v>
      </c>
      <c r="C2240" t="s">
        <v>6</v>
      </c>
      <c r="D2240" t="s">
        <v>12</v>
      </c>
      <c r="F2240" s="5">
        <v>44180</v>
      </c>
      <c r="G2240" s="5">
        <v>44221</v>
      </c>
      <c r="H2240" s="2">
        <v>2</v>
      </c>
      <c r="I2240" s="6"/>
      <c r="J2240" s="6"/>
      <c r="K2240" s="7">
        <v>0.75</v>
      </c>
      <c r="L2240" s="7">
        <v>2294</v>
      </c>
      <c r="M2240" t="s">
        <v>17</v>
      </c>
      <c r="N2240" s="16">
        <f>POWER(SQRT(WorkOrders2710[[#This Row],[WorkDate]]-WorkOrders2710[[#This Row],[ReqDate]]),2)</f>
        <v>41</v>
      </c>
      <c r="O2240" s="8">
        <f t="array" ref="O2240">INDEX(TechRate,MATCH(H2240,TechNum,0))</f>
        <v>140</v>
      </c>
      <c r="P2240" s="10">
        <f>WorkOrders2710[[#This Row],[Techs]]*(WorkOrders2710[[#This Row],[PartsCost]]*WorkOrders2710[[#This Row],[LbrHrs]])</f>
        <v>3441</v>
      </c>
      <c r="Q2240" s="10">
        <f t="shared" si="203"/>
        <v>3441</v>
      </c>
      <c r="R2240" s="10">
        <f t="shared" si="204"/>
        <v>2294</v>
      </c>
      <c r="S2240" s="10">
        <f t="shared" si="205"/>
        <v>5735</v>
      </c>
      <c r="T2240" s="10">
        <f t="shared" si="206"/>
        <v>5735</v>
      </c>
      <c r="U2240" s="8" t="str">
        <f t="shared" si="207"/>
        <v>Tue</v>
      </c>
      <c r="V2240" s="8" t="str">
        <f t="shared" si="208"/>
        <v>Mon</v>
      </c>
    </row>
    <row r="2241" spans="1:22" hidden="1" x14ac:dyDescent="0.25">
      <c r="A2241" t="s">
        <v>279</v>
      </c>
      <c r="B2241" t="s">
        <v>39</v>
      </c>
      <c r="C2241" t="s">
        <v>8</v>
      </c>
      <c r="D2241" t="s">
        <v>12</v>
      </c>
      <c r="F2241" s="5">
        <v>44181</v>
      </c>
      <c r="G2241" s="5">
        <v>44188</v>
      </c>
      <c r="H2241" s="2">
        <v>1</v>
      </c>
      <c r="I2241" s="6"/>
      <c r="J2241" s="6"/>
      <c r="K2241" s="7">
        <v>1</v>
      </c>
      <c r="L2241" s="7">
        <v>348.7432</v>
      </c>
      <c r="M2241" t="s">
        <v>17</v>
      </c>
      <c r="N2241" s="16">
        <f>POWER(SQRT(WorkOrders2710[[#This Row],[WorkDate]]-WorkOrders2710[[#This Row],[ReqDate]]),2)</f>
        <v>7.0000000000000009</v>
      </c>
      <c r="O2241" s="8">
        <f t="array" ref="O2241">INDEX(TechRate,MATCH(H2241,TechNum,0))</f>
        <v>80</v>
      </c>
      <c r="P2241" s="10">
        <f>WorkOrders2710[[#This Row],[Techs]]*(WorkOrders2710[[#This Row],[PartsCost]]*WorkOrders2710[[#This Row],[LbrHrs]])</f>
        <v>348.7432</v>
      </c>
      <c r="Q2241" s="10">
        <f t="shared" si="203"/>
        <v>348.7432</v>
      </c>
      <c r="R2241" s="10">
        <f t="shared" si="204"/>
        <v>348.7432</v>
      </c>
      <c r="S2241" s="10">
        <f t="shared" si="205"/>
        <v>697.4864</v>
      </c>
      <c r="T2241" s="10">
        <f t="shared" si="206"/>
        <v>697.4864</v>
      </c>
      <c r="U2241" s="8" t="str">
        <f t="shared" si="207"/>
        <v>Wed</v>
      </c>
      <c r="V2241" s="8" t="str">
        <f t="shared" si="208"/>
        <v>Wed</v>
      </c>
    </row>
    <row r="2242" spans="1:22" hidden="1" x14ac:dyDescent="0.25">
      <c r="A2242" t="s">
        <v>280</v>
      </c>
      <c r="B2242" t="s">
        <v>37</v>
      </c>
      <c r="C2242" t="s">
        <v>43</v>
      </c>
      <c r="D2242" t="s">
        <v>12</v>
      </c>
      <c r="F2242" s="5">
        <v>44181</v>
      </c>
      <c r="G2242" s="5">
        <v>44210</v>
      </c>
      <c r="H2242" s="2">
        <v>1</v>
      </c>
      <c r="I2242" s="6"/>
      <c r="J2242" s="6"/>
      <c r="K2242" s="7">
        <v>0.25</v>
      </c>
      <c r="L2242" s="7">
        <v>140.4</v>
      </c>
      <c r="M2242" t="s">
        <v>17</v>
      </c>
      <c r="N2242" s="16">
        <f>POWER(SQRT(WorkOrders2710[[#This Row],[WorkDate]]-WorkOrders2710[[#This Row],[ReqDate]]),2)</f>
        <v>28.999999999999996</v>
      </c>
      <c r="O2242" s="8">
        <f t="array" ref="O2242">INDEX(TechRate,MATCH(H2242,TechNum,0))</f>
        <v>80</v>
      </c>
      <c r="P2242" s="10">
        <f>WorkOrders2710[[#This Row],[Techs]]*(WorkOrders2710[[#This Row],[PartsCost]]*WorkOrders2710[[#This Row],[LbrHrs]])</f>
        <v>35.1</v>
      </c>
      <c r="Q2242" s="10">
        <f t="shared" si="203"/>
        <v>35.1</v>
      </c>
      <c r="R2242" s="10">
        <f t="shared" si="204"/>
        <v>140.4</v>
      </c>
      <c r="S2242" s="10">
        <f t="shared" si="205"/>
        <v>175.5</v>
      </c>
      <c r="T2242" s="10">
        <f t="shared" si="206"/>
        <v>175.5</v>
      </c>
      <c r="U2242" s="8" t="str">
        <f t="shared" si="207"/>
        <v>Wed</v>
      </c>
      <c r="V2242" s="8" t="str">
        <f t="shared" si="208"/>
        <v>Thu</v>
      </c>
    </row>
    <row r="2243" spans="1:22" hidden="1" x14ac:dyDescent="0.25">
      <c r="A2243" t="s">
        <v>281</v>
      </c>
      <c r="B2243" t="s">
        <v>40</v>
      </c>
      <c r="C2243" t="s">
        <v>7</v>
      </c>
      <c r="D2243" t="s">
        <v>12</v>
      </c>
      <c r="F2243" s="5">
        <v>44181</v>
      </c>
      <c r="G2243" s="5">
        <v>44228</v>
      </c>
      <c r="H2243" s="2">
        <v>2</v>
      </c>
      <c r="I2243" s="6"/>
      <c r="J2243" s="6"/>
      <c r="K2243" s="7">
        <v>0.5</v>
      </c>
      <c r="L2243" s="7">
        <v>133.99780000000001</v>
      </c>
      <c r="M2243" t="s">
        <v>17</v>
      </c>
      <c r="N2243" s="16">
        <f>POWER(SQRT(WorkOrders2710[[#This Row],[WorkDate]]-WorkOrders2710[[#This Row],[ReqDate]]),2)</f>
        <v>47</v>
      </c>
      <c r="O2243" s="8">
        <f t="array" ref="O2243">INDEX(TechRate,MATCH(H2243,TechNum,0))</f>
        <v>140</v>
      </c>
      <c r="P2243" s="10">
        <f>WorkOrders2710[[#This Row],[Techs]]*(WorkOrders2710[[#This Row],[PartsCost]]*WorkOrders2710[[#This Row],[LbrHrs]])</f>
        <v>133.99780000000001</v>
      </c>
      <c r="Q2243" s="10">
        <f t="shared" si="203"/>
        <v>133.99780000000001</v>
      </c>
      <c r="R2243" s="10">
        <f t="shared" si="204"/>
        <v>133.99780000000001</v>
      </c>
      <c r="S2243" s="10">
        <f t="shared" si="205"/>
        <v>267.99560000000002</v>
      </c>
      <c r="T2243" s="10">
        <f t="shared" si="206"/>
        <v>267.99560000000002</v>
      </c>
      <c r="U2243" s="8" t="str">
        <f t="shared" si="207"/>
        <v>Wed</v>
      </c>
      <c r="V2243" s="8" t="str">
        <f t="shared" si="208"/>
        <v>Mon</v>
      </c>
    </row>
    <row r="2244" spans="1:22" hidden="1" x14ac:dyDescent="0.25">
      <c r="A2244" t="s">
        <v>282</v>
      </c>
      <c r="B2244" t="s">
        <v>35</v>
      </c>
      <c r="C2244" t="s">
        <v>9</v>
      </c>
      <c r="D2244" t="s">
        <v>2</v>
      </c>
      <c r="F2244" s="5">
        <v>44186</v>
      </c>
      <c r="G2244" s="5">
        <v>44222</v>
      </c>
      <c r="H2244" s="2">
        <v>2</v>
      </c>
      <c r="I2244" s="6"/>
      <c r="J2244" s="6"/>
      <c r="K2244" s="7">
        <v>1</v>
      </c>
      <c r="L2244" s="7">
        <v>305.63040000000001</v>
      </c>
      <c r="M2244" t="s">
        <v>17</v>
      </c>
      <c r="N2244" s="16">
        <f>POWER(SQRT(WorkOrders2710[[#This Row],[WorkDate]]-WorkOrders2710[[#This Row],[ReqDate]]),2)</f>
        <v>36</v>
      </c>
      <c r="O2244" s="8">
        <f t="array" ref="O2244">INDEX(TechRate,MATCH(H2244,TechNum,0))</f>
        <v>140</v>
      </c>
      <c r="P2244" s="10">
        <f>WorkOrders2710[[#This Row],[Techs]]*(WorkOrders2710[[#This Row],[PartsCost]]*WorkOrders2710[[#This Row],[LbrHrs]])</f>
        <v>611.26080000000002</v>
      </c>
      <c r="Q2244" s="10">
        <f t="shared" si="203"/>
        <v>611.26080000000002</v>
      </c>
      <c r="R2244" s="10">
        <f t="shared" si="204"/>
        <v>305.63040000000001</v>
      </c>
      <c r="S2244" s="10">
        <f t="shared" si="205"/>
        <v>916.89120000000003</v>
      </c>
      <c r="T2244" s="10">
        <f t="shared" si="206"/>
        <v>916.89120000000003</v>
      </c>
      <c r="U2244" s="8" t="str">
        <f t="shared" si="207"/>
        <v>Mon</v>
      </c>
      <c r="V2244" s="8" t="str">
        <f t="shared" si="208"/>
        <v>Tue</v>
      </c>
    </row>
    <row r="2245" spans="1:22" hidden="1" x14ac:dyDescent="0.25">
      <c r="A2245" t="s">
        <v>283</v>
      </c>
      <c r="B2245" t="s">
        <v>35</v>
      </c>
      <c r="C2245" t="s">
        <v>6</v>
      </c>
      <c r="D2245" t="s">
        <v>12</v>
      </c>
      <c r="E2245" t="s">
        <v>3</v>
      </c>
      <c r="F2245" s="5">
        <v>44200</v>
      </c>
      <c r="G2245" s="5">
        <v>44207</v>
      </c>
      <c r="H2245" s="2">
        <v>1</v>
      </c>
      <c r="I2245" s="6"/>
      <c r="J2245" s="6"/>
      <c r="K2245" s="7">
        <v>0.25</v>
      </c>
      <c r="L2245" s="7">
        <v>19.196999999999999</v>
      </c>
      <c r="M2245" t="s">
        <v>17</v>
      </c>
      <c r="N2245" s="16">
        <f>POWER(SQRT(WorkOrders2710[[#This Row],[WorkDate]]-WorkOrders2710[[#This Row],[ReqDate]]),2)</f>
        <v>7.0000000000000009</v>
      </c>
      <c r="O2245" s="8">
        <f t="array" ref="O2245">INDEX(TechRate,MATCH(H2245,TechNum,0))</f>
        <v>80</v>
      </c>
      <c r="P2245" s="10">
        <f>WorkOrders2710[[#This Row],[Techs]]*(WorkOrders2710[[#This Row],[PartsCost]]*WorkOrders2710[[#This Row],[LbrHrs]])</f>
        <v>4.7992499999999998</v>
      </c>
      <c r="Q2245" s="10">
        <f t="shared" si="203"/>
        <v>4.7992499999999998</v>
      </c>
      <c r="R2245" s="10">
        <f t="shared" si="204"/>
        <v>19.196999999999999</v>
      </c>
      <c r="S2245" s="10">
        <f t="shared" si="205"/>
        <v>23.99625</v>
      </c>
      <c r="T2245" s="10">
        <f t="shared" si="206"/>
        <v>23.99625</v>
      </c>
      <c r="U2245" s="8" t="str">
        <f t="shared" si="207"/>
        <v>Mon</v>
      </c>
      <c r="V2245" s="8" t="str">
        <f t="shared" si="208"/>
        <v>Mon</v>
      </c>
    </row>
    <row r="2246" spans="1:22" hidden="1" x14ac:dyDescent="0.25">
      <c r="A2246" t="s">
        <v>284</v>
      </c>
      <c r="B2246" t="s">
        <v>37</v>
      </c>
      <c r="C2246" t="s">
        <v>43</v>
      </c>
      <c r="D2246" t="s">
        <v>12</v>
      </c>
      <c r="F2246" s="5">
        <v>44200</v>
      </c>
      <c r="G2246" s="5">
        <v>44209</v>
      </c>
      <c r="H2246" s="2">
        <v>1</v>
      </c>
      <c r="I2246" s="6"/>
      <c r="J2246" s="6"/>
      <c r="K2246" s="7">
        <v>0.5</v>
      </c>
      <c r="L2246" s="7">
        <v>18.524999999999999</v>
      </c>
      <c r="M2246" t="s">
        <v>19</v>
      </c>
      <c r="N2246" s="16">
        <f>POWER(SQRT(WorkOrders2710[[#This Row],[WorkDate]]-WorkOrders2710[[#This Row],[ReqDate]]),2)</f>
        <v>9</v>
      </c>
      <c r="O2246" s="8">
        <f t="array" ref="O2246">INDEX(TechRate,MATCH(H2246,TechNum,0))</f>
        <v>80</v>
      </c>
      <c r="P2246" s="10">
        <f>WorkOrders2710[[#This Row],[Techs]]*(WorkOrders2710[[#This Row],[PartsCost]]*WorkOrders2710[[#This Row],[LbrHrs]])</f>
        <v>9.2624999999999993</v>
      </c>
      <c r="Q2246" s="10">
        <f t="shared" si="203"/>
        <v>9.2624999999999993</v>
      </c>
      <c r="R2246" s="10">
        <f t="shared" si="204"/>
        <v>18.524999999999999</v>
      </c>
      <c r="S2246" s="10">
        <f t="shared" si="205"/>
        <v>27.787499999999998</v>
      </c>
      <c r="T2246" s="10">
        <f t="shared" si="206"/>
        <v>27.787499999999998</v>
      </c>
      <c r="U2246" s="8" t="str">
        <f t="shared" si="207"/>
        <v>Mon</v>
      </c>
      <c r="V2246" s="8" t="str">
        <f t="shared" si="208"/>
        <v>Wed</v>
      </c>
    </row>
    <row r="2247" spans="1:22" hidden="1" x14ac:dyDescent="0.25">
      <c r="A2247" t="s">
        <v>285</v>
      </c>
      <c r="B2247" t="s">
        <v>38</v>
      </c>
      <c r="C2247" t="s">
        <v>43</v>
      </c>
      <c r="D2247" t="s">
        <v>11</v>
      </c>
      <c r="F2247" s="5">
        <v>44200</v>
      </c>
      <c r="G2247" s="5">
        <v>44209</v>
      </c>
      <c r="H2247" s="2">
        <v>1</v>
      </c>
      <c r="I2247" s="6"/>
      <c r="J2247" s="6"/>
      <c r="K2247" s="7">
        <v>0.25</v>
      </c>
      <c r="L2247" s="7">
        <v>39</v>
      </c>
      <c r="M2247" t="s">
        <v>17</v>
      </c>
      <c r="N2247" s="16">
        <f>POWER(SQRT(WorkOrders2710[[#This Row],[WorkDate]]-WorkOrders2710[[#This Row],[ReqDate]]),2)</f>
        <v>9</v>
      </c>
      <c r="O2247" s="8">
        <f t="array" ref="O2247">INDEX(TechRate,MATCH(H2247,TechNum,0))</f>
        <v>80</v>
      </c>
      <c r="P2247" s="10">
        <f>WorkOrders2710[[#This Row],[Techs]]*(WorkOrders2710[[#This Row],[PartsCost]]*WorkOrders2710[[#This Row],[LbrHrs]])</f>
        <v>9.75</v>
      </c>
      <c r="Q2247" s="10">
        <f t="shared" si="203"/>
        <v>9.75</v>
      </c>
      <c r="R2247" s="10">
        <f t="shared" si="204"/>
        <v>39</v>
      </c>
      <c r="S2247" s="10">
        <f t="shared" si="205"/>
        <v>48.75</v>
      </c>
      <c r="T2247" s="10">
        <f t="shared" si="206"/>
        <v>48.75</v>
      </c>
      <c r="U2247" s="8" t="str">
        <f t="shared" si="207"/>
        <v>Mon</v>
      </c>
      <c r="V2247" s="8" t="str">
        <f t="shared" si="208"/>
        <v>Wed</v>
      </c>
    </row>
    <row r="2248" spans="1:22" hidden="1" x14ac:dyDescent="0.25">
      <c r="A2248" t="s">
        <v>286</v>
      </c>
      <c r="B2248" t="s">
        <v>37</v>
      </c>
      <c r="C2248" t="s">
        <v>43</v>
      </c>
      <c r="D2248" t="s">
        <v>12</v>
      </c>
      <c r="F2248" s="5">
        <v>44200</v>
      </c>
      <c r="G2248" s="5">
        <v>44210</v>
      </c>
      <c r="H2248" s="2">
        <v>2</v>
      </c>
      <c r="I2248" s="6"/>
      <c r="J2248" s="6"/>
      <c r="K2248" s="7">
        <v>0.25</v>
      </c>
      <c r="L2248" s="7">
        <v>36.503999999999998</v>
      </c>
      <c r="M2248" t="s">
        <v>19</v>
      </c>
      <c r="N2248" s="16">
        <f>POWER(SQRT(WorkOrders2710[[#This Row],[WorkDate]]-WorkOrders2710[[#This Row],[ReqDate]]),2)</f>
        <v>10.000000000000002</v>
      </c>
      <c r="O2248" s="8">
        <f t="array" ref="O2248">INDEX(TechRate,MATCH(H2248,TechNum,0))</f>
        <v>140</v>
      </c>
      <c r="P2248" s="10">
        <f>WorkOrders2710[[#This Row],[Techs]]*(WorkOrders2710[[#This Row],[PartsCost]]*WorkOrders2710[[#This Row],[LbrHrs]])</f>
        <v>18.251999999999999</v>
      </c>
      <c r="Q2248" s="10">
        <f t="shared" si="203"/>
        <v>18.251999999999999</v>
      </c>
      <c r="R2248" s="10">
        <f t="shared" si="204"/>
        <v>36.503999999999998</v>
      </c>
      <c r="S2248" s="10">
        <f t="shared" si="205"/>
        <v>54.756</v>
      </c>
      <c r="T2248" s="10">
        <f t="shared" si="206"/>
        <v>54.756</v>
      </c>
      <c r="U2248" s="8" t="str">
        <f t="shared" si="207"/>
        <v>Mon</v>
      </c>
      <c r="V2248" s="8" t="str">
        <f t="shared" si="208"/>
        <v>Thu</v>
      </c>
    </row>
    <row r="2249" spans="1:22" hidden="1" x14ac:dyDescent="0.25">
      <c r="A2249" t="s">
        <v>287</v>
      </c>
      <c r="B2249" t="s">
        <v>34</v>
      </c>
      <c r="C2249" t="s">
        <v>44</v>
      </c>
      <c r="D2249" t="s">
        <v>12</v>
      </c>
      <c r="F2249" s="5">
        <v>44200</v>
      </c>
      <c r="G2249" s="5">
        <v>44210</v>
      </c>
      <c r="H2249" s="2">
        <v>2</v>
      </c>
      <c r="I2249" s="6"/>
      <c r="J2249" s="6"/>
      <c r="K2249" s="7">
        <v>0.5</v>
      </c>
      <c r="L2249" s="7">
        <v>29.807400000000001</v>
      </c>
      <c r="M2249" t="s">
        <v>18</v>
      </c>
      <c r="N2249" s="16">
        <f>POWER(SQRT(WorkOrders2710[[#This Row],[WorkDate]]-WorkOrders2710[[#This Row],[ReqDate]]),2)</f>
        <v>10.000000000000002</v>
      </c>
      <c r="O2249" s="8">
        <f t="array" ref="O2249">INDEX(TechRate,MATCH(H2249,TechNum,0))</f>
        <v>140</v>
      </c>
      <c r="P2249" s="10">
        <f>WorkOrders2710[[#This Row],[Techs]]*(WorkOrders2710[[#This Row],[PartsCost]]*WorkOrders2710[[#This Row],[LbrHrs]])</f>
        <v>29.807400000000001</v>
      </c>
      <c r="Q2249" s="10">
        <f t="shared" si="203"/>
        <v>29.807400000000001</v>
      </c>
      <c r="R2249" s="10">
        <f t="shared" si="204"/>
        <v>29.807400000000001</v>
      </c>
      <c r="S2249" s="10">
        <f t="shared" si="205"/>
        <v>59.614800000000002</v>
      </c>
      <c r="T2249" s="10">
        <f t="shared" si="206"/>
        <v>59.614800000000002</v>
      </c>
      <c r="U2249" s="8" t="str">
        <f t="shared" si="207"/>
        <v>Mon</v>
      </c>
      <c r="V2249" s="8" t="str">
        <f t="shared" si="208"/>
        <v>Thu</v>
      </c>
    </row>
    <row r="2250" spans="1:22" hidden="1" x14ac:dyDescent="0.25">
      <c r="A2250" t="s">
        <v>288</v>
      </c>
      <c r="B2250" t="s">
        <v>34</v>
      </c>
      <c r="C2250" t="s">
        <v>6</v>
      </c>
      <c r="D2250" t="s">
        <v>12</v>
      </c>
      <c r="F2250" s="5">
        <v>44200</v>
      </c>
      <c r="G2250" s="5">
        <v>44210</v>
      </c>
      <c r="H2250" s="2">
        <v>1</v>
      </c>
      <c r="I2250" s="6"/>
      <c r="J2250" s="6"/>
      <c r="K2250" s="7">
        <v>0.25</v>
      </c>
      <c r="L2250" s="7">
        <v>43.02</v>
      </c>
      <c r="M2250" t="s">
        <v>17</v>
      </c>
      <c r="N2250" s="16">
        <f>POWER(SQRT(WorkOrders2710[[#This Row],[WorkDate]]-WorkOrders2710[[#This Row],[ReqDate]]),2)</f>
        <v>10.000000000000002</v>
      </c>
      <c r="O2250" s="8">
        <f t="array" ref="O2250">INDEX(TechRate,MATCH(H2250,TechNum,0))</f>
        <v>80</v>
      </c>
      <c r="P2250" s="10">
        <f>WorkOrders2710[[#This Row],[Techs]]*(WorkOrders2710[[#This Row],[PartsCost]]*WorkOrders2710[[#This Row],[LbrHrs]])</f>
        <v>10.755000000000001</v>
      </c>
      <c r="Q2250" s="10">
        <f t="shared" si="203"/>
        <v>10.755000000000001</v>
      </c>
      <c r="R2250" s="10">
        <f t="shared" si="204"/>
        <v>43.02</v>
      </c>
      <c r="S2250" s="10">
        <f t="shared" si="205"/>
        <v>53.775000000000006</v>
      </c>
      <c r="T2250" s="10">
        <f t="shared" si="206"/>
        <v>53.775000000000006</v>
      </c>
      <c r="U2250" s="8" t="str">
        <f t="shared" si="207"/>
        <v>Mon</v>
      </c>
      <c r="V2250" s="8" t="str">
        <f t="shared" si="208"/>
        <v>Thu</v>
      </c>
    </row>
    <row r="2251" spans="1:22" hidden="1" x14ac:dyDescent="0.25">
      <c r="A2251" t="s">
        <v>289</v>
      </c>
      <c r="B2251" t="s">
        <v>35</v>
      </c>
      <c r="C2251" t="s">
        <v>9</v>
      </c>
      <c r="D2251" t="s">
        <v>11</v>
      </c>
      <c r="F2251" s="5">
        <v>44200</v>
      </c>
      <c r="G2251" s="5">
        <v>44217</v>
      </c>
      <c r="H2251" s="2">
        <v>1</v>
      </c>
      <c r="I2251" s="6"/>
      <c r="J2251" s="6"/>
      <c r="K2251" s="7">
        <v>0.25</v>
      </c>
      <c r="L2251" s="7">
        <v>66.864900000000006</v>
      </c>
      <c r="M2251" t="s">
        <v>17</v>
      </c>
      <c r="N2251" s="16">
        <f>POWER(SQRT(WorkOrders2710[[#This Row],[WorkDate]]-WorkOrders2710[[#This Row],[ReqDate]]),2)</f>
        <v>17</v>
      </c>
      <c r="O2251" s="8">
        <f t="array" ref="O2251">INDEX(TechRate,MATCH(H2251,TechNum,0))</f>
        <v>80</v>
      </c>
      <c r="P2251" s="10">
        <f>WorkOrders2710[[#This Row],[Techs]]*(WorkOrders2710[[#This Row],[PartsCost]]*WorkOrders2710[[#This Row],[LbrHrs]])</f>
        <v>16.716225000000001</v>
      </c>
      <c r="Q2251" s="10">
        <f t="shared" si="203"/>
        <v>16.716225000000001</v>
      </c>
      <c r="R2251" s="10">
        <f t="shared" si="204"/>
        <v>66.864900000000006</v>
      </c>
      <c r="S2251" s="10">
        <f t="shared" si="205"/>
        <v>83.581125000000014</v>
      </c>
      <c r="T2251" s="10">
        <f t="shared" si="206"/>
        <v>83.581125000000014</v>
      </c>
      <c r="U2251" s="8" t="str">
        <f t="shared" si="207"/>
        <v>Mon</v>
      </c>
      <c r="V2251" s="8" t="str">
        <f t="shared" si="208"/>
        <v>Thu</v>
      </c>
    </row>
    <row r="2252" spans="1:22" hidden="1" x14ac:dyDescent="0.25">
      <c r="A2252" t="s">
        <v>290</v>
      </c>
      <c r="B2252" t="s">
        <v>35</v>
      </c>
      <c r="C2252" t="s">
        <v>9</v>
      </c>
      <c r="D2252" t="s">
        <v>13</v>
      </c>
      <c r="F2252" s="5">
        <v>44200</v>
      </c>
      <c r="G2252" s="5">
        <v>44238</v>
      </c>
      <c r="H2252" s="2">
        <v>1</v>
      </c>
      <c r="I2252" s="6"/>
      <c r="J2252" s="6"/>
      <c r="K2252" s="7">
        <v>0.75</v>
      </c>
      <c r="L2252" s="7">
        <v>408.56790000000001</v>
      </c>
      <c r="M2252" t="s">
        <v>17</v>
      </c>
      <c r="N2252" s="16">
        <f>POWER(SQRT(WorkOrders2710[[#This Row],[WorkDate]]-WorkOrders2710[[#This Row],[ReqDate]]),2)</f>
        <v>37.999999999999993</v>
      </c>
      <c r="O2252" s="8">
        <f t="array" ref="O2252">INDEX(TechRate,MATCH(H2252,TechNum,0))</f>
        <v>80</v>
      </c>
      <c r="P2252" s="10">
        <f>WorkOrders2710[[#This Row],[Techs]]*(WorkOrders2710[[#This Row],[PartsCost]]*WorkOrders2710[[#This Row],[LbrHrs]])</f>
        <v>306.42592500000001</v>
      </c>
      <c r="Q2252" s="10">
        <f t="shared" si="203"/>
        <v>306.42592500000001</v>
      </c>
      <c r="R2252" s="10">
        <f t="shared" si="204"/>
        <v>408.56790000000001</v>
      </c>
      <c r="S2252" s="10">
        <f t="shared" si="205"/>
        <v>714.99382500000002</v>
      </c>
      <c r="T2252" s="10">
        <f t="shared" si="206"/>
        <v>714.99382500000002</v>
      </c>
      <c r="U2252" s="8" t="str">
        <f t="shared" si="207"/>
        <v>Mon</v>
      </c>
      <c r="V2252" s="8" t="str">
        <f t="shared" si="208"/>
        <v>Thu</v>
      </c>
    </row>
    <row r="2253" spans="1:22" hidden="1" x14ac:dyDescent="0.25">
      <c r="A2253" t="s">
        <v>291</v>
      </c>
      <c r="B2253" t="s">
        <v>37</v>
      </c>
      <c r="C2253" t="s">
        <v>43</v>
      </c>
      <c r="D2253" t="s">
        <v>12</v>
      </c>
      <c r="F2253" s="5">
        <v>44201</v>
      </c>
      <c r="G2253" s="5">
        <v>44210</v>
      </c>
      <c r="H2253" s="2">
        <v>1</v>
      </c>
      <c r="I2253" s="6"/>
      <c r="J2253" s="6"/>
      <c r="K2253" s="7">
        <v>0.25</v>
      </c>
      <c r="L2253" s="7">
        <v>25.2486</v>
      </c>
      <c r="M2253" t="s">
        <v>19</v>
      </c>
      <c r="N2253" s="16">
        <f>POWER(SQRT(WorkOrders2710[[#This Row],[WorkDate]]-WorkOrders2710[[#This Row],[ReqDate]]),2)</f>
        <v>9</v>
      </c>
      <c r="O2253" s="8">
        <f t="array" ref="O2253">INDEX(TechRate,MATCH(H2253,TechNum,0))</f>
        <v>80</v>
      </c>
      <c r="P2253" s="10">
        <f>WorkOrders2710[[#This Row],[Techs]]*(WorkOrders2710[[#This Row],[PartsCost]]*WorkOrders2710[[#This Row],[LbrHrs]])</f>
        <v>6.3121499999999999</v>
      </c>
      <c r="Q2253" s="10">
        <f t="shared" si="203"/>
        <v>6.3121499999999999</v>
      </c>
      <c r="R2253" s="10">
        <f t="shared" si="204"/>
        <v>25.2486</v>
      </c>
      <c r="S2253" s="10">
        <f t="shared" si="205"/>
        <v>31.560749999999999</v>
      </c>
      <c r="T2253" s="10">
        <f t="shared" si="206"/>
        <v>31.560749999999999</v>
      </c>
      <c r="U2253" s="8" t="str">
        <f t="shared" si="207"/>
        <v>Tue</v>
      </c>
      <c r="V2253" s="8" t="str">
        <f t="shared" si="208"/>
        <v>Thu</v>
      </c>
    </row>
    <row r="2254" spans="1:22" hidden="1" x14ac:dyDescent="0.25">
      <c r="A2254" t="s">
        <v>292</v>
      </c>
      <c r="B2254" t="s">
        <v>34</v>
      </c>
      <c r="C2254" t="s">
        <v>44</v>
      </c>
      <c r="D2254" t="s">
        <v>13</v>
      </c>
      <c r="F2254" s="5">
        <v>44201</v>
      </c>
      <c r="G2254" s="5">
        <v>44221</v>
      </c>
      <c r="H2254" s="2">
        <v>1</v>
      </c>
      <c r="I2254" s="6"/>
      <c r="J2254" s="6"/>
      <c r="K2254" s="7">
        <v>1.25</v>
      </c>
      <c r="L2254" s="7">
        <v>646</v>
      </c>
      <c r="M2254" t="s">
        <v>17</v>
      </c>
      <c r="N2254" s="16">
        <f>POWER(SQRT(WorkOrders2710[[#This Row],[WorkDate]]-WorkOrders2710[[#This Row],[ReqDate]]),2)</f>
        <v>20.000000000000004</v>
      </c>
      <c r="O2254" s="8">
        <f t="array" ref="O2254">INDEX(TechRate,MATCH(H2254,TechNum,0))</f>
        <v>80</v>
      </c>
      <c r="P2254" s="10">
        <f>WorkOrders2710[[#This Row],[Techs]]*(WorkOrders2710[[#This Row],[PartsCost]]*WorkOrders2710[[#This Row],[LbrHrs]])</f>
        <v>807.5</v>
      </c>
      <c r="Q2254" s="10">
        <f t="shared" si="203"/>
        <v>807.5</v>
      </c>
      <c r="R2254" s="10">
        <f t="shared" si="204"/>
        <v>646</v>
      </c>
      <c r="S2254" s="10">
        <f t="shared" si="205"/>
        <v>1453.5</v>
      </c>
      <c r="T2254" s="10">
        <f t="shared" si="206"/>
        <v>1453.5</v>
      </c>
      <c r="U2254" s="8" t="str">
        <f t="shared" si="207"/>
        <v>Tue</v>
      </c>
      <c r="V2254" s="8" t="str">
        <f t="shared" si="208"/>
        <v>Mon</v>
      </c>
    </row>
    <row r="2255" spans="1:22" hidden="1" x14ac:dyDescent="0.25">
      <c r="A2255" t="s">
        <v>293</v>
      </c>
      <c r="B2255" t="s">
        <v>34</v>
      </c>
      <c r="C2255" t="s">
        <v>6</v>
      </c>
      <c r="D2255" t="s">
        <v>11</v>
      </c>
      <c r="F2255" s="5">
        <v>44201</v>
      </c>
      <c r="G2255" s="5">
        <v>44226</v>
      </c>
      <c r="H2255" s="2">
        <v>1</v>
      </c>
      <c r="I2255" s="6"/>
      <c r="J2255" s="6"/>
      <c r="K2255" s="7">
        <v>0.25</v>
      </c>
      <c r="L2255" s="7">
        <v>125.4194</v>
      </c>
      <c r="M2255" t="s">
        <v>18</v>
      </c>
      <c r="N2255" s="16">
        <f>POWER(SQRT(WorkOrders2710[[#This Row],[WorkDate]]-WorkOrders2710[[#This Row],[ReqDate]]),2)</f>
        <v>25</v>
      </c>
      <c r="O2255" s="8">
        <f t="array" ref="O2255">INDEX(TechRate,MATCH(H2255,TechNum,0))</f>
        <v>80</v>
      </c>
      <c r="P2255" s="10">
        <f>WorkOrders2710[[#This Row],[Techs]]*(WorkOrders2710[[#This Row],[PartsCost]]*WorkOrders2710[[#This Row],[LbrHrs]])</f>
        <v>31.354849999999999</v>
      </c>
      <c r="Q2255" s="10">
        <f t="shared" si="203"/>
        <v>31.354849999999999</v>
      </c>
      <c r="R2255" s="10">
        <f t="shared" si="204"/>
        <v>125.4194</v>
      </c>
      <c r="S2255" s="10">
        <f t="shared" si="205"/>
        <v>156.77424999999999</v>
      </c>
      <c r="T2255" s="10">
        <f t="shared" si="206"/>
        <v>156.77424999999999</v>
      </c>
      <c r="U2255" s="8" t="str">
        <f t="shared" si="207"/>
        <v>Tue</v>
      </c>
      <c r="V2255" s="8" t="str">
        <f t="shared" si="208"/>
        <v>Sat</v>
      </c>
    </row>
    <row r="2256" spans="1:22" hidden="1" x14ac:dyDescent="0.25">
      <c r="A2256" t="s">
        <v>294</v>
      </c>
      <c r="B2256" t="s">
        <v>35</v>
      </c>
      <c r="C2256" t="s">
        <v>8</v>
      </c>
      <c r="D2256" t="s">
        <v>12</v>
      </c>
      <c r="F2256" s="5">
        <v>44201</v>
      </c>
      <c r="G2256" s="5">
        <v>44229</v>
      </c>
      <c r="H2256" s="2">
        <v>2</v>
      </c>
      <c r="I2256" s="6"/>
      <c r="J2256" s="6"/>
      <c r="K2256" s="7">
        <v>0.75</v>
      </c>
      <c r="L2256" s="7">
        <v>286.73230000000001</v>
      </c>
      <c r="M2256" t="s">
        <v>17</v>
      </c>
      <c r="N2256" s="16">
        <f>POWER(SQRT(WorkOrders2710[[#This Row],[WorkDate]]-WorkOrders2710[[#This Row],[ReqDate]]),2)</f>
        <v>28.000000000000004</v>
      </c>
      <c r="O2256" s="8">
        <f t="array" ref="O2256">INDEX(TechRate,MATCH(H2256,TechNum,0))</f>
        <v>140</v>
      </c>
      <c r="P2256" s="10">
        <f>WorkOrders2710[[#This Row],[Techs]]*(WorkOrders2710[[#This Row],[PartsCost]]*WorkOrders2710[[#This Row],[LbrHrs]])</f>
        <v>430.09845000000001</v>
      </c>
      <c r="Q2256" s="10">
        <f t="shared" si="203"/>
        <v>430.09845000000001</v>
      </c>
      <c r="R2256" s="10">
        <f t="shared" si="204"/>
        <v>286.73230000000001</v>
      </c>
      <c r="S2256" s="10">
        <f t="shared" si="205"/>
        <v>716.83075000000008</v>
      </c>
      <c r="T2256" s="10">
        <f t="shared" si="206"/>
        <v>716.83075000000008</v>
      </c>
      <c r="U2256" s="8" t="str">
        <f t="shared" si="207"/>
        <v>Tue</v>
      </c>
      <c r="V2256" s="8" t="str">
        <f t="shared" si="208"/>
        <v>Tue</v>
      </c>
    </row>
    <row r="2257" spans="1:22" hidden="1" x14ac:dyDescent="0.25">
      <c r="A2257" t="s">
        <v>295</v>
      </c>
      <c r="B2257" t="s">
        <v>37</v>
      </c>
      <c r="C2257" t="s">
        <v>6</v>
      </c>
      <c r="D2257" t="s">
        <v>1</v>
      </c>
      <c r="F2257" s="5">
        <v>44201</v>
      </c>
      <c r="G2257" s="5">
        <v>44229</v>
      </c>
      <c r="H2257" s="2">
        <v>1</v>
      </c>
      <c r="I2257" s="6"/>
      <c r="J2257" s="6"/>
      <c r="K2257" s="7">
        <v>2.5</v>
      </c>
      <c r="L2257" s="7">
        <v>258.02780000000001</v>
      </c>
      <c r="M2257" t="s">
        <v>18</v>
      </c>
      <c r="N2257" s="16">
        <f>POWER(SQRT(WorkOrders2710[[#This Row],[WorkDate]]-WorkOrders2710[[#This Row],[ReqDate]]),2)</f>
        <v>28.000000000000004</v>
      </c>
      <c r="O2257" s="8">
        <f t="array" ref="O2257">INDEX(TechRate,MATCH(H2257,TechNum,0))</f>
        <v>80</v>
      </c>
      <c r="P2257" s="10">
        <f>WorkOrders2710[[#This Row],[Techs]]*(WorkOrders2710[[#This Row],[PartsCost]]*WorkOrders2710[[#This Row],[LbrHrs]])</f>
        <v>645.06950000000006</v>
      </c>
      <c r="Q2257" s="10">
        <f t="shared" si="203"/>
        <v>645.06950000000006</v>
      </c>
      <c r="R2257" s="10">
        <f t="shared" si="204"/>
        <v>258.02780000000001</v>
      </c>
      <c r="S2257" s="10">
        <f t="shared" si="205"/>
        <v>903.09730000000013</v>
      </c>
      <c r="T2257" s="10">
        <f t="shared" si="206"/>
        <v>903.09730000000013</v>
      </c>
      <c r="U2257" s="8" t="str">
        <f t="shared" si="207"/>
        <v>Tue</v>
      </c>
      <c r="V2257" s="8" t="str">
        <f t="shared" si="208"/>
        <v>Tue</v>
      </c>
    </row>
    <row r="2258" spans="1:22" hidden="1" x14ac:dyDescent="0.25">
      <c r="A2258" t="s">
        <v>296</v>
      </c>
      <c r="B2258" t="s">
        <v>37</v>
      </c>
      <c r="C2258" t="s">
        <v>43</v>
      </c>
      <c r="D2258" t="s">
        <v>12</v>
      </c>
      <c r="F2258" s="5">
        <v>44201</v>
      </c>
      <c r="G2258" s="5">
        <v>44320</v>
      </c>
      <c r="H2258" s="2">
        <v>1</v>
      </c>
      <c r="I2258" s="6"/>
      <c r="J2258" s="6"/>
      <c r="K2258" s="7">
        <v>0.25</v>
      </c>
      <c r="L2258" s="7">
        <v>14.3</v>
      </c>
      <c r="M2258" t="s">
        <v>19</v>
      </c>
      <c r="N2258" s="16">
        <f>POWER(SQRT(WorkOrders2710[[#This Row],[WorkDate]]-WorkOrders2710[[#This Row],[ReqDate]]),2)</f>
        <v>118.99999999999999</v>
      </c>
      <c r="O2258" s="8">
        <f t="array" ref="O2258">INDEX(TechRate,MATCH(H2258,TechNum,0))</f>
        <v>80</v>
      </c>
      <c r="P2258" s="10">
        <f>WorkOrders2710[[#This Row],[Techs]]*(WorkOrders2710[[#This Row],[PartsCost]]*WorkOrders2710[[#This Row],[LbrHrs]])</f>
        <v>3.5750000000000002</v>
      </c>
      <c r="Q2258" s="10">
        <f t="shared" si="203"/>
        <v>3.5750000000000002</v>
      </c>
      <c r="R2258" s="10">
        <f t="shared" si="204"/>
        <v>14.3</v>
      </c>
      <c r="S2258" s="10">
        <f t="shared" si="205"/>
        <v>17.875</v>
      </c>
      <c r="T2258" s="10">
        <f t="shared" si="206"/>
        <v>17.875</v>
      </c>
      <c r="U2258" s="8" t="str">
        <f t="shared" si="207"/>
        <v>Tue</v>
      </c>
      <c r="V2258" s="8" t="str">
        <f t="shared" si="208"/>
        <v>Tue</v>
      </c>
    </row>
    <row r="2259" spans="1:22" hidden="1" x14ac:dyDescent="0.25">
      <c r="A2259" t="s">
        <v>297</v>
      </c>
      <c r="B2259" t="s">
        <v>37</v>
      </c>
      <c r="C2259" t="s">
        <v>43</v>
      </c>
      <c r="D2259" t="s">
        <v>12</v>
      </c>
      <c r="F2259" s="5">
        <v>44202</v>
      </c>
      <c r="G2259" s="5">
        <v>44214</v>
      </c>
      <c r="H2259" s="2">
        <v>1</v>
      </c>
      <c r="I2259" s="6"/>
      <c r="J2259" s="6"/>
      <c r="K2259" s="7">
        <v>0.25</v>
      </c>
      <c r="L2259" s="7">
        <v>44.85</v>
      </c>
      <c r="M2259" t="s">
        <v>19</v>
      </c>
      <c r="N2259" s="16">
        <f>POWER(SQRT(WorkOrders2710[[#This Row],[WorkDate]]-WorkOrders2710[[#This Row],[ReqDate]]),2)</f>
        <v>11.999999999999998</v>
      </c>
      <c r="O2259" s="8">
        <f t="array" ref="O2259">INDEX(TechRate,MATCH(H2259,TechNum,0))</f>
        <v>80</v>
      </c>
      <c r="P2259" s="10">
        <f>WorkOrders2710[[#This Row],[Techs]]*(WorkOrders2710[[#This Row],[PartsCost]]*WorkOrders2710[[#This Row],[LbrHrs]])</f>
        <v>11.2125</v>
      </c>
      <c r="Q2259" s="10">
        <f t="shared" si="203"/>
        <v>11.2125</v>
      </c>
      <c r="R2259" s="10">
        <f t="shared" si="204"/>
        <v>44.85</v>
      </c>
      <c r="S2259" s="10">
        <f t="shared" si="205"/>
        <v>56.0625</v>
      </c>
      <c r="T2259" s="10">
        <f t="shared" si="206"/>
        <v>56.0625</v>
      </c>
      <c r="U2259" s="8" t="str">
        <f t="shared" si="207"/>
        <v>Wed</v>
      </c>
      <c r="V2259" s="8" t="str">
        <f t="shared" si="208"/>
        <v>Mon</v>
      </c>
    </row>
    <row r="2260" spans="1:22" hidden="1" x14ac:dyDescent="0.25">
      <c r="A2260" t="s">
        <v>298</v>
      </c>
      <c r="B2260" t="s">
        <v>35</v>
      </c>
      <c r="C2260" t="s">
        <v>6</v>
      </c>
      <c r="D2260" t="s">
        <v>12</v>
      </c>
      <c r="F2260" s="5">
        <v>44202</v>
      </c>
      <c r="G2260" s="5">
        <v>44217</v>
      </c>
      <c r="H2260" s="2">
        <v>2</v>
      </c>
      <c r="I2260" s="6"/>
      <c r="J2260" s="6"/>
      <c r="K2260" s="7">
        <v>0.5</v>
      </c>
      <c r="L2260" s="7">
        <v>74.607699999999994</v>
      </c>
      <c r="M2260" t="s">
        <v>18</v>
      </c>
      <c r="N2260" s="16">
        <f>POWER(SQRT(WorkOrders2710[[#This Row],[WorkDate]]-WorkOrders2710[[#This Row],[ReqDate]]),2)</f>
        <v>15.000000000000002</v>
      </c>
      <c r="O2260" s="8">
        <f t="array" ref="O2260">INDEX(TechRate,MATCH(H2260,TechNum,0))</f>
        <v>140</v>
      </c>
      <c r="P2260" s="10">
        <f>WorkOrders2710[[#This Row],[Techs]]*(WorkOrders2710[[#This Row],[PartsCost]]*WorkOrders2710[[#This Row],[LbrHrs]])</f>
        <v>74.607699999999994</v>
      </c>
      <c r="Q2260" s="10">
        <f t="shared" si="203"/>
        <v>74.607699999999994</v>
      </c>
      <c r="R2260" s="10">
        <f t="shared" si="204"/>
        <v>74.607699999999994</v>
      </c>
      <c r="S2260" s="10">
        <f t="shared" si="205"/>
        <v>149.21539999999999</v>
      </c>
      <c r="T2260" s="10">
        <f t="shared" si="206"/>
        <v>149.21539999999999</v>
      </c>
      <c r="U2260" s="8" t="str">
        <f t="shared" si="207"/>
        <v>Wed</v>
      </c>
      <c r="V2260" s="8" t="str">
        <f t="shared" si="208"/>
        <v>Thu</v>
      </c>
    </row>
    <row r="2261" spans="1:22" hidden="1" x14ac:dyDescent="0.25">
      <c r="A2261" t="s">
        <v>299</v>
      </c>
      <c r="B2261" t="s">
        <v>36</v>
      </c>
      <c r="C2261" t="s">
        <v>7</v>
      </c>
      <c r="D2261" t="s">
        <v>13</v>
      </c>
      <c r="E2261" t="s">
        <v>3</v>
      </c>
      <c r="F2261" s="5">
        <v>44202</v>
      </c>
      <c r="G2261" s="5">
        <v>44230</v>
      </c>
      <c r="H2261" s="2">
        <v>2</v>
      </c>
      <c r="I2261" s="6"/>
      <c r="J2261" s="6"/>
      <c r="K2261" s="7">
        <v>0.5</v>
      </c>
      <c r="L2261" s="7">
        <v>126.71469999999999</v>
      </c>
      <c r="M2261" t="s">
        <v>17</v>
      </c>
      <c r="N2261" s="16">
        <f>POWER(SQRT(WorkOrders2710[[#This Row],[WorkDate]]-WorkOrders2710[[#This Row],[ReqDate]]),2)</f>
        <v>28.000000000000004</v>
      </c>
      <c r="O2261" s="8">
        <f t="array" ref="O2261">INDEX(TechRate,MATCH(H2261,TechNum,0))</f>
        <v>140</v>
      </c>
      <c r="P2261" s="10">
        <f>WorkOrders2710[[#This Row],[Techs]]*(WorkOrders2710[[#This Row],[PartsCost]]*WorkOrders2710[[#This Row],[LbrHrs]])</f>
        <v>126.71469999999999</v>
      </c>
      <c r="Q2261" s="10">
        <f t="shared" si="203"/>
        <v>126.71469999999999</v>
      </c>
      <c r="R2261" s="10">
        <f t="shared" si="204"/>
        <v>126.71469999999999</v>
      </c>
      <c r="S2261" s="10">
        <f t="shared" si="205"/>
        <v>253.42939999999999</v>
      </c>
      <c r="T2261" s="10">
        <f t="shared" si="206"/>
        <v>253.42939999999999</v>
      </c>
      <c r="U2261" s="8" t="str">
        <f t="shared" si="207"/>
        <v>Wed</v>
      </c>
      <c r="V2261" s="8" t="str">
        <f t="shared" si="208"/>
        <v>Wed</v>
      </c>
    </row>
    <row r="2262" spans="1:22" hidden="1" x14ac:dyDescent="0.25">
      <c r="A2262" t="s">
        <v>300</v>
      </c>
      <c r="B2262" t="s">
        <v>36</v>
      </c>
      <c r="C2262" t="s">
        <v>7</v>
      </c>
      <c r="D2262" t="s">
        <v>13</v>
      </c>
      <c r="F2262" s="5">
        <v>44202</v>
      </c>
      <c r="G2262" s="5">
        <v>44259</v>
      </c>
      <c r="H2262" s="2">
        <v>2</v>
      </c>
      <c r="I2262" s="6"/>
      <c r="J2262" s="6"/>
      <c r="K2262" s="7">
        <v>1.25</v>
      </c>
      <c r="L2262" s="7">
        <v>256.83999999999997</v>
      </c>
      <c r="M2262" t="s">
        <v>17</v>
      </c>
      <c r="N2262" s="16">
        <f>POWER(SQRT(WorkOrders2710[[#This Row],[WorkDate]]-WorkOrders2710[[#This Row],[ReqDate]]),2)</f>
        <v>57</v>
      </c>
      <c r="O2262" s="8">
        <f t="array" ref="O2262">INDEX(TechRate,MATCH(H2262,TechNum,0))</f>
        <v>140</v>
      </c>
      <c r="P2262" s="10">
        <f>WorkOrders2710[[#This Row],[Techs]]*(WorkOrders2710[[#This Row],[PartsCost]]*WorkOrders2710[[#This Row],[LbrHrs]])</f>
        <v>642.09999999999991</v>
      </c>
      <c r="Q2262" s="10">
        <f t="shared" si="203"/>
        <v>642.09999999999991</v>
      </c>
      <c r="R2262" s="10">
        <f t="shared" si="204"/>
        <v>256.83999999999997</v>
      </c>
      <c r="S2262" s="10">
        <f t="shared" si="205"/>
        <v>898.93999999999983</v>
      </c>
      <c r="T2262" s="10">
        <f t="shared" si="206"/>
        <v>898.93999999999983</v>
      </c>
      <c r="U2262" s="8" t="str">
        <f t="shared" si="207"/>
        <v>Wed</v>
      </c>
      <c r="V2262" s="8" t="str">
        <f t="shared" si="208"/>
        <v>Thu</v>
      </c>
    </row>
    <row r="2263" spans="1:22" hidden="1" x14ac:dyDescent="0.25">
      <c r="A2263" t="s">
        <v>301</v>
      </c>
      <c r="B2263" t="s">
        <v>39</v>
      </c>
      <c r="C2263" t="s">
        <v>44</v>
      </c>
      <c r="D2263" t="s">
        <v>11</v>
      </c>
      <c r="F2263" s="5">
        <v>44203</v>
      </c>
      <c r="G2263" s="5">
        <v>44215</v>
      </c>
      <c r="H2263" s="2">
        <v>1</v>
      </c>
      <c r="I2263" s="6"/>
      <c r="J2263" s="6"/>
      <c r="K2263" s="7">
        <v>0.25</v>
      </c>
      <c r="L2263" s="7">
        <v>32.6706</v>
      </c>
      <c r="M2263" t="s">
        <v>19</v>
      </c>
      <c r="N2263" s="16">
        <f>POWER(SQRT(WorkOrders2710[[#This Row],[WorkDate]]-WorkOrders2710[[#This Row],[ReqDate]]),2)</f>
        <v>11.999999999999998</v>
      </c>
      <c r="O2263" s="8">
        <f t="array" ref="O2263">INDEX(TechRate,MATCH(H2263,TechNum,0))</f>
        <v>80</v>
      </c>
      <c r="P2263" s="10">
        <f>WorkOrders2710[[#This Row],[Techs]]*(WorkOrders2710[[#This Row],[PartsCost]]*WorkOrders2710[[#This Row],[LbrHrs]])</f>
        <v>8.1676500000000001</v>
      </c>
      <c r="Q2263" s="10">
        <f t="shared" si="203"/>
        <v>8.1676500000000001</v>
      </c>
      <c r="R2263" s="10">
        <f t="shared" si="204"/>
        <v>32.6706</v>
      </c>
      <c r="S2263" s="10">
        <f t="shared" si="205"/>
        <v>40.838250000000002</v>
      </c>
      <c r="T2263" s="10">
        <f t="shared" si="206"/>
        <v>40.838250000000002</v>
      </c>
      <c r="U2263" s="8" t="str">
        <f t="shared" si="207"/>
        <v>Thu</v>
      </c>
      <c r="V2263" s="8" t="str">
        <f t="shared" si="208"/>
        <v>Tue</v>
      </c>
    </row>
    <row r="2264" spans="1:22" hidden="1" x14ac:dyDescent="0.25">
      <c r="A2264" t="s">
        <v>302</v>
      </c>
      <c r="B2264" t="s">
        <v>35</v>
      </c>
      <c r="C2264" t="s">
        <v>44</v>
      </c>
      <c r="D2264" t="s">
        <v>12</v>
      </c>
      <c r="E2264" t="s">
        <v>3</v>
      </c>
      <c r="F2264" s="5">
        <v>44203</v>
      </c>
      <c r="G2264" s="5">
        <v>44228</v>
      </c>
      <c r="H2264" s="2">
        <v>2</v>
      </c>
      <c r="I2264" s="6"/>
      <c r="J2264" s="6"/>
      <c r="K2264" s="7">
        <v>0.5</v>
      </c>
      <c r="L2264" s="7">
        <v>72.350099999999998</v>
      </c>
      <c r="M2264" t="s">
        <v>17</v>
      </c>
      <c r="N2264" s="16">
        <f>POWER(SQRT(WorkOrders2710[[#This Row],[WorkDate]]-WorkOrders2710[[#This Row],[ReqDate]]),2)</f>
        <v>25</v>
      </c>
      <c r="O2264" s="8">
        <f t="array" ref="O2264">INDEX(TechRate,MATCH(H2264,TechNum,0))</f>
        <v>140</v>
      </c>
      <c r="P2264" s="10">
        <f>WorkOrders2710[[#This Row],[Techs]]*(WorkOrders2710[[#This Row],[PartsCost]]*WorkOrders2710[[#This Row],[LbrHrs]])</f>
        <v>72.350099999999998</v>
      </c>
      <c r="Q2264" s="10">
        <f t="shared" si="203"/>
        <v>72.350099999999998</v>
      </c>
      <c r="R2264" s="10">
        <f t="shared" si="204"/>
        <v>72.350099999999998</v>
      </c>
      <c r="S2264" s="10">
        <f t="shared" si="205"/>
        <v>144.7002</v>
      </c>
      <c r="T2264" s="10">
        <f t="shared" si="206"/>
        <v>144.7002</v>
      </c>
      <c r="U2264" s="8" t="str">
        <f t="shared" si="207"/>
        <v>Thu</v>
      </c>
      <c r="V2264" s="8" t="str">
        <f t="shared" si="208"/>
        <v>Mon</v>
      </c>
    </row>
    <row r="2265" spans="1:22" hidden="1" x14ac:dyDescent="0.25">
      <c r="A2265" t="s">
        <v>303</v>
      </c>
      <c r="B2265" t="s">
        <v>36</v>
      </c>
      <c r="C2265" t="s">
        <v>7</v>
      </c>
      <c r="D2265" t="s">
        <v>13</v>
      </c>
      <c r="F2265" s="5">
        <v>44203</v>
      </c>
      <c r="G2265" s="5">
        <v>44232</v>
      </c>
      <c r="H2265" s="2">
        <v>2</v>
      </c>
      <c r="I2265" s="6"/>
      <c r="J2265" s="6"/>
      <c r="K2265" s="7">
        <v>0.5</v>
      </c>
      <c r="L2265" s="7">
        <v>178.49889999999999</v>
      </c>
      <c r="M2265" t="s">
        <v>18</v>
      </c>
      <c r="N2265" s="16">
        <f>POWER(SQRT(WorkOrders2710[[#This Row],[WorkDate]]-WorkOrders2710[[#This Row],[ReqDate]]),2)</f>
        <v>28.999999999999996</v>
      </c>
      <c r="O2265" s="8">
        <f t="array" ref="O2265">INDEX(TechRate,MATCH(H2265,TechNum,0))</f>
        <v>140</v>
      </c>
      <c r="P2265" s="10">
        <f>WorkOrders2710[[#This Row],[Techs]]*(WorkOrders2710[[#This Row],[PartsCost]]*WorkOrders2710[[#This Row],[LbrHrs]])</f>
        <v>178.49889999999999</v>
      </c>
      <c r="Q2265" s="10">
        <f t="shared" ref="Q2265:Q2328" si="209">IF(I2265="Yes",0,P2265)</f>
        <v>178.49889999999999</v>
      </c>
      <c r="R2265" s="10">
        <f t="shared" ref="R2265:R2328" si="210">IF(J2265="Yes",0,L2265)</f>
        <v>178.49889999999999</v>
      </c>
      <c r="S2265" s="10">
        <f t="shared" ref="S2265:S2328" si="211">SUM(L2265,P2265)</f>
        <v>356.99779999999998</v>
      </c>
      <c r="T2265" s="10">
        <f t="shared" ref="T2265:T2328" si="212">SUM(Q2265,R2265)</f>
        <v>356.99779999999998</v>
      </c>
      <c r="U2265" s="8" t="str">
        <f t="shared" ref="U2265:U2328" si="213">TEXT(F2265,"ddd")</f>
        <v>Thu</v>
      </c>
      <c r="V2265" s="8" t="str">
        <f t="shared" ref="V2265:V2328" si="214">TEXT(G2265,"ddd")</f>
        <v>Fri</v>
      </c>
    </row>
    <row r="2266" spans="1:22" hidden="1" x14ac:dyDescent="0.25">
      <c r="A2266" t="s">
        <v>304</v>
      </c>
      <c r="B2266" t="s">
        <v>35</v>
      </c>
      <c r="C2266" t="s">
        <v>9</v>
      </c>
      <c r="D2266" t="s">
        <v>13</v>
      </c>
      <c r="F2266" s="5">
        <v>44203</v>
      </c>
      <c r="G2266" s="5">
        <v>44249</v>
      </c>
      <c r="H2266" s="2">
        <v>1</v>
      </c>
      <c r="I2266" s="6"/>
      <c r="J2266" s="6"/>
      <c r="K2266" s="7">
        <v>0.5</v>
      </c>
      <c r="L2266" s="7">
        <v>18.254899999999999</v>
      </c>
      <c r="M2266" t="s">
        <v>18</v>
      </c>
      <c r="N2266" s="16">
        <f>POWER(SQRT(WorkOrders2710[[#This Row],[WorkDate]]-WorkOrders2710[[#This Row],[ReqDate]]),2)</f>
        <v>46</v>
      </c>
      <c r="O2266" s="8">
        <f t="array" ref="O2266">INDEX(TechRate,MATCH(H2266,TechNum,0))</f>
        <v>80</v>
      </c>
      <c r="P2266" s="10">
        <f>WorkOrders2710[[#This Row],[Techs]]*(WorkOrders2710[[#This Row],[PartsCost]]*WorkOrders2710[[#This Row],[LbrHrs]])</f>
        <v>9.1274499999999996</v>
      </c>
      <c r="Q2266" s="10">
        <f t="shared" si="209"/>
        <v>9.1274499999999996</v>
      </c>
      <c r="R2266" s="10">
        <f t="shared" si="210"/>
        <v>18.254899999999999</v>
      </c>
      <c r="S2266" s="10">
        <f t="shared" si="211"/>
        <v>27.382349999999999</v>
      </c>
      <c r="T2266" s="10">
        <f t="shared" si="212"/>
        <v>27.382349999999999</v>
      </c>
      <c r="U2266" s="8" t="str">
        <f t="shared" si="213"/>
        <v>Thu</v>
      </c>
      <c r="V2266" s="8" t="str">
        <f t="shared" si="214"/>
        <v>Mon</v>
      </c>
    </row>
    <row r="2267" spans="1:22" hidden="1" x14ac:dyDescent="0.25">
      <c r="A2267" t="s">
        <v>305</v>
      </c>
      <c r="B2267" t="s">
        <v>36</v>
      </c>
      <c r="C2267" t="s">
        <v>7</v>
      </c>
      <c r="D2267" t="s">
        <v>12</v>
      </c>
      <c r="F2267" s="5">
        <v>44203</v>
      </c>
      <c r="G2267" s="5">
        <v>44249</v>
      </c>
      <c r="H2267" s="2">
        <v>2</v>
      </c>
      <c r="I2267" s="6"/>
      <c r="J2267" s="6"/>
      <c r="K2267" s="7">
        <v>1.75</v>
      </c>
      <c r="L2267" s="7">
        <v>151.8099</v>
      </c>
      <c r="M2267" t="s">
        <v>18</v>
      </c>
      <c r="N2267" s="16">
        <f>POWER(SQRT(WorkOrders2710[[#This Row],[WorkDate]]-WorkOrders2710[[#This Row],[ReqDate]]),2)</f>
        <v>46</v>
      </c>
      <c r="O2267" s="8">
        <f t="array" ref="O2267">INDEX(TechRate,MATCH(H2267,TechNum,0))</f>
        <v>140</v>
      </c>
      <c r="P2267" s="10">
        <f>WorkOrders2710[[#This Row],[Techs]]*(WorkOrders2710[[#This Row],[PartsCost]]*WorkOrders2710[[#This Row],[LbrHrs]])</f>
        <v>531.33465000000001</v>
      </c>
      <c r="Q2267" s="10">
        <f t="shared" si="209"/>
        <v>531.33465000000001</v>
      </c>
      <c r="R2267" s="10">
        <f t="shared" si="210"/>
        <v>151.8099</v>
      </c>
      <c r="S2267" s="10">
        <f t="shared" si="211"/>
        <v>683.14454999999998</v>
      </c>
      <c r="T2267" s="10">
        <f t="shared" si="212"/>
        <v>683.14454999999998</v>
      </c>
      <c r="U2267" s="8" t="str">
        <f t="shared" si="213"/>
        <v>Thu</v>
      </c>
      <c r="V2267" s="8" t="str">
        <f t="shared" si="214"/>
        <v>Mon</v>
      </c>
    </row>
    <row r="2268" spans="1:22" hidden="1" x14ac:dyDescent="0.25">
      <c r="A2268" t="s">
        <v>306</v>
      </c>
      <c r="B2268" t="s">
        <v>39</v>
      </c>
      <c r="C2268" t="s">
        <v>9</v>
      </c>
      <c r="D2268" t="s">
        <v>11</v>
      </c>
      <c r="F2268" s="5">
        <v>44204</v>
      </c>
      <c r="G2268" s="5">
        <v>44212</v>
      </c>
      <c r="H2268" s="2">
        <v>1</v>
      </c>
      <c r="I2268" s="6"/>
      <c r="J2268" s="6"/>
      <c r="K2268" s="7">
        <v>0.25</v>
      </c>
      <c r="L2268" s="7">
        <v>85.085899999999995</v>
      </c>
      <c r="M2268" t="s">
        <v>18</v>
      </c>
      <c r="N2268" s="16">
        <f>POWER(SQRT(WorkOrders2710[[#This Row],[WorkDate]]-WorkOrders2710[[#This Row],[ReqDate]]),2)</f>
        <v>8.0000000000000018</v>
      </c>
      <c r="O2268" s="8">
        <f t="array" ref="O2268">INDEX(TechRate,MATCH(H2268,TechNum,0))</f>
        <v>80</v>
      </c>
      <c r="P2268" s="10">
        <f>WorkOrders2710[[#This Row],[Techs]]*(WorkOrders2710[[#This Row],[PartsCost]]*WorkOrders2710[[#This Row],[LbrHrs]])</f>
        <v>21.271474999999999</v>
      </c>
      <c r="Q2268" s="10">
        <f t="shared" si="209"/>
        <v>21.271474999999999</v>
      </c>
      <c r="R2268" s="10">
        <f t="shared" si="210"/>
        <v>85.085899999999995</v>
      </c>
      <c r="S2268" s="10">
        <f t="shared" si="211"/>
        <v>106.35737499999999</v>
      </c>
      <c r="T2268" s="10">
        <f t="shared" si="212"/>
        <v>106.35737499999999</v>
      </c>
      <c r="U2268" s="8" t="str">
        <f t="shared" si="213"/>
        <v>Fri</v>
      </c>
      <c r="V2268" s="8" t="str">
        <f t="shared" si="214"/>
        <v>Sat</v>
      </c>
    </row>
    <row r="2269" spans="1:22" hidden="1" x14ac:dyDescent="0.25">
      <c r="A2269" t="s">
        <v>307</v>
      </c>
      <c r="B2269" t="s">
        <v>37</v>
      </c>
      <c r="C2269" t="s">
        <v>43</v>
      </c>
      <c r="D2269" t="s">
        <v>12</v>
      </c>
      <c r="F2269" s="5">
        <v>44204</v>
      </c>
      <c r="G2269" s="5">
        <v>44228</v>
      </c>
      <c r="H2269" s="2">
        <v>1</v>
      </c>
      <c r="I2269" s="6"/>
      <c r="J2269" s="6"/>
      <c r="K2269" s="7">
        <v>0.25</v>
      </c>
      <c r="L2269" s="7">
        <v>67.067700000000002</v>
      </c>
      <c r="M2269" t="s">
        <v>17</v>
      </c>
      <c r="N2269" s="16">
        <f>POWER(SQRT(WorkOrders2710[[#This Row],[WorkDate]]-WorkOrders2710[[#This Row],[ReqDate]]),2)</f>
        <v>23.999999999999996</v>
      </c>
      <c r="O2269" s="8">
        <f t="array" ref="O2269">INDEX(TechRate,MATCH(H2269,TechNum,0))</f>
        <v>80</v>
      </c>
      <c r="P2269" s="10">
        <f>WorkOrders2710[[#This Row],[Techs]]*(WorkOrders2710[[#This Row],[PartsCost]]*WorkOrders2710[[#This Row],[LbrHrs]])</f>
        <v>16.766925000000001</v>
      </c>
      <c r="Q2269" s="10">
        <f t="shared" si="209"/>
        <v>16.766925000000001</v>
      </c>
      <c r="R2269" s="10">
        <f t="shared" si="210"/>
        <v>67.067700000000002</v>
      </c>
      <c r="S2269" s="10">
        <f t="shared" si="211"/>
        <v>83.834625000000003</v>
      </c>
      <c r="T2269" s="10">
        <f t="shared" si="212"/>
        <v>83.834625000000003</v>
      </c>
      <c r="U2269" s="8" t="str">
        <f t="shared" si="213"/>
        <v>Fri</v>
      </c>
      <c r="V2269" s="8" t="str">
        <f t="shared" si="214"/>
        <v>Mon</v>
      </c>
    </row>
    <row r="2270" spans="1:22" hidden="1" x14ac:dyDescent="0.25">
      <c r="A2270" t="s">
        <v>308</v>
      </c>
      <c r="B2270" t="s">
        <v>37</v>
      </c>
      <c r="C2270" t="s">
        <v>43</v>
      </c>
      <c r="D2270" t="s">
        <v>11</v>
      </c>
      <c r="F2270" s="5">
        <v>44207</v>
      </c>
      <c r="G2270" s="5">
        <v>44217</v>
      </c>
      <c r="H2270" s="2">
        <v>1</v>
      </c>
      <c r="I2270" s="6"/>
      <c r="J2270" s="6"/>
      <c r="K2270" s="7">
        <v>0.25</v>
      </c>
      <c r="L2270" s="7">
        <v>162.20959999999999</v>
      </c>
      <c r="M2270" t="s">
        <v>17</v>
      </c>
      <c r="N2270" s="16">
        <f>POWER(SQRT(WorkOrders2710[[#This Row],[WorkDate]]-WorkOrders2710[[#This Row],[ReqDate]]),2)</f>
        <v>10.000000000000002</v>
      </c>
      <c r="O2270" s="8">
        <f t="array" ref="O2270">INDEX(TechRate,MATCH(H2270,TechNum,0))</f>
        <v>80</v>
      </c>
      <c r="P2270" s="10">
        <f>WorkOrders2710[[#This Row],[Techs]]*(WorkOrders2710[[#This Row],[PartsCost]]*WorkOrders2710[[#This Row],[LbrHrs]])</f>
        <v>40.552399999999999</v>
      </c>
      <c r="Q2270" s="10">
        <f t="shared" si="209"/>
        <v>40.552399999999999</v>
      </c>
      <c r="R2270" s="10">
        <f t="shared" si="210"/>
        <v>162.20959999999999</v>
      </c>
      <c r="S2270" s="10">
        <f t="shared" si="211"/>
        <v>202.762</v>
      </c>
      <c r="T2270" s="10">
        <f t="shared" si="212"/>
        <v>202.762</v>
      </c>
      <c r="U2270" s="8" t="str">
        <f t="shared" si="213"/>
        <v>Mon</v>
      </c>
      <c r="V2270" s="8" t="str">
        <f t="shared" si="214"/>
        <v>Thu</v>
      </c>
    </row>
    <row r="2271" spans="1:22" hidden="1" x14ac:dyDescent="0.25">
      <c r="A2271" t="s">
        <v>309</v>
      </c>
      <c r="B2271" t="s">
        <v>39</v>
      </c>
      <c r="C2271" t="s">
        <v>9</v>
      </c>
      <c r="D2271" t="s">
        <v>1</v>
      </c>
      <c r="F2271" s="5">
        <v>44207</v>
      </c>
      <c r="G2271" s="5">
        <v>44224</v>
      </c>
      <c r="H2271" s="2">
        <v>1</v>
      </c>
      <c r="I2271" s="6"/>
      <c r="J2271" s="6"/>
      <c r="K2271" s="7">
        <v>1.25</v>
      </c>
      <c r="L2271" s="7">
        <v>53.688699999999997</v>
      </c>
      <c r="M2271" t="s">
        <v>17</v>
      </c>
      <c r="N2271" s="16">
        <f>POWER(SQRT(WorkOrders2710[[#This Row],[WorkDate]]-WorkOrders2710[[#This Row],[ReqDate]]),2)</f>
        <v>17</v>
      </c>
      <c r="O2271" s="8">
        <f t="array" ref="O2271">INDEX(TechRate,MATCH(H2271,TechNum,0))</f>
        <v>80</v>
      </c>
      <c r="P2271" s="10">
        <f>WorkOrders2710[[#This Row],[Techs]]*(WorkOrders2710[[#This Row],[PartsCost]]*WorkOrders2710[[#This Row],[LbrHrs]])</f>
        <v>67.110874999999993</v>
      </c>
      <c r="Q2271" s="10">
        <f t="shared" si="209"/>
        <v>67.110874999999993</v>
      </c>
      <c r="R2271" s="10">
        <f t="shared" si="210"/>
        <v>53.688699999999997</v>
      </c>
      <c r="S2271" s="10">
        <f t="shared" si="211"/>
        <v>120.79957499999999</v>
      </c>
      <c r="T2271" s="10">
        <f t="shared" si="212"/>
        <v>120.79957499999999</v>
      </c>
      <c r="U2271" s="8" t="str">
        <f t="shared" si="213"/>
        <v>Mon</v>
      </c>
      <c r="V2271" s="8" t="str">
        <f t="shared" si="214"/>
        <v>Thu</v>
      </c>
    </row>
    <row r="2272" spans="1:22" hidden="1" x14ac:dyDescent="0.25">
      <c r="A2272" t="s">
        <v>310</v>
      </c>
      <c r="B2272" t="s">
        <v>39</v>
      </c>
      <c r="C2272" t="s">
        <v>6</v>
      </c>
      <c r="D2272" t="s">
        <v>12</v>
      </c>
      <c r="F2272" s="5">
        <v>44207</v>
      </c>
      <c r="G2272" s="5">
        <v>44228</v>
      </c>
      <c r="H2272" s="2">
        <v>2</v>
      </c>
      <c r="I2272" s="6"/>
      <c r="J2272" s="6"/>
      <c r="K2272" s="7">
        <v>1</v>
      </c>
      <c r="L2272" s="7">
        <v>211.8477</v>
      </c>
      <c r="M2272" t="s">
        <v>18</v>
      </c>
      <c r="N2272" s="16">
        <f>POWER(SQRT(WorkOrders2710[[#This Row],[WorkDate]]-WorkOrders2710[[#This Row],[ReqDate]]),2)</f>
        <v>21</v>
      </c>
      <c r="O2272" s="8">
        <f t="array" ref="O2272">INDEX(TechRate,MATCH(H2272,TechNum,0))</f>
        <v>140</v>
      </c>
      <c r="P2272" s="10">
        <f>WorkOrders2710[[#This Row],[Techs]]*(WorkOrders2710[[#This Row],[PartsCost]]*WorkOrders2710[[#This Row],[LbrHrs]])</f>
        <v>423.69540000000001</v>
      </c>
      <c r="Q2272" s="10">
        <f t="shared" si="209"/>
        <v>423.69540000000001</v>
      </c>
      <c r="R2272" s="10">
        <f t="shared" si="210"/>
        <v>211.8477</v>
      </c>
      <c r="S2272" s="10">
        <f t="shared" si="211"/>
        <v>635.54309999999998</v>
      </c>
      <c r="T2272" s="10">
        <f t="shared" si="212"/>
        <v>635.54309999999998</v>
      </c>
      <c r="U2272" s="8" t="str">
        <f t="shared" si="213"/>
        <v>Mon</v>
      </c>
      <c r="V2272" s="8" t="str">
        <f t="shared" si="214"/>
        <v>Mon</v>
      </c>
    </row>
    <row r="2273" spans="1:22" hidden="1" x14ac:dyDescent="0.25">
      <c r="A2273" t="s">
        <v>311</v>
      </c>
      <c r="B2273" t="s">
        <v>37</v>
      </c>
      <c r="C2273" t="s">
        <v>43</v>
      </c>
      <c r="D2273" t="s">
        <v>12</v>
      </c>
      <c r="F2273" s="5">
        <v>44207</v>
      </c>
      <c r="G2273" s="5">
        <v>44228</v>
      </c>
      <c r="H2273" s="2">
        <v>1</v>
      </c>
      <c r="I2273" s="6"/>
      <c r="J2273" s="6"/>
      <c r="K2273" s="7">
        <v>0.25</v>
      </c>
      <c r="L2273" s="7">
        <v>150.31899999999999</v>
      </c>
      <c r="M2273" t="s">
        <v>19</v>
      </c>
      <c r="N2273" s="16">
        <f>POWER(SQRT(WorkOrders2710[[#This Row],[WorkDate]]-WorkOrders2710[[#This Row],[ReqDate]]),2)</f>
        <v>21</v>
      </c>
      <c r="O2273" s="8">
        <f t="array" ref="O2273">INDEX(TechRate,MATCH(H2273,TechNum,0))</f>
        <v>80</v>
      </c>
      <c r="P2273" s="10">
        <f>WorkOrders2710[[#This Row],[Techs]]*(WorkOrders2710[[#This Row],[PartsCost]]*WorkOrders2710[[#This Row],[LbrHrs]])</f>
        <v>37.579749999999997</v>
      </c>
      <c r="Q2273" s="10">
        <f t="shared" si="209"/>
        <v>37.579749999999997</v>
      </c>
      <c r="R2273" s="10">
        <f t="shared" si="210"/>
        <v>150.31899999999999</v>
      </c>
      <c r="S2273" s="10">
        <f t="shared" si="211"/>
        <v>187.89874999999998</v>
      </c>
      <c r="T2273" s="10">
        <f t="shared" si="212"/>
        <v>187.89874999999998</v>
      </c>
      <c r="U2273" s="8" t="str">
        <f t="shared" si="213"/>
        <v>Mon</v>
      </c>
      <c r="V2273" s="8" t="str">
        <f t="shared" si="214"/>
        <v>Mon</v>
      </c>
    </row>
    <row r="2274" spans="1:22" hidden="1" x14ac:dyDescent="0.25">
      <c r="A2274" t="s">
        <v>312</v>
      </c>
      <c r="B2274" t="s">
        <v>40</v>
      </c>
      <c r="C2274" t="s">
        <v>7</v>
      </c>
      <c r="D2274" t="s">
        <v>12</v>
      </c>
      <c r="F2274" s="5">
        <v>44207</v>
      </c>
      <c r="G2274" s="5">
        <v>44250</v>
      </c>
      <c r="H2274" s="2">
        <v>2</v>
      </c>
      <c r="I2274" s="6"/>
      <c r="J2274" s="6"/>
      <c r="K2274" s="7">
        <v>0.25</v>
      </c>
      <c r="L2274" s="7">
        <v>46.864899999999999</v>
      </c>
      <c r="M2274" t="s">
        <v>17</v>
      </c>
      <c r="N2274" s="16">
        <f>POWER(SQRT(WorkOrders2710[[#This Row],[WorkDate]]-WorkOrders2710[[#This Row],[ReqDate]]),2)</f>
        <v>42.999999999999993</v>
      </c>
      <c r="O2274" s="8">
        <f t="array" ref="O2274">INDEX(TechRate,MATCH(H2274,TechNum,0))</f>
        <v>140</v>
      </c>
      <c r="P2274" s="10">
        <f>WorkOrders2710[[#This Row],[Techs]]*(WorkOrders2710[[#This Row],[PartsCost]]*WorkOrders2710[[#This Row],[LbrHrs]])</f>
        <v>23.432449999999999</v>
      </c>
      <c r="Q2274" s="10">
        <f t="shared" si="209"/>
        <v>23.432449999999999</v>
      </c>
      <c r="R2274" s="10">
        <f t="shared" si="210"/>
        <v>46.864899999999999</v>
      </c>
      <c r="S2274" s="10">
        <f t="shared" si="211"/>
        <v>70.297349999999994</v>
      </c>
      <c r="T2274" s="10">
        <f t="shared" si="212"/>
        <v>70.297349999999994</v>
      </c>
      <c r="U2274" s="8" t="str">
        <f t="shared" si="213"/>
        <v>Mon</v>
      </c>
      <c r="V2274" s="8" t="str">
        <f t="shared" si="214"/>
        <v>Tue</v>
      </c>
    </row>
    <row r="2275" spans="1:22" hidden="1" x14ac:dyDescent="0.25">
      <c r="A2275" t="s">
        <v>313</v>
      </c>
      <c r="B2275" t="s">
        <v>37</v>
      </c>
      <c r="C2275" t="s">
        <v>43</v>
      </c>
      <c r="D2275" t="s">
        <v>12</v>
      </c>
      <c r="F2275" s="5">
        <v>44208</v>
      </c>
      <c r="G2275" s="5">
        <v>44217</v>
      </c>
      <c r="H2275" s="2">
        <v>1</v>
      </c>
      <c r="I2275" s="6"/>
      <c r="J2275" s="6"/>
      <c r="K2275" s="7">
        <v>0.25</v>
      </c>
      <c r="L2275" s="7">
        <v>19.5</v>
      </c>
      <c r="M2275" t="s">
        <v>19</v>
      </c>
      <c r="N2275" s="16">
        <f>POWER(SQRT(WorkOrders2710[[#This Row],[WorkDate]]-WorkOrders2710[[#This Row],[ReqDate]]),2)</f>
        <v>9</v>
      </c>
      <c r="O2275" s="8">
        <f t="array" ref="O2275">INDEX(TechRate,MATCH(H2275,TechNum,0))</f>
        <v>80</v>
      </c>
      <c r="P2275" s="10">
        <f>WorkOrders2710[[#This Row],[Techs]]*(WorkOrders2710[[#This Row],[PartsCost]]*WorkOrders2710[[#This Row],[LbrHrs]])</f>
        <v>4.875</v>
      </c>
      <c r="Q2275" s="10">
        <f t="shared" si="209"/>
        <v>4.875</v>
      </c>
      <c r="R2275" s="10">
        <f t="shared" si="210"/>
        <v>19.5</v>
      </c>
      <c r="S2275" s="10">
        <f t="shared" si="211"/>
        <v>24.375</v>
      </c>
      <c r="T2275" s="10">
        <f t="shared" si="212"/>
        <v>24.375</v>
      </c>
      <c r="U2275" s="8" t="str">
        <f t="shared" si="213"/>
        <v>Tue</v>
      </c>
      <c r="V2275" s="8" t="str">
        <f t="shared" si="214"/>
        <v>Thu</v>
      </c>
    </row>
    <row r="2276" spans="1:22" hidden="1" x14ac:dyDescent="0.25">
      <c r="A2276" t="s">
        <v>314</v>
      </c>
      <c r="B2276" t="s">
        <v>34</v>
      </c>
      <c r="C2276" t="s">
        <v>44</v>
      </c>
      <c r="D2276" t="s">
        <v>13</v>
      </c>
      <c r="F2276" s="5">
        <v>44208</v>
      </c>
      <c r="G2276" s="5">
        <v>44215</v>
      </c>
      <c r="H2276" s="2">
        <v>1</v>
      </c>
      <c r="I2276" s="6"/>
      <c r="J2276" s="6"/>
      <c r="K2276" s="7">
        <v>1.25</v>
      </c>
      <c r="L2276" s="7">
        <v>256.71809999999999</v>
      </c>
      <c r="M2276" t="s">
        <v>18</v>
      </c>
      <c r="N2276" s="16">
        <f>POWER(SQRT(WorkOrders2710[[#This Row],[WorkDate]]-WorkOrders2710[[#This Row],[ReqDate]]),2)</f>
        <v>7.0000000000000009</v>
      </c>
      <c r="O2276" s="8">
        <f t="array" ref="O2276">INDEX(TechRate,MATCH(H2276,TechNum,0))</f>
        <v>80</v>
      </c>
      <c r="P2276" s="10">
        <f>WorkOrders2710[[#This Row],[Techs]]*(WorkOrders2710[[#This Row],[PartsCost]]*WorkOrders2710[[#This Row],[LbrHrs]])</f>
        <v>320.89762500000001</v>
      </c>
      <c r="Q2276" s="10">
        <f t="shared" si="209"/>
        <v>320.89762500000001</v>
      </c>
      <c r="R2276" s="10">
        <f t="shared" si="210"/>
        <v>256.71809999999999</v>
      </c>
      <c r="S2276" s="10">
        <f t="shared" si="211"/>
        <v>577.615725</v>
      </c>
      <c r="T2276" s="10">
        <f t="shared" si="212"/>
        <v>577.615725</v>
      </c>
      <c r="U2276" s="8" t="str">
        <f t="shared" si="213"/>
        <v>Tue</v>
      </c>
      <c r="V2276" s="8" t="str">
        <f t="shared" si="214"/>
        <v>Tue</v>
      </c>
    </row>
    <row r="2277" spans="1:22" hidden="1" x14ac:dyDescent="0.25">
      <c r="A2277" t="s">
        <v>315</v>
      </c>
      <c r="B2277" t="s">
        <v>35</v>
      </c>
      <c r="C2277" t="s">
        <v>8</v>
      </c>
      <c r="D2277" t="s">
        <v>13</v>
      </c>
      <c r="F2277" s="5">
        <v>44209</v>
      </c>
      <c r="G2277" s="5">
        <v>44226</v>
      </c>
      <c r="H2277" s="2">
        <v>1</v>
      </c>
      <c r="I2277" s="6"/>
      <c r="J2277" s="6"/>
      <c r="K2277" s="7">
        <v>1</v>
      </c>
      <c r="L2277" s="7">
        <v>86.293499999999995</v>
      </c>
      <c r="M2277" t="s">
        <v>18</v>
      </c>
      <c r="N2277" s="16">
        <f>POWER(SQRT(WorkOrders2710[[#This Row],[WorkDate]]-WorkOrders2710[[#This Row],[ReqDate]]),2)</f>
        <v>17</v>
      </c>
      <c r="O2277" s="8">
        <f t="array" ref="O2277">INDEX(TechRate,MATCH(H2277,TechNum,0))</f>
        <v>80</v>
      </c>
      <c r="P2277" s="10">
        <f>WorkOrders2710[[#This Row],[Techs]]*(WorkOrders2710[[#This Row],[PartsCost]]*WorkOrders2710[[#This Row],[LbrHrs]])</f>
        <v>86.293499999999995</v>
      </c>
      <c r="Q2277" s="10">
        <f t="shared" si="209"/>
        <v>86.293499999999995</v>
      </c>
      <c r="R2277" s="10">
        <f t="shared" si="210"/>
        <v>86.293499999999995</v>
      </c>
      <c r="S2277" s="10">
        <f t="shared" si="211"/>
        <v>172.58699999999999</v>
      </c>
      <c r="T2277" s="10">
        <f t="shared" si="212"/>
        <v>172.58699999999999</v>
      </c>
      <c r="U2277" s="8" t="str">
        <f t="shared" si="213"/>
        <v>Wed</v>
      </c>
      <c r="V2277" s="8" t="str">
        <f t="shared" si="214"/>
        <v>Sat</v>
      </c>
    </row>
    <row r="2278" spans="1:22" hidden="1" x14ac:dyDescent="0.25">
      <c r="A2278" t="s">
        <v>316</v>
      </c>
      <c r="B2278" t="s">
        <v>37</v>
      </c>
      <c r="C2278" t="s">
        <v>43</v>
      </c>
      <c r="D2278" t="s">
        <v>12</v>
      </c>
      <c r="F2278" s="5">
        <v>44210</v>
      </c>
      <c r="G2278" s="5">
        <v>44215</v>
      </c>
      <c r="H2278" s="2">
        <v>1</v>
      </c>
      <c r="I2278" s="6"/>
      <c r="J2278" s="6"/>
      <c r="K2278" s="7">
        <v>0.25</v>
      </c>
      <c r="L2278" s="7">
        <v>108.3061</v>
      </c>
      <c r="M2278" t="s">
        <v>19</v>
      </c>
      <c r="N2278" s="16">
        <f>POWER(SQRT(WorkOrders2710[[#This Row],[WorkDate]]-WorkOrders2710[[#This Row],[ReqDate]]),2)</f>
        <v>5.0000000000000009</v>
      </c>
      <c r="O2278" s="8">
        <f t="array" ref="O2278">INDEX(TechRate,MATCH(H2278,TechNum,0))</f>
        <v>80</v>
      </c>
      <c r="P2278" s="10">
        <f>WorkOrders2710[[#This Row],[Techs]]*(WorkOrders2710[[#This Row],[PartsCost]]*WorkOrders2710[[#This Row],[LbrHrs]])</f>
        <v>27.076525</v>
      </c>
      <c r="Q2278" s="10">
        <f t="shared" si="209"/>
        <v>27.076525</v>
      </c>
      <c r="R2278" s="10">
        <f t="shared" si="210"/>
        <v>108.3061</v>
      </c>
      <c r="S2278" s="10">
        <f t="shared" si="211"/>
        <v>135.38262499999999</v>
      </c>
      <c r="T2278" s="10">
        <f t="shared" si="212"/>
        <v>135.38262499999999</v>
      </c>
      <c r="U2278" s="8" t="str">
        <f t="shared" si="213"/>
        <v>Thu</v>
      </c>
      <c r="V2278" s="8" t="str">
        <f t="shared" si="214"/>
        <v>Tue</v>
      </c>
    </row>
    <row r="2279" spans="1:22" hidden="1" x14ac:dyDescent="0.25">
      <c r="A2279" t="s">
        <v>317</v>
      </c>
      <c r="B2279" t="s">
        <v>39</v>
      </c>
      <c r="C2279" t="s">
        <v>44</v>
      </c>
      <c r="D2279" t="s">
        <v>12</v>
      </c>
      <c r="F2279" s="5">
        <v>44210</v>
      </c>
      <c r="G2279" s="5">
        <v>44221</v>
      </c>
      <c r="H2279" s="2">
        <v>1</v>
      </c>
      <c r="I2279" s="6"/>
      <c r="J2279" s="6"/>
      <c r="K2279" s="7">
        <v>0.25</v>
      </c>
      <c r="L2279" s="7">
        <v>70.8215</v>
      </c>
      <c r="M2279" t="s">
        <v>18</v>
      </c>
      <c r="N2279" s="16">
        <f>POWER(SQRT(WorkOrders2710[[#This Row],[WorkDate]]-WorkOrders2710[[#This Row],[ReqDate]]),2)</f>
        <v>11</v>
      </c>
      <c r="O2279" s="8">
        <f t="array" ref="O2279">INDEX(TechRate,MATCH(H2279,TechNum,0))</f>
        <v>80</v>
      </c>
      <c r="P2279" s="10">
        <f>WorkOrders2710[[#This Row],[Techs]]*(WorkOrders2710[[#This Row],[PartsCost]]*WorkOrders2710[[#This Row],[LbrHrs]])</f>
        <v>17.705375</v>
      </c>
      <c r="Q2279" s="10">
        <f t="shared" si="209"/>
        <v>17.705375</v>
      </c>
      <c r="R2279" s="10">
        <f t="shared" si="210"/>
        <v>70.8215</v>
      </c>
      <c r="S2279" s="10">
        <f t="shared" si="211"/>
        <v>88.526875000000004</v>
      </c>
      <c r="T2279" s="10">
        <f t="shared" si="212"/>
        <v>88.526875000000004</v>
      </c>
      <c r="U2279" s="8" t="str">
        <f t="shared" si="213"/>
        <v>Thu</v>
      </c>
      <c r="V2279" s="8" t="str">
        <f t="shared" si="214"/>
        <v>Mon</v>
      </c>
    </row>
    <row r="2280" spans="1:22" hidden="1" x14ac:dyDescent="0.25">
      <c r="A2280" t="s">
        <v>318</v>
      </c>
      <c r="B2280" t="s">
        <v>37</v>
      </c>
      <c r="C2280" t="s">
        <v>43</v>
      </c>
      <c r="D2280" t="s">
        <v>12</v>
      </c>
      <c r="E2280" t="s">
        <v>3</v>
      </c>
      <c r="F2280" s="5">
        <v>44210</v>
      </c>
      <c r="G2280" s="5">
        <v>44228</v>
      </c>
      <c r="H2280" s="2">
        <v>1</v>
      </c>
      <c r="I2280" s="6"/>
      <c r="J2280" s="6"/>
      <c r="K2280" s="7">
        <v>0.5</v>
      </c>
      <c r="L2280" s="7">
        <v>56.919600000000003</v>
      </c>
      <c r="M2280" t="s">
        <v>17</v>
      </c>
      <c r="N2280" s="16">
        <f>POWER(SQRT(WorkOrders2710[[#This Row],[WorkDate]]-WorkOrders2710[[#This Row],[ReqDate]]),2)</f>
        <v>17.999999999999996</v>
      </c>
      <c r="O2280" s="8">
        <f t="array" ref="O2280">INDEX(TechRate,MATCH(H2280,TechNum,0))</f>
        <v>80</v>
      </c>
      <c r="P2280" s="10">
        <f>WorkOrders2710[[#This Row],[Techs]]*(WorkOrders2710[[#This Row],[PartsCost]]*WorkOrders2710[[#This Row],[LbrHrs]])</f>
        <v>28.459800000000001</v>
      </c>
      <c r="Q2280" s="10">
        <f t="shared" si="209"/>
        <v>28.459800000000001</v>
      </c>
      <c r="R2280" s="10">
        <f t="shared" si="210"/>
        <v>56.919600000000003</v>
      </c>
      <c r="S2280" s="10">
        <f t="shared" si="211"/>
        <v>85.379400000000004</v>
      </c>
      <c r="T2280" s="10">
        <f t="shared" si="212"/>
        <v>85.379400000000004</v>
      </c>
      <c r="U2280" s="8" t="str">
        <f t="shared" si="213"/>
        <v>Thu</v>
      </c>
      <c r="V2280" s="8" t="str">
        <f t="shared" si="214"/>
        <v>Mon</v>
      </c>
    </row>
    <row r="2281" spans="1:22" hidden="1" x14ac:dyDescent="0.25">
      <c r="A2281" t="s">
        <v>319</v>
      </c>
      <c r="B2281" t="s">
        <v>35</v>
      </c>
      <c r="C2281" t="s">
        <v>9</v>
      </c>
      <c r="D2281" t="s">
        <v>12</v>
      </c>
      <c r="F2281" s="5">
        <v>44210</v>
      </c>
      <c r="G2281" s="5">
        <v>44232</v>
      </c>
      <c r="H2281" s="2">
        <v>2</v>
      </c>
      <c r="I2281" s="6"/>
      <c r="J2281" s="6"/>
      <c r="K2281" s="7">
        <v>0.5</v>
      </c>
      <c r="L2281" s="7">
        <v>74.532399999999996</v>
      </c>
      <c r="M2281" t="s">
        <v>18</v>
      </c>
      <c r="N2281" s="16">
        <f>POWER(SQRT(WorkOrders2710[[#This Row],[WorkDate]]-WorkOrders2710[[#This Row],[ReqDate]]),2)</f>
        <v>22</v>
      </c>
      <c r="O2281" s="8">
        <f t="array" ref="O2281">INDEX(TechRate,MATCH(H2281,TechNum,0))</f>
        <v>140</v>
      </c>
      <c r="P2281" s="10">
        <f>WorkOrders2710[[#This Row],[Techs]]*(WorkOrders2710[[#This Row],[PartsCost]]*WorkOrders2710[[#This Row],[LbrHrs]])</f>
        <v>74.532399999999996</v>
      </c>
      <c r="Q2281" s="10">
        <f t="shared" si="209"/>
        <v>74.532399999999996</v>
      </c>
      <c r="R2281" s="10">
        <f t="shared" si="210"/>
        <v>74.532399999999996</v>
      </c>
      <c r="S2281" s="10">
        <f t="shared" si="211"/>
        <v>149.06479999999999</v>
      </c>
      <c r="T2281" s="10">
        <f t="shared" si="212"/>
        <v>149.06479999999999</v>
      </c>
      <c r="U2281" s="8" t="str">
        <f t="shared" si="213"/>
        <v>Thu</v>
      </c>
      <c r="V2281" s="8" t="str">
        <f t="shared" si="214"/>
        <v>Fri</v>
      </c>
    </row>
    <row r="2282" spans="1:22" hidden="1" x14ac:dyDescent="0.25">
      <c r="A2282" t="s">
        <v>320</v>
      </c>
      <c r="B2282" t="s">
        <v>36</v>
      </c>
      <c r="C2282" t="s">
        <v>7</v>
      </c>
      <c r="D2282" t="s">
        <v>12</v>
      </c>
      <c r="F2282" s="5">
        <v>44210</v>
      </c>
      <c r="G2282" s="5">
        <v>44242</v>
      </c>
      <c r="H2282" s="2">
        <v>2</v>
      </c>
      <c r="I2282" s="6"/>
      <c r="J2282" s="6"/>
      <c r="K2282" s="7">
        <v>0.5</v>
      </c>
      <c r="L2282" s="7">
        <v>137.22</v>
      </c>
      <c r="M2282" t="s">
        <v>17</v>
      </c>
      <c r="N2282" s="16">
        <f>POWER(SQRT(WorkOrders2710[[#This Row],[WorkDate]]-WorkOrders2710[[#This Row],[ReqDate]]),2)</f>
        <v>32.000000000000007</v>
      </c>
      <c r="O2282" s="8">
        <f t="array" ref="O2282">INDEX(TechRate,MATCH(H2282,TechNum,0))</f>
        <v>140</v>
      </c>
      <c r="P2282" s="10">
        <f>WorkOrders2710[[#This Row],[Techs]]*(WorkOrders2710[[#This Row],[PartsCost]]*WorkOrders2710[[#This Row],[LbrHrs]])</f>
        <v>137.22</v>
      </c>
      <c r="Q2282" s="10">
        <f t="shared" si="209"/>
        <v>137.22</v>
      </c>
      <c r="R2282" s="10">
        <f t="shared" si="210"/>
        <v>137.22</v>
      </c>
      <c r="S2282" s="10">
        <f t="shared" si="211"/>
        <v>274.44</v>
      </c>
      <c r="T2282" s="10">
        <f t="shared" si="212"/>
        <v>274.44</v>
      </c>
      <c r="U2282" s="8" t="str">
        <f t="shared" si="213"/>
        <v>Thu</v>
      </c>
      <c r="V2282" s="8" t="str">
        <f t="shared" si="214"/>
        <v>Mon</v>
      </c>
    </row>
    <row r="2283" spans="1:22" hidden="1" x14ac:dyDescent="0.25">
      <c r="A2283" t="s">
        <v>321</v>
      </c>
      <c r="B2283" t="s">
        <v>35</v>
      </c>
      <c r="C2283" t="s">
        <v>44</v>
      </c>
      <c r="D2283" t="s">
        <v>12</v>
      </c>
      <c r="E2283" t="s">
        <v>3</v>
      </c>
      <c r="F2283" s="5">
        <v>44211</v>
      </c>
      <c r="G2283" s="5">
        <v>44228</v>
      </c>
      <c r="H2283" s="2">
        <v>2</v>
      </c>
      <c r="I2283" s="6"/>
      <c r="J2283" s="6"/>
      <c r="K2283" s="7">
        <v>0.5</v>
      </c>
      <c r="L2283" s="7">
        <v>83.462900000000005</v>
      </c>
      <c r="M2283" t="s">
        <v>17</v>
      </c>
      <c r="N2283" s="16">
        <f>POWER(SQRT(WorkOrders2710[[#This Row],[WorkDate]]-WorkOrders2710[[#This Row],[ReqDate]]),2)</f>
        <v>17</v>
      </c>
      <c r="O2283" s="8">
        <f t="array" ref="O2283">INDEX(TechRate,MATCH(H2283,TechNum,0))</f>
        <v>140</v>
      </c>
      <c r="P2283" s="10">
        <f>WorkOrders2710[[#This Row],[Techs]]*(WorkOrders2710[[#This Row],[PartsCost]]*WorkOrders2710[[#This Row],[LbrHrs]])</f>
        <v>83.462900000000005</v>
      </c>
      <c r="Q2283" s="10">
        <f t="shared" si="209"/>
        <v>83.462900000000005</v>
      </c>
      <c r="R2283" s="10">
        <f t="shared" si="210"/>
        <v>83.462900000000005</v>
      </c>
      <c r="S2283" s="10">
        <f t="shared" si="211"/>
        <v>166.92580000000001</v>
      </c>
      <c r="T2283" s="10">
        <f t="shared" si="212"/>
        <v>166.92580000000001</v>
      </c>
      <c r="U2283" s="8" t="str">
        <f t="shared" si="213"/>
        <v>Fri</v>
      </c>
      <c r="V2283" s="8" t="str">
        <f t="shared" si="214"/>
        <v>Mon</v>
      </c>
    </row>
    <row r="2284" spans="1:22" hidden="1" x14ac:dyDescent="0.25">
      <c r="A2284" t="s">
        <v>322</v>
      </c>
      <c r="B2284" t="s">
        <v>38</v>
      </c>
      <c r="C2284" t="s">
        <v>8</v>
      </c>
      <c r="D2284" t="s">
        <v>12</v>
      </c>
      <c r="F2284" s="5">
        <v>44212</v>
      </c>
      <c r="G2284" s="5">
        <v>44230</v>
      </c>
      <c r="H2284" s="2">
        <v>1</v>
      </c>
      <c r="I2284" s="6"/>
      <c r="J2284" s="6"/>
      <c r="K2284" s="7">
        <v>1</v>
      </c>
      <c r="L2284" s="7">
        <v>9.92</v>
      </c>
      <c r="M2284" t="s">
        <v>19</v>
      </c>
      <c r="N2284" s="16">
        <f>POWER(SQRT(WorkOrders2710[[#This Row],[WorkDate]]-WorkOrders2710[[#This Row],[ReqDate]]),2)</f>
        <v>17.999999999999996</v>
      </c>
      <c r="O2284" s="8">
        <f t="array" ref="O2284">INDEX(TechRate,MATCH(H2284,TechNum,0))</f>
        <v>80</v>
      </c>
      <c r="P2284" s="10">
        <f>WorkOrders2710[[#This Row],[Techs]]*(WorkOrders2710[[#This Row],[PartsCost]]*WorkOrders2710[[#This Row],[LbrHrs]])</f>
        <v>9.92</v>
      </c>
      <c r="Q2284" s="10">
        <f t="shared" si="209"/>
        <v>9.92</v>
      </c>
      <c r="R2284" s="10">
        <f t="shared" si="210"/>
        <v>9.92</v>
      </c>
      <c r="S2284" s="10">
        <f t="shared" si="211"/>
        <v>19.84</v>
      </c>
      <c r="T2284" s="10">
        <f t="shared" si="212"/>
        <v>19.84</v>
      </c>
      <c r="U2284" s="8" t="str">
        <f t="shared" si="213"/>
        <v>Sat</v>
      </c>
      <c r="V2284" s="8" t="str">
        <f t="shared" si="214"/>
        <v>Wed</v>
      </c>
    </row>
    <row r="2285" spans="1:22" hidden="1" x14ac:dyDescent="0.25">
      <c r="A2285" t="s">
        <v>323</v>
      </c>
      <c r="B2285" t="s">
        <v>39</v>
      </c>
      <c r="C2285" t="s">
        <v>44</v>
      </c>
      <c r="D2285" t="s">
        <v>12</v>
      </c>
      <c r="F2285" s="5">
        <v>44214</v>
      </c>
      <c r="G2285" s="5">
        <v>44221</v>
      </c>
      <c r="H2285" s="2">
        <v>1</v>
      </c>
      <c r="I2285" s="6"/>
      <c r="J2285" s="6"/>
      <c r="K2285" s="7">
        <v>0.25</v>
      </c>
      <c r="L2285" s="7">
        <v>72.350099999999998</v>
      </c>
      <c r="M2285" t="s">
        <v>18</v>
      </c>
      <c r="N2285" s="16">
        <f>POWER(SQRT(WorkOrders2710[[#This Row],[WorkDate]]-WorkOrders2710[[#This Row],[ReqDate]]),2)</f>
        <v>7.0000000000000009</v>
      </c>
      <c r="O2285" s="8">
        <f t="array" ref="O2285">INDEX(TechRate,MATCH(H2285,TechNum,0))</f>
        <v>80</v>
      </c>
      <c r="P2285" s="10">
        <f>WorkOrders2710[[#This Row],[Techs]]*(WorkOrders2710[[#This Row],[PartsCost]]*WorkOrders2710[[#This Row],[LbrHrs]])</f>
        <v>18.087524999999999</v>
      </c>
      <c r="Q2285" s="10">
        <f t="shared" si="209"/>
        <v>18.087524999999999</v>
      </c>
      <c r="R2285" s="10">
        <f t="shared" si="210"/>
        <v>72.350099999999998</v>
      </c>
      <c r="S2285" s="10">
        <f t="shared" si="211"/>
        <v>90.437624999999997</v>
      </c>
      <c r="T2285" s="10">
        <f t="shared" si="212"/>
        <v>90.437624999999997</v>
      </c>
      <c r="U2285" s="8" t="str">
        <f t="shared" si="213"/>
        <v>Mon</v>
      </c>
      <c r="V2285" s="8" t="str">
        <f t="shared" si="214"/>
        <v>Mon</v>
      </c>
    </row>
    <row r="2286" spans="1:22" hidden="1" x14ac:dyDescent="0.25">
      <c r="A2286" t="s">
        <v>324</v>
      </c>
      <c r="B2286" t="s">
        <v>35</v>
      </c>
      <c r="C2286" t="s">
        <v>44</v>
      </c>
      <c r="D2286" t="s">
        <v>11</v>
      </c>
      <c r="E2286" t="s">
        <v>3</v>
      </c>
      <c r="F2286" s="5">
        <v>44214</v>
      </c>
      <c r="G2286" s="5">
        <v>44223</v>
      </c>
      <c r="H2286" s="2">
        <v>1</v>
      </c>
      <c r="I2286" s="6"/>
      <c r="J2286" s="6"/>
      <c r="K2286" s="7">
        <v>0.25</v>
      </c>
      <c r="L2286" s="7">
        <v>19.9801</v>
      </c>
      <c r="M2286" t="s">
        <v>17</v>
      </c>
      <c r="N2286" s="16">
        <f>POWER(SQRT(WorkOrders2710[[#This Row],[WorkDate]]-WorkOrders2710[[#This Row],[ReqDate]]),2)</f>
        <v>9</v>
      </c>
      <c r="O2286" s="8">
        <f t="array" ref="O2286">INDEX(TechRate,MATCH(H2286,TechNum,0))</f>
        <v>80</v>
      </c>
      <c r="P2286" s="10">
        <f>WorkOrders2710[[#This Row],[Techs]]*(WorkOrders2710[[#This Row],[PartsCost]]*WorkOrders2710[[#This Row],[LbrHrs]])</f>
        <v>4.995025</v>
      </c>
      <c r="Q2286" s="10">
        <f t="shared" si="209"/>
        <v>4.995025</v>
      </c>
      <c r="R2286" s="10">
        <f t="shared" si="210"/>
        <v>19.9801</v>
      </c>
      <c r="S2286" s="10">
        <f t="shared" si="211"/>
        <v>24.975124999999998</v>
      </c>
      <c r="T2286" s="10">
        <f t="shared" si="212"/>
        <v>24.975124999999998</v>
      </c>
      <c r="U2286" s="8" t="str">
        <f t="shared" si="213"/>
        <v>Mon</v>
      </c>
      <c r="V2286" s="8" t="str">
        <f t="shared" si="214"/>
        <v>Wed</v>
      </c>
    </row>
    <row r="2287" spans="1:22" hidden="1" x14ac:dyDescent="0.25">
      <c r="A2287" t="s">
        <v>325</v>
      </c>
      <c r="B2287" t="s">
        <v>40</v>
      </c>
      <c r="C2287" t="s">
        <v>7</v>
      </c>
      <c r="D2287" t="s">
        <v>2</v>
      </c>
      <c r="F2287" s="5">
        <v>44214</v>
      </c>
      <c r="G2287" s="5">
        <v>44229</v>
      </c>
      <c r="H2287" s="2">
        <v>2</v>
      </c>
      <c r="I2287" s="6"/>
      <c r="J2287" s="6"/>
      <c r="K2287" s="7">
        <v>1.25</v>
      </c>
      <c r="L2287" s="7">
        <v>85.32</v>
      </c>
      <c r="M2287" t="s">
        <v>17</v>
      </c>
      <c r="N2287" s="16">
        <f>POWER(SQRT(WorkOrders2710[[#This Row],[WorkDate]]-WorkOrders2710[[#This Row],[ReqDate]]),2)</f>
        <v>15.000000000000002</v>
      </c>
      <c r="O2287" s="8">
        <f t="array" ref="O2287">INDEX(TechRate,MATCH(H2287,TechNum,0))</f>
        <v>140</v>
      </c>
      <c r="P2287" s="10">
        <f>WorkOrders2710[[#This Row],[Techs]]*(WorkOrders2710[[#This Row],[PartsCost]]*WorkOrders2710[[#This Row],[LbrHrs]])</f>
        <v>213.29999999999998</v>
      </c>
      <c r="Q2287" s="10">
        <f t="shared" si="209"/>
        <v>213.29999999999998</v>
      </c>
      <c r="R2287" s="10">
        <f t="shared" si="210"/>
        <v>85.32</v>
      </c>
      <c r="S2287" s="10">
        <f t="shared" si="211"/>
        <v>298.62</v>
      </c>
      <c r="T2287" s="10">
        <f t="shared" si="212"/>
        <v>298.62</v>
      </c>
      <c r="U2287" s="8" t="str">
        <f t="shared" si="213"/>
        <v>Mon</v>
      </c>
      <c r="V2287" s="8" t="str">
        <f t="shared" si="214"/>
        <v>Tue</v>
      </c>
    </row>
    <row r="2288" spans="1:22" hidden="1" x14ac:dyDescent="0.25">
      <c r="A2288" t="s">
        <v>326</v>
      </c>
      <c r="B2288" t="s">
        <v>38</v>
      </c>
      <c r="C2288" t="s">
        <v>8</v>
      </c>
      <c r="D2288" t="s">
        <v>12</v>
      </c>
      <c r="F2288" s="5">
        <v>44214</v>
      </c>
      <c r="G2288" s="5">
        <v>44256</v>
      </c>
      <c r="H2288" s="2">
        <v>1</v>
      </c>
      <c r="I2288" s="6"/>
      <c r="J2288" s="6"/>
      <c r="K2288" s="7">
        <v>0.5</v>
      </c>
      <c r="L2288" s="7">
        <v>180</v>
      </c>
      <c r="M2288" t="s">
        <v>19</v>
      </c>
      <c r="N2288" s="16">
        <f>POWER(SQRT(WorkOrders2710[[#This Row],[WorkDate]]-WorkOrders2710[[#This Row],[ReqDate]]),2)</f>
        <v>42</v>
      </c>
      <c r="O2288" s="8">
        <f t="array" ref="O2288">INDEX(TechRate,MATCH(H2288,TechNum,0))</f>
        <v>80</v>
      </c>
      <c r="P2288" s="10">
        <f>WorkOrders2710[[#This Row],[Techs]]*(WorkOrders2710[[#This Row],[PartsCost]]*WorkOrders2710[[#This Row],[LbrHrs]])</f>
        <v>90</v>
      </c>
      <c r="Q2288" s="10">
        <f t="shared" si="209"/>
        <v>90</v>
      </c>
      <c r="R2288" s="10">
        <f t="shared" si="210"/>
        <v>180</v>
      </c>
      <c r="S2288" s="10">
        <f t="shared" si="211"/>
        <v>270</v>
      </c>
      <c r="T2288" s="10">
        <f t="shared" si="212"/>
        <v>270</v>
      </c>
      <c r="U2288" s="8" t="str">
        <f t="shared" si="213"/>
        <v>Mon</v>
      </c>
      <c r="V2288" s="8" t="str">
        <f t="shared" si="214"/>
        <v>Mon</v>
      </c>
    </row>
    <row r="2289" spans="1:22" hidden="1" x14ac:dyDescent="0.25">
      <c r="A2289" t="s">
        <v>327</v>
      </c>
      <c r="B2289" t="s">
        <v>40</v>
      </c>
      <c r="C2289" t="s">
        <v>7</v>
      </c>
      <c r="D2289" t="s">
        <v>12</v>
      </c>
      <c r="F2289" s="5">
        <v>44215</v>
      </c>
      <c r="G2289" s="5">
        <v>44231</v>
      </c>
      <c r="H2289" s="2">
        <v>2</v>
      </c>
      <c r="I2289" s="6"/>
      <c r="J2289" s="6"/>
      <c r="K2289" s="7">
        <v>0.25</v>
      </c>
      <c r="L2289" s="7">
        <v>52.350099999999998</v>
      </c>
      <c r="M2289" t="s">
        <v>17</v>
      </c>
      <c r="N2289" s="16">
        <f>POWER(SQRT(WorkOrders2710[[#This Row],[WorkDate]]-WorkOrders2710[[#This Row],[ReqDate]]),2)</f>
        <v>16</v>
      </c>
      <c r="O2289" s="8">
        <f t="array" ref="O2289">INDEX(TechRate,MATCH(H2289,TechNum,0))</f>
        <v>140</v>
      </c>
      <c r="P2289" s="10">
        <f>WorkOrders2710[[#This Row],[Techs]]*(WorkOrders2710[[#This Row],[PartsCost]]*WorkOrders2710[[#This Row],[LbrHrs]])</f>
        <v>26.175049999999999</v>
      </c>
      <c r="Q2289" s="10">
        <f t="shared" si="209"/>
        <v>26.175049999999999</v>
      </c>
      <c r="R2289" s="10">
        <f t="shared" si="210"/>
        <v>52.350099999999998</v>
      </c>
      <c r="S2289" s="10">
        <f t="shared" si="211"/>
        <v>78.525149999999996</v>
      </c>
      <c r="T2289" s="10">
        <f t="shared" si="212"/>
        <v>78.525149999999996</v>
      </c>
      <c r="U2289" s="8" t="str">
        <f t="shared" si="213"/>
        <v>Tue</v>
      </c>
      <c r="V2289" s="8" t="str">
        <f t="shared" si="214"/>
        <v>Thu</v>
      </c>
    </row>
    <row r="2290" spans="1:22" hidden="1" x14ac:dyDescent="0.25">
      <c r="A2290" t="s">
        <v>328</v>
      </c>
      <c r="B2290" t="s">
        <v>40</v>
      </c>
      <c r="C2290" t="s">
        <v>7</v>
      </c>
      <c r="D2290" t="s">
        <v>12</v>
      </c>
      <c r="F2290" s="5">
        <v>44215</v>
      </c>
      <c r="G2290" s="5">
        <v>44236</v>
      </c>
      <c r="H2290" s="2">
        <v>2</v>
      </c>
      <c r="I2290" s="6"/>
      <c r="J2290" s="6"/>
      <c r="K2290" s="7">
        <v>0.5</v>
      </c>
      <c r="L2290" s="7">
        <v>45.293500000000002</v>
      </c>
      <c r="M2290" t="s">
        <v>17</v>
      </c>
      <c r="N2290" s="16">
        <f>POWER(SQRT(WorkOrders2710[[#This Row],[WorkDate]]-WorkOrders2710[[#This Row],[ReqDate]]),2)</f>
        <v>21</v>
      </c>
      <c r="O2290" s="8">
        <f t="array" ref="O2290">INDEX(TechRate,MATCH(H2290,TechNum,0))</f>
        <v>140</v>
      </c>
      <c r="P2290" s="10">
        <f>WorkOrders2710[[#This Row],[Techs]]*(WorkOrders2710[[#This Row],[PartsCost]]*WorkOrders2710[[#This Row],[LbrHrs]])</f>
        <v>45.293500000000002</v>
      </c>
      <c r="Q2290" s="10">
        <f t="shared" si="209"/>
        <v>45.293500000000002</v>
      </c>
      <c r="R2290" s="10">
        <f t="shared" si="210"/>
        <v>45.293500000000002</v>
      </c>
      <c r="S2290" s="10">
        <f t="shared" si="211"/>
        <v>90.587000000000003</v>
      </c>
      <c r="T2290" s="10">
        <f t="shared" si="212"/>
        <v>90.587000000000003</v>
      </c>
      <c r="U2290" s="8" t="str">
        <f t="shared" si="213"/>
        <v>Tue</v>
      </c>
      <c r="V2290" s="8" t="str">
        <f t="shared" si="214"/>
        <v>Tue</v>
      </c>
    </row>
    <row r="2291" spans="1:22" hidden="1" x14ac:dyDescent="0.25">
      <c r="A2291" t="s">
        <v>329</v>
      </c>
      <c r="B2291" t="s">
        <v>37</v>
      </c>
      <c r="C2291" t="s">
        <v>43</v>
      </c>
      <c r="D2291" t="s">
        <v>11</v>
      </c>
      <c r="F2291" s="5">
        <v>44216</v>
      </c>
      <c r="G2291" s="5">
        <v>44224</v>
      </c>
      <c r="H2291" s="2">
        <v>1</v>
      </c>
      <c r="I2291" s="6"/>
      <c r="J2291" s="6"/>
      <c r="K2291" s="7">
        <v>0.25</v>
      </c>
      <c r="L2291" s="7">
        <v>11.7</v>
      </c>
      <c r="M2291" t="s">
        <v>17</v>
      </c>
      <c r="N2291" s="16">
        <f>POWER(SQRT(WorkOrders2710[[#This Row],[WorkDate]]-WorkOrders2710[[#This Row],[ReqDate]]),2)</f>
        <v>8.0000000000000018</v>
      </c>
      <c r="O2291" s="8">
        <f t="array" ref="O2291">INDEX(TechRate,MATCH(H2291,TechNum,0))</f>
        <v>80</v>
      </c>
      <c r="P2291" s="10">
        <f>WorkOrders2710[[#This Row],[Techs]]*(WorkOrders2710[[#This Row],[PartsCost]]*WorkOrders2710[[#This Row],[LbrHrs]])</f>
        <v>2.9249999999999998</v>
      </c>
      <c r="Q2291" s="10">
        <f t="shared" si="209"/>
        <v>2.9249999999999998</v>
      </c>
      <c r="R2291" s="10">
        <f t="shared" si="210"/>
        <v>11.7</v>
      </c>
      <c r="S2291" s="10">
        <f t="shared" si="211"/>
        <v>14.625</v>
      </c>
      <c r="T2291" s="10">
        <f t="shared" si="212"/>
        <v>14.625</v>
      </c>
      <c r="U2291" s="8" t="str">
        <f t="shared" si="213"/>
        <v>Wed</v>
      </c>
      <c r="V2291" s="8" t="str">
        <f t="shared" si="214"/>
        <v>Thu</v>
      </c>
    </row>
    <row r="2292" spans="1:22" hidden="1" x14ac:dyDescent="0.25">
      <c r="A2292" t="s">
        <v>330</v>
      </c>
      <c r="B2292" t="s">
        <v>34</v>
      </c>
      <c r="C2292" t="s">
        <v>8</v>
      </c>
      <c r="D2292" t="s">
        <v>11</v>
      </c>
      <c r="F2292" s="5">
        <v>44216</v>
      </c>
      <c r="G2292" s="5">
        <v>44329</v>
      </c>
      <c r="H2292" s="2">
        <v>1</v>
      </c>
      <c r="I2292" s="6"/>
      <c r="J2292" s="6"/>
      <c r="K2292" s="7">
        <v>0.25</v>
      </c>
      <c r="L2292" s="7">
        <v>37.707000000000001</v>
      </c>
      <c r="M2292" t="s">
        <v>19</v>
      </c>
      <c r="N2292" s="16">
        <f>POWER(SQRT(WorkOrders2710[[#This Row],[WorkDate]]-WorkOrders2710[[#This Row],[ReqDate]]),2)</f>
        <v>113.00000000000001</v>
      </c>
      <c r="O2292" s="8">
        <f t="array" ref="O2292">INDEX(TechRate,MATCH(H2292,TechNum,0))</f>
        <v>80</v>
      </c>
      <c r="P2292" s="10">
        <f>WorkOrders2710[[#This Row],[Techs]]*(WorkOrders2710[[#This Row],[PartsCost]]*WorkOrders2710[[#This Row],[LbrHrs]])</f>
        <v>9.4267500000000002</v>
      </c>
      <c r="Q2292" s="10">
        <f t="shared" si="209"/>
        <v>9.4267500000000002</v>
      </c>
      <c r="R2292" s="10">
        <f t="shared" si="210"/>
        <v>37.707000000000001</v>
      </c>
      <c r="S2292" s="10">
        <f t="shared" si="211"/>
        <v>47.133749999999999</v>
      </c>
      <c r="T2292" s="10">
        <f t="shared" si="212"/>
        <v>47.133749999999999</v>
      </c>
      <c r="U2292" s="8" t="str">
        <f t="shared" si="213"/>
        <v>Wed</v>
      </c>
      <c r="V2292" s="8" t="str">
        <f t="shared" si="214"/>
        <v>Thu</v>
      </c>
    </row>
    <row r="2293" spans="1:22" hidden="1" x14ac:dyDescent="0.25">
      <c r="A2293" t="s">
        <v>331</v>
      </c>
      <c r="B2293" t="s">
        <v>34</v>
      </c>
      <c r="C2293" t="s">
        <v>6</v>
      </c>
      <c r="D2293" t="s">
        <v>1</v>
      </c>
      <c r="F2293" s="5">
        <v>44217</v>
      </c>
      <c r="G2293" s="5">
        <v>44229</v>
      </c>
      <c r="H2293" s="2">
        <v>1</v>
      </c>
      <c r="I2293" s="6"/>
      <c r="J2293" s="6"/>
      <c r="K2293" s="7">
        <v>1</v>
      </c>
      <c r="L2293" s="7">
        <v>155.03550000000001</v>
      </c>
      <c r="M2293" t="s">
        <v>18</v>
      </c>
      <c r="N2293" s="16">
        <f>POWER(SQRT(WorkOrders2710[[#This Row],[WorkDate]]-WorkOrders2710[[#This Row],[ReqDate]]),2)</f>
        <v>11.999999999999998</v>
      </c>
      <c r="O2293" s="8">
        <f t="array" ref="O2293">INDEX(TechRate,MATCH(H2293,TechNum,0))</f>
        <v>80</v>
      </c>
      <c r="P2293" s="10">
        <f>WorkOrders2710[[#This Row],[Techs]]*(WorkOrders2710[[#This Row],[PartsCost]]*WorkOrders2710[[#This Row],[LbrHrs]])</f>
        <v>155.03550000000001</v>
      </c>
      <c r="Q2293" s="10">
        <f t="shared" si="209"/>
        <v>155.03550000000001</v>
      </c>
      <c r="R2293" s="10">
        <f t="shared" si="210"/>
        <v>155.03550000000001</v>
      </c>
      <c r="S2293" s="10">
        <f t="shared" si="211"/>
        <v>310.07100000000003</v>
      </c>
      <c r="T2293" s="10">
        <f t="shared" si="212"/>
        <v>310.07100000000003</v>
      </c>
      <c r="U2293" s="8" t="str">
        <f t="shared" si="213"/>
        <v>Thu</v>
      </c>
      <c r="V2293" s="8" t="str">
        <f t="shared" si="214"/>
        <v>Tue</v>
      </c>
    </row>
    <row r="2294" spans="1:22" hidden="1" x14ac:dyDescent="0.25">
      <c r="A2294" t="s">
        <v>332</v>
      </c>
      <c r="B2294" t="s">
        <v>37</v>
      </c>
      <c r="C2294" t="s">
        <v>43</v>
      </c>
      <c r="D2294" t="s">
        <v>12</v>
      </c>
      <c r="F2294" s="5">
        <v>44217</v>
      </c>
      <c r="G2294" s="5">
        <v>44239</v>
      </c>
      <c r="H2294" s="2">
        <v>1</v>
      </c>
      <c r="I2294" s="6"/>
      <c r="J2294" s="6"/>
      <c r="K2294" s="7">
        <v>1.25</v>
      </c>
      <c r="L2294" s="7">
        <v>93.6</v>
      </c>
      <c r="M2294" t="s">
        <v>19</v>
      </c>
      <c r="N2294" s="16">
        <f>POWER(SQRT(WorkOrders2710[[#This Row],[WorkDate]]-WorkOrders2710[[#This Row],[ReqDate]]),2)</f>
        <v>22</v>
      </c>
      <c r="O2294" s="8">
        <f t="array" ref="O2294">INDEX(TechRate,MATCH(H2294,TechNum,0))</f>
        <v>80</v>
      </c>
      <c r="P2294" s="10">
        <f>WorkOrders2710[[#This Row],[Techs]]*(WorkOrders2710[[#This Row],[PartsCost]]*WorkOrders2710[[#This Row],[LbrHrs]])</f>
        <v>117</v>
      </c>
      <c r="Q2294" s="10">
        <f t="shared" si="209"/>
        <v>117</v>
      </c>
      <c r="R2294" s="10">
        <f t="shared" si="210"/>
        <v>93.6</v>
      </c>
      <c r="S2294" s="10">
        <f t="shared" si="211"/>
        <v>210.6</v>
      </c>
      <c r="T2294" s="10">
        <f t="shared" si="212"/>
        <v>210.6</v>
      </c>
      <c r="U2294" s="8" t="str">
        <f t="shared" si="213"/>
        <v>Thu</v>
      </c>
      <c r="V2294" s="8" t="str">
        <f t="shared" si="214"/>
        <v>Fri</v>
      </c>
    </row>
    <row r="2295" spans="1:22" hidden="1" x14ac:dyDescent="0.25">
      <c r="A2295" t="s">
        <v>333</v>
      </c>
      <c r="B2295" t="s">
        <v>36</v>
      </c>
      <c r="C2295" t="s">
        <v>7</v>
      </c>
      <c r="D2295" t="s">
        <v>11</v>
      </c>
      <c r="F2295" s="5">
        <v>44217</v>
      </c>
      <c r="G2295" s="5">
        <v>44237</v>
      </c>
      <c r="H2295" s="2">
        <v>1</v>
      </c>
      <c r="I2295" s="6"/>
      <c r="J2295" s="6"/>
      <c r="K2295" s="7">
        <v>0.25</v>
      </c>
      <c r="L2295" s="7">
        <v>21.33</v>
      </c>
      <c r="M2295" t="s">
        <v>17</v>
      </c>
      <c r="N2295" s="16">
        <f>POWER(SQRT(WorkOrders2710[[#This Row],[WorkDate]]-WorkOrders2710[[#This Row],[ReqDate]]),2)</f>
        <v>20.000000000000004</v>
      </c>
      <c r="O2295" s="8">
        <f t="array" ref="O2295">INDEX(TechRate,MATCH(H2295,TechNum,0))</f>
        <v>80</v>
      </c>
      <c r="P2295" s="10">
        <f>WorkOrders2710[[#This Row],[Techs]]*(WorkOrders2710[[#This Row],[PartsCost]]*WorkOrders2710[[#This Row],[LbrHrs]])</f>
        <v>5.3324999999999996</v>
      </c>
      <c r="Q2295" s="10">
        <f t="shared" si="209"/>
        <v>5.3324999999999996</v>
      </c>
      <c r="R2295" s="10">
        <f t="shared" si="210"/>
        <v>21.33</v>
      </c>
      <c r="S2295" s="10">
        <f t="shared" si="211"/>
        <v>26.662499999999998</v>
      </c>
      <c r="T2295" s="10">
        <f t="shared" si="212"/>
        <v>26.662499999999998</v>
      </c>
      <c r="U2295" s="8" t="str">
        <f t="shared" si="213"/>
        <v>Thu</v>
      </c>
      <c r="V2295" s="8" t="str">
        <f t="shared" si="214"/>
        <v>Wed</v>
      </c>
    </row>
    <row r="2296" spans="1:22" hidden="1" x14ac:dyDescent="0.25">
      <c r="A2296" t="s">
        <v>334</v>
      </c>
      <c r="B2296" t="s">
        <v>34</v>
      </c>
      <c r="C2296" t="s">
        <v>9</v>
      </c>
      <c r="D2296" t="s">
        <v>2</v>
      </c>
      <c r="F2296" s="5">
        <v>44217</v>
      </c>
      <c r="G2296" s="5">
        <v>44278</v>
      </c>
      <c r="H2296" s="2">
        <v>1</v>
      </c>
      <c r="I2296" s="6"/>
      <c r="J2296" s="6"/>
      <c r="K2296" s="7">
        <v>2.5</v>
      </c>
      <c r="L2296" s="7">
        <v>357.11079999999998</v>
      </c>
      <c r="M2296" t="s">
        <v>17</v>
      </c>
      <c r="N2296" s="16">
        <f>POWER(SQRT(WorkOrders2710[[#This Row],[WorkDate]]-WorkOrders2710[[#This Row],[ReqDate]]),2)</f>
        <v>60.999999999999993</v>
      </c>
      <c r="O2296" s="8">
        <f t="array" ref="O2296">INDEX(TechRate,MATCH(H2296,TechNum,0))</f>
        <v>80</v>
      </c>
      <c r="P2296" s="10">
        <f>WorkOrders2710[[#This Row],[Techs]]*(WorkOrders2710[[#This Row],[PartsCost]]*WorkOrders2710[[#This Row],[LbrHrs]])</f>
        <v>892.77699999999993</v>
      </c>
      <c r="Q2296" s="10">
        <f t="shared" si="209"/>
        <v>892.77699999999993</v>
      </c>
      <c r="R2296" s="10">
        <f t="shared" si="210"/>
        <v>357.11079999999998</v>
      </c>
      <c r="S2296" s="10">
        <f t="shared" si="211"/>
        <v>1249.8878</v>
      </c>
      <c r="T2296" s="10">
        <f t="shared" si="212"/>
        <v>1249.8878</v>
      </c>
      <c r="U2296" s="8" t="str">
        <f t="shared" si="213"/>
        <v>Thu</v>
      </c>
      <c r="V2296" s="8" t="str">
        <f t="shared" si="214"/>
        <v>Tue</v>
      </c>
    </row>
    <row r="2297" spans="1:22" hidden="1" x14ac:dyDescent="0.25">
      <c r="A2297" t="s">
        <v>335</v>
      </c>
      <c r="B2297" t="s">
        <v>35</v>
      </c>
      <c r="C2297" t="s">
        <v>9</v>
      </c>
      <c r="D2297" t="s">
        <v>11</v>
      </c>
      <c r="F2297" s="5">
        <v>44218</v>
      </c>
      <c r="G2297" s="5">
        <v>44226</v>
      </c>
      <c r="H2297" s="2">
        <v>1</v>
      </c>
      <c r="I2297" s="6"/>
      <c r="J2297" s="6"/>
      <c r="K2297" s="7">
        <v>0.25</v>
      </c>
      <c r="L2297" s="7">
        <v>120</v>
      </c>
      <c r="M2297" t="s">
        <v>18</v>
      </c>
      <c r="N2297" s="16">
        <f>POWER(SQRT(WorkOrders2710[[#This Row],[WorkDate]]-WorkOrders2710[[#This Row],[ReqDate]]),2)</f>
        <v>8.0000000000000018</v>
      </c>
      <c r="O2297" s="8">
        <f t="array" ref="O2297">INDEX(TechRate,MATCH(H2297,TechNum,0))</f>
        <v>80</v>
      </c>
      <c r="P2297" s="10">
        <f>WorkOrders2710[[#This Row],[Techs]]*(WorkOrders2710[[#This Row],[PartsCost]]*WorkOrders2710[[#This Row],[LbrHrs]])</f>
        <v>30</v>
      </c>
      <c r="Q2297" s="10">
        <f t="shared" si="209"/>
        <v>30</v>
      </c>
      <c r="R2297" s="10">
        <f t="shared" si="210"/>
        <v>120</v>
      </c>
      <c r="S2297" s="10">
        <f t="shared" si="211"/>
        <v>150</v>
      </c>
      <c r="T2297" s="10">
        <f t="shared" si="212"/>
        <v>150</v>
      </c>
      <c r="U2297" s="8" t="str">
        <f t="shared" si="213"/>
        <v>Fri</v>
      </c>
      <c r="V2297" s="8" t="str">
        <f t="shared" si="214"/>
        <v>Sat</v>
      </c>
    </row>
    <row r="2298" spans="1:22" hidden="1" x14ac:dyDescent="0.25">
      <c r="A2298" t="s">
        <v>336</v>
      </c>
      <c r="B2298" t="s">
        <v>39</v>
      </c>
      <c r="C2298" t="s">
        <v>9</v>
      </c>
      <c r="D2298" t="s">
        <v>13</v>
      </c>
      <c r="F2298" s="5">
        <v>44221</v>
      </c>
      <c r="G2298" s="5">
        <v>44236</v>
      </c>
      <c r="H2298" s="2">
        <v>1</v>
      </c>
      <c r="I2298" s="6"/>
      <c r="J2298" s="6"/>
      <c r="K2298" s="7">
        <v>0.5</v>
      </c>
      <c r="L2298" s="7">
        <v>52.350099999999998</v>
      </c>
      <c r="M2298" t="s">
        <v>18</v>
      </c>
      <c r="N2298" s="16">
        <f>POWER(SQRT(WorkOrders2710[[#This Row],[WorkDate]]-WorkOrders2710[[#This Row],[ReqDate]]),2)</f>
        <v>15.000000000000002</v>
      </c>
      <c r="O2298" s="8">
        <f t="array" ref="O2298">INDEX(TechRate,MATCH(H2298,TechNum,0))</f>
        <v>80</v>
      </c>
      <c r="P2298" s="10">
        <f>WorkOrders2710[[#This Row],[Techs]]*(WorkOrders2710[[#This Row],[PartsCost]]*WorkOrders2710[[#This Row],[LbrHrs]])</f>
        <v>26.175049999999999</v>
      </c>
      <c r="Q2298" s="10">
        <f t="shared" si="209"/>
        <v>26.175049999999999</v>
      </c>
      <c r="R2298" s="10">
        <f t="shared" si="210"/>
        <v>52.350099999999998</v>
      </c>
      <c r="S2298" s="10">
        <f t="shared" si="211"/>
        <v>78.525149999999996</v>
      </c>
      <c r="T2298" s="10">
        <f t="shared" si="212"/>
        <v>78.525149999999996</v>
      </c>
      <c r="U2298" s="8" t="str">
        <f t="shared" si="213"/>
        <v>Mon</v>
      </c>
      <c r="V2298" s="8" t="str">
        <f t="shared" si="214"/>
        <v>Tue</v>
      </c>
    </row>
    <row r="2299" spans="1:22" hidden="1" x14ac:dyDescent="0.25">
      <c r="A2299" t="s">
        <v>337</v>
      </c>
      <c r="B2299" t="s">
        <v>35</v>
      </c>
      <c r="C2299" t="s">
        <v>44</v>
      </c>
      <c r="D2299" t="s">
        <v>13</v>
      </c>
      <c r="F2299" s="5">
        <v>44221</v>
      </c>
      <c r="G2299" s="5">
        <v>44242</v>
      </c>
      <c r="H2299" s="2">
        <v>1</v>
      </c>
      <c r="I2299" s="6"/>
      <c r="J2299" s="6"/>
      <c r="K2299" s="7">
        <v>3.25</v>
      </c>
      <c r="L2299" s="7">
        <v>511.875</v>
      </c>
      <c r="M2299" t="s">
        <v>17</v>
      </c>
      <c r="N2299" s="16">
        <f>POWER(SQRT(WorkOrders2710[[#This Row],[WorkDate]]-WorkOrders2710[[#This Row],[ReqDate]]),2)</f>
        <v>21</v>
      </c>
      <c r="O2299" s="8">
        <f t="array" ref="O2299">INDEX(TechRate,MATCH(H2299,TechNum,0))</f>
        <v>80</v>
      </c>
      <c r="P2299" s="10">
        <f>WorkOrders2710[[#This Row],[Techs]]*(WorkOrders2710[[#This Row],[PartsCost]]*WorkOrders2710[[#This Row],[LbrHrs]])</f>
        <v>1663.59375</v>
      </c>
      <c r="Q2299" s="10">
        <f t="shared" si="209"/>
        <v>1663.59375</v>
      </c>
      <c r="R2299" s="10">
        <f t="shared" si="210"/>
        <v>511.875</v>
      </c>
      <c r="S2299" s="10">
        <f t="shared" si="211"/>
        <v>2175.46875</v>
      </c>
      <c r="T2299" s="10">
        <f t="shared" si="212"/>
        <v>2175.46875</v>
      </c>
      <c r="U2299" s="8" t="str">
        <f t="shared" si="213"/>
        <v>Mon</v>
      </c>
      <c r="V2299" s="8" t="str">
        <f t="shared" si="214"/>
        <v>Mon</v>
      </c>
    </row>
    <row r="2300" spans="1:22" hidden="1" x14ac:dyDescent="0.25">
      <c r="A2300" t="s">
        <v>338</v>
      </c>
      <c r="B2300" t="s">
        <v>36</v>
      </c>
      <c r="C2300" t="s">
        <v>7</v>
      </c>
      <c r="D2300" t="s">
        <v>13</v>
      </c>
      <c r="F2300" s="5">
        <v>44221</v>
      </c>
      <c r="G2300" s="5">
        <v>44275</v>
      </c>
      <c r="H2300" s="2">
        <v>2</v>
      </c>
      <c r="I2300" s="6"/>
      <c r="J2300" s="6"/>
      <c r="K2300" s="7">
        <v>2</v>
      </c>
      <c r="L2300" s="7">
        <v>368.87400000000002</v>
      </c>
      <c r="M2300" t="s">
        <v>17</v>
      </c>
      <c r="N2300" s="16">
        <f>POWER(SQRT(WorkOrders2710[[#This Row],[WorkDate]]-WorkOrders2710[[#This Row],[ReqDate]]),2)</f>
        <v>54</v>
      </c>
      <c r="O2300" s="8">
        <f t="array" ref="O2300">INDEX(TechRate,MATCH(H2300,TechNum,0))</f>
        <v>140</v>
      </c>
      <c r="P2300" s="10">
        <f>WorkOrders2710[[#This Row],[Techs]]*(WorkOrders2710[[#This Row],[PartsCost]]*WorkOrders2710[[#This Row],[LbrHrs]])</f>
        <v>1475.4960000000001</v>
      </c>
      <c r="Q2300" s="10">
        <f t="shared" si="209"/>
        <v>1475.4960000000001</v>
      </c>
      <c r="R2300" s="10">
        <f t="shared" si="210"/>
        <v>368.87400000000002</v>
      </c>
      <c r="S2300" s="10">
        <f t="shared" si="211"/>
        <v>1844.3700000000001</v>
      </c>
      <c r="T2300" s="10">
        <f t="shared" si="212"/>
        <v>1844.3700000000001</v>
      </c>
      <c r="U2300" s="8" t="str">
        <f t="shared" si="213"/>
        <v>Mon</v>
      </c>
      <c r="V2300" s="8" t="str">
        <f t="shared" si="214"/>
        <v>Sat</v>
      </c>
    </row>
    <row r="2301" spans="1:22" hidden="1" x14ac:dyDescent="0.25">
      <c r="A2301" t="s">
        <v>339</v>
      </c>
      <c r="B2301" t="s">
        <v>36</v>
      </c>
      <c r="C2301" t="s">
        <v>7</v>
      </c>
      <c r="D2301" t="s">
        <v>11</v>
      </c>
      <c r="F2301" s="5">
        <v>44223</v>
      </c>
      <c r="G2301" s="5">
        <v>44231</v>
      </c>
      <c r="H2301" s="2">
        <v>1</v>
      </c>
      <c r="I2301" s="6"/>
      <c r="J2301" s="6"/>
      <c r="K2301" s="7">
        <v>0.25</v>
      </c>
      <c r="L2301" s="7">
        <v>120</v>
      </c>
      <c r="M2301" t="s">
        <v>17</v>
      </c>
      <c r="N2301" s="16">
        <f>POWER(SQRT(WorkOrders2710[[#This Row],[WorkDate]]-WorkOrders2710[[#This Row],[ReqDate]]),2)</f>
        <v>8.0000000000000018</v>
      </c>
      <c r="O2301" s="8">
        <f t="array" ref="O2301">INDEX(TechRate,MATCH(H2301,TechNum,0))</f>
        <v>80</v>
      </c>
      <c r="P2301" s="10">
        <f>WorkOrders2710[[#This Row],[Techs]]*(WorkOrders2710[[#This Row],[PartsCost]]*WorkOrders2710[[#This Row],[LbrHrs]])</f>
        <v>30</v>
      </c>
      <c r="Q2301" s="10">
        <f t="shared" si="209"/>
        <v>30</v>
      </c>
      <c r="R2301" s="10">
        <f t="shared" si="210"/>
        <v>120</v>
      </c>
      <c r="S2301" s="10">
        <f t="shared" si="211"/>
        <v>150</v>
      </c>
      <c r="T2301" s="10">
        <f t="shared" si="212"/>
        <v>150</v>
      </c>
      <c r="U2301" s="8" t="str">
        <f t="shared" si="213"/>
        <v>Wed</v>
      </c>
      <c r="V2301" s="8" t="str">
        <f t="shared" si="214"/>
        <v>Thu</v>
      </c>
    </row>
    <row r="2302" spans="1:22" hidden="1" x14ac:dyDescent="0.25">
      <c r="A2302" t="s">
        <v>340</v>
      </c>
      <c r="B2302" t="s">
        <v>36</v>
      </c>
      <c r="C2302" t="s">
        <v>7</v>
      </c>
      <c r="D2302" t="s">
        <v>13</v>
      </c>
      <c r="E2302" t="s">
        <v>3</v>
      </c>
      <c r="F2302" s="5">
        <v>44223</v>
      </c>
      <c r="G2302" s="5">
        <v>44249</v>
      </c>
      <c r="H2302" s="2">
        <v>2</v>
      </c>
      <c r="I2302" s="6"/>
      <c r="J2302" s="6"/>
      <c r="K2302" s="7">
        <v>0.5</v>
      </c>
      <c r="L2302" s="7">
        <v>5.4720000000000004</v>
      </c>
      <c r="M2302" t="s">
        <v>18</v>
      </c>
      <c r="N2302" s="16">
        <f>POWER(SQRT(WorkOrders2710[[#This Row],[WorkDate]]-WorkOrders2710[[#This Row],[ReqDate]]),2)</f>
        <v>25.999999999999996</v>
      </c>
      <c r="O2302" s="8">
        <f t="array" ref="O2302">INDEX(TechRate,MATCH(H2302,TechNum,0))</f>
        <v>140</v>
      </c>
      <c r="P2302" s="10">
        <f>WorkOrders2710[[#This Row],[Techs]]*(WorkOrders2710[[#This Row],[PartsCost]]*WorkOrders2710[[#This Row],[LbrHrs]])</f>
        <v>5.4720000000000004</v>
      </c>
      <c r="Q2302" s="10">
        <f t="shared" si="209"/>
        <v>5.4720000000000004</v>
      </c>
      <c r="R2302" s="10">
        <f t="shared" si="210"/>
        <v>5.4720000000000004</v>
      </c>
      <c r="S2302" s="10">
        <f t="shared" si="211"/>
        <v>10.944000000000001</v>
      </c>
      <c r="T2302" s="10">
        <f t="shared" si="212"/>
        <v>10.944000000000001</v>
      </c>
      <c r="U2302" s="8" t="str">
        <f t="shared" si="213"/>
        <v>Wed</v>
      </c>
      <c r="V2302" s="8" t="str">
        <f t="shared" si="214"/>
        <v>Mon</v>
      </c>
    </row>
    <row r="2303" spans="1:22" hidden="1" x14ac:dyDescent="0.25">
      <c r="A2303" t="s">
        <v>341</v>
      </c>
      <c r="B2303" t="s">
        <v>39</v>
      </c>
      <c r="C2303" t="s">
        <v>8</v>
      </c>
      <c r="D2303" t="s">
        <v>12</v>
      </c>
      <c r="F2303" s="5">
        <v>44224</v>
      </c>
      <c r="G2303" s="5">
        <v>44235</v>
      </c>
      <c r="H2303" s="2">
        <v>1</v>
      </c>
      <c r="I2303" s="6"/>
      <c r="J2303" s="6"/>
      <c r="K2303" s="7">
        <v>1</v>
      </c>
      <c r="L2303" s="7">
        <v>60</v>
      </c>
      <c r="M2303" t="s">
        <v>18</v>
      </c>
      <c r="N2303" s="16">
        <f>POWER(SQRT(WorkOrders2710[[#This Row],[WorkDate]]-WorkOrders2710[[#This Row],[ReqDate]]),2)</f>
        <v>11</v>
      </c>
      <c r="O2303" s="8">
        <f t="array" ref="O2303">INDEX(TechRate,MATCH(H2303,TechNum,0))</f>
        <v>80</v>
      </c>
      <c r="P2303" s="10">
        <f>WorkOrders2710[[#This Row],[Techs]]*(WorkOrders2710[[#This Row],[PartsCost]]*WorkOrders2710[[#This Row],[LbrHrs]])</f>
        <v>60</v>
      </c>
      <c r="Q2303" s="10">
        <f t="shared" si="209"/>
        <v>60</v>
      </c>
      <c r="R2303" s="10">
        <f t="shared" si="210"/>
        <v>60</v>
      </c>
      <c r="S2303" s="10">
        <f t="shared" si="211"/>
        <v>120</v>
      </c>
      <c r="T2303" s="10">
        <f t="shared" si="212"/>
        <v>120</v>
      </c>
      <c r="U2303" s="8" t="str">
        <f t="shared" si="213"/>
        <v>Thu</v>
      </c>
      <c r="V2303" s="8" t="str">
        <f t="shared" si="214"/>
        <v>Mon</v>
      </c>
    </row>
    <row r="2304" spans="1:22" hidden="1" x14ac:dyDescent="0.25">
      <c r="A2304" t="s">
        <v>342</v>
      </c>
      <c r="B2304" t="s">
        <v>35</v>
      </c>
      <c r="C2304" t="s">
        <v>9</v>
      </c>
      <c r="D2304" t="s">
        <v>13</v>
      </c>
      <c r="F2304" s="5">
        <v>44224</v>
      </c>
      <c r="G2304" s="5">
        <v>44237</v>
      </c>
      <c r="H2304" s="2">
        <v>1</v>
      </c>
      <c r="I2304" s="6"/>
      <c r="J2304" s="6"/>
      <c r="K2304" s="7">
        <v>0.75</v>
      </c>
      <c r="L2304" s="7">
        <v>114.89449999999999</v>
      </c>
      <c r="M2304" t="s">
        <v>19</v>
      </c>
      <c r="N2304" s="16">
        <f>POWER(SQRT(WorkOrders2710[[#This Row],[WorkDate]]-WorkOrders2710[[#This Row],[ReqDate]]),2)</f>
        <v>12.999999999999998</v>
      </c>
      <c r="O2304" s="8">
        <f t="array" ref="O2304">INDEX(TechRate,MATCH(H2304,TechNum,0))</f>
        <v>80</v>
      </c>
      <c r="P2304" s="10">
        <f>WorkOrders2710[[#This Row],[Techs]]*(WorkOrders2710[[#This Row],[PartsCost]]*WorkOrders2710[[#This Row],[LbrHrs]])</f>
        <v>86.170874999999995</v>
      </c>
      <c r="Q2304" s="10">
        <f t="shared" si="209"/>
        <v>86.170874999999995</v>
      </c>
      <c r="R2304" s="10">
        <f t="shared" si="210"/>
        <v>114.89449999999999</v>
      </c>
      <c r="S2304" s="10">
        <f t="shared" si="211"/>
        <v>201.06537499999999</v>
      </c>
      <c r="T2304" s="10">
        <f t="shared" si="212"/>
        <v>201.06537499999999</v>
      </c>
      <c r="U2304" s="8" t="str">
        <f t="shared" si="213"/>
        <v>Thu</v>
      </c>
      <c r="V2304" s="8" t="str">
        <f t="shared" si="214"/>
        <v>Wed</v>
      </c>
    </row>
    <row r="2305" spans="1:22" hidden="1" x14ac:dyDescent="0.25">
      <c r="A2305" t="s">
        <v>343</v>
      </c>
      <c r="B2305" t="s">
        <v>36</v>
      </c>
      <c r="C2305" t="s">
        <v>7</v>
      </c>
      <c r="D2305" t="s">
        <v>12</v>
      </c>
      <c r="F2305" s="5">
        <v>44224</v>
      </c>
      <c r="G2305" s="5">
        <v>44245</v>
      </c>
      <c r="H2305" s="2">
        <v>2</v>
      </c>
      <c r="I2305" s="6"/>
      <c r="J2305" s="6"/>
      <c r="K2305" s="7">
        <v>0.25</v>
      </c>
      <c r="L2305" s="7">
        <v>23.899000000000001</v>
      </c>
      <c r="M2305" t="s">
        <v>18</v>
      </c>
      <c r="N2305" s="16">
        <f>POWER(SQRT(WorkOrders2710[[#This Row],[WorkDate]]-WorkOrders2710[[#This Row],[ReqDate]]),2)</f>
        <v>21</v>
      </c>
      <c r="O2305" s="8">
        <f t="array" ref="O2305">INDEX(TechRate,MATCH(H2305,TechNum,0))</f>
        <v>140</v>
      </c>
      <c r="P2305" s="10">
        <f>WorkOrders2710[[#This Row],[Techs]]*(WorkOrders2710[[#This Row],[PartsCost]]*WorkOrders2710[[#This Row],[LbrHrs]])</f>
        <v>11.9495</v>
      </c>
      <c r="Q2305" s="10">
        <f t="shared" si="209"/>
        <v>11.9495</v>
      </c>
      <c r="R2305" s="10">
        <f t="shared" si="210"/>
        <v>23.899000000000001</v>
      </c>
      <c r="S2305" s="10">
        <f t="shared" si="211"/>
        <v>35.848500000000001</v>
      </c>
      <c r="T2305" s="10">
        <f t="shared" si="212"/>
        <v>35.848500000000001</v>
      </c>
      <c r="U2305" s="8" t="str">
        <f t="shared" si="213"/>
        <v>Thu</v>
      </c>
      <c r="V2305" s="8" t="str">
        <f t="shared" si="214"/>
        <v>Thu</v>
      </c>
    </row>
    <row r="2306" spans="1:22" hidden="1" x14ac:dyDescent="0.25">
      <c r="A2306" t="s">
        <v>344</v>
      </c>
      <c r="B2306" t="s">
        <v>37</v>
      </c>
      <c r="C2306" t="s">
        <v>43</v>
      </c>
      <c r="D2306" t="s">
        <v>12</v>
      </c>
      <c r="F2306" s="5">
        <v>44224</v>
      </c>
      <c r="G2306" s="5">
        <v>44245</v>
      </c>
      <c r="H2306" s="2">
        <v>1</v>
      </c>
      <c r="I2306" s="6"/>
      <c r="J2306" s="6"/>
      <c r="K2306" s="7">
        <v>0.25</v>
      </c>
      <c r="L2306" s="7">
        <v>57.2</v>
      </c>
      <c r="M2306" t="s">
        <v>19</v>
      </c>
      <c r="N2306" s="16">
        <f>POWER(SQRT(WorkOrders2710[[#This Row],[WorkDate]]-WorkOrders2710[[#This Row],[ReqDate]]),2)</f>
        <v>21</v>
      </c>
      <c r="O2306" s="8">
        <f t="array" ref="O2306">INDEX(TechRate,MATCH(H2306,TechNum,0))</f>
        <v>80</v>
      </c>
      <c r="P2306" s="10">
        <f>WorkOrders2710[[#This Row],[Techs]]*(WorkOrders2710[[#This Row],[PartsCost]]*WorkOrders2710[[#This Row],[LbrHrs]])</f>
        <v>14.3</v>
      </c>
      <c r="Q2306" s="10">
        <f t="shared" si="209"/>
        <v>14.3</v>
      </c>
      <c r="R2306" s="10">
        <f t="shared" si="210"/>
        <v>57.2</v>
      </c>
      <c r="S2306" s="10">
        <f t="shared" si="211"/>
        <v>71.5</v>
      </c>
      <c r="T2306" s="10">
        <f t="shared" si="212"/>
        <v>71.5</v>
      </c>
      <c r="U2306" s="8" t="str">
        <f t="shared" si="213"/>
        <v>Thu</v>
      </c>
      <c r="V2306" s="8" t="str">
        <f t="shared" si="214"/>
        <v>Thu</v>
      </c>
    </row>
    <row r="2307" spans="1:22" hidden="1" x14ac:dyDescent="0.25">
      <c r="A2307" t="s">
        <v>345</v>
      </c>
      <c r="B2307" t="s">
        <v>35</v>
      </c>
      <c r="C2307" t="s">
        <v>9</v>
      </c>
      <c r="D2307" t="s">
        <v>13</v>
      </c>
      <c r="F2307" s="5">
        <v>44224</v>
      </c>
      <c r="G2307" s="5">
        <v>44258</v>
      </c>
      <c r="H2307" s="2">
        <v>2</v>
      </c>
      <c r="I2307" s="6"/>
      <c r="J2307" s="6"/>
      <c r="K2307" s="7">
        <v>8.5</v>
      </c>
      <c r="L2307" s="7">
        <v>653.98500000000001</v>
      </c>
      <c r="M2307" t="s">
        <v>17</v>
      </c>
      <c r="N2307" s="16">
        <f>POWER(SQRT(WorkOrders2710[[#This Row],[WorkDate]]-WorkOrders2710[[#This Row],[ReqDate]]),2)</f>
        <v>34</v>
      </c>
      <c r="O2307" s="8">
        <f t="array" ref="O2307">INDEX(TechRate,MATCH(H2307,TechNum,0))</f>
        <v>140</v>
      </c>
      <c r="P2307" s="10">
        <f>WorkOrders2710[[#This Row],[Techs]]*(WorkOrders2710[[#This Row],[PartsCost]]*WorkOrders2710[[#This Row],[LbrHrs]])</f>
        <v>11117.745000000001</v>
      </c>
      <c r="Q2307" s="10">
        <f t="shared" si="209"/>
        <v>11117.745000000001</v>
      </c>
      <c r="R2307" s="10">
        <f t="shared" si="210"/>
        <v>653.98500000000001</v>
      </c>
      <c r="S2307" s="10">
        <f t="shared" si="211"/>
        <v>11771.730000000001</v>
      </c>
      <c r="T2307" s="10">
        <f t="shared" si="212"/>
        <v>11771.730000000001</v>
      </c>
      <c r="U2307" s="8" t="str">
        <f t="shared" si="213"/>
        <v>Thu</v>
      </c>
      <c r="V2307" s="8" t="str">
        <f t="shared" si="214"/>
        <v>Wed</v>
      </c>
    </row>
    <row r="2308" spans="1:22" hidden="1" x14ac:dyDescent="0.25">
      <c r="A2308" t="s">
        <v>346</v>
      </c>
      <c r="B2308" t="s">
        <v>37</v>
      </c>
      <c r="C2308" t="s">
        <v>43</v>
      </c>
      <c r="D2308" t="s">
        <v>12</v>
      </c>
      <c r="F2308" s="5">
        <v>44224</v>
      </c>
      <c r="G2308" s="5">
        <v>44271</v>
      </c>
      <c r="H2308" s="2">
        <v>1</v>
      </c>
      <c r="I2308" s="6"/>
      <c r="J2308" s="6"/>
      <c r="K2308" s="7">
        <v>0.5</v>
      </c>
      <c r="L2308" s="7">
        <v>9.75</v>
      </c>
      <c r="M2308" t="s">
        <v>17</v>
      </c>
      <c r="N2308" s="16">
        <f>POWER(SQRT(WorkOrders2710[[#This Row],[WorkDate]]-WorkOrders2710[[#This Row],[ReqDate]]),2)</f>
        <v>47</v>
      </c>
      <c r="O2308" s="8">
        <f t="array" ref="O2308">INDEX(TechRate,MATCH(H2308,TechNum,0))</f>
        <v>80</v>
      </c>
      <c r="P2308" s="10">
        <f>WorkOrders2710[[#This Row],[Techs]]*(WorkOrders2710[[#This Row],[PartsCost]]*WorkOrders2710[[#This Row],[LbrHrs]])</f>
        <v>4.875</v>
      </c>
      <c r="Q2308" s="10">
        <f t="shared" si="209"/>
        <v>4.875</v>
      </c>
      <c r="R2308" s="10">
        <f t="shared" si="210"/>
        <v>9.75</v>
      </c>
      <c r="S2308" s="10">
        <f t="shared" si="211"/>
        <v>14.625</v>
      </c>
      <c r="T2308" s="10">
        <f t="shared" si="212"/>
        <v>14.625</v>
      </c>
      <c r="U2308" s="8" t="str">
        <f t="shared" si="213"/>
        <v>Thu</v>
      </c>
      <c r="V2308" s="8" t="str">
        <f t="shared" si="214"/>
        <v>Tue</v>
      </c>
    </row>
    <row r="2309" spans="1:22" hidden="1" x14ac:dyDescent="0.25">
      <c r="A2309" t="s">
        <v>347</v>
      </c>
      <c r="B2309" t="s">
        <v>36</v>
      </c>
      <c r="C2309" t="s">
        <v>7</v>
      </c>
      <c r="D2309" t="s">
        <v>13</v>
      </c>
      <c r="F2309" s="5">
        <v>44226</v>
      </c>
      <c r="G2309" s="5">
        <v>44229</v>
      </c>
      <c r="H2309" s="2">
        <v>2</v>
      </c>
      <c r="I2309" s="6"/>
      <c r="J2309" s="6"/>
      <c r="K2309" s="7">
        <v>0.5</v>
      </c>
      <c r="L2309" s="7">
        <v>134</v>
      </c>
      <c r="M2309" t="s">
        <v>17</v>
      </c>
      <c r="N2309" s="16">
        <f>POWER(SQRT(WorkOrders2710[[#This Row],[WorkDate]]-WorkOrders2710[[#This Row],[ReqDate]]),2)</f>
        <v>2.9999999999999996</v>
      </c>
      <c r="O2309" s="8">
        <f t="array" ref="O2309">INDEX(TechRate,MATCH(H2309,TechNum,0))</f>
        <v>140</v>
      </c>
      <c r="P2309" s="10">
        <f>WorkOrders2710[[#This Row],[Techs]]*(WorkOrders2710[[#This Row],[PartsCost]]*WorkOrders2710[[#This Row],[LbrHrs]])</f>
        <v>134</v>
      </c>
      <c r="Q2309" s="10">
        <f t="shared" si="209"/>
        <v>134</v>
      </c>
      <c r="R2309" s="10">
        <f t="shared" si="210"/>
        <v>134</v>
      </c>
      <c r="S2309" s="10">
        <f t="shared" si="211"/>
        <v>268</v>
      </c>
      <c r="T2309" s="10">
        <f t="shared" si="212"/>
        <v>268</v>
      </c>
      <c r="U2309" s="8" t="str">
        <f t="shared" si="213"/>
        <v>Sat</v>
      </c>
      <c r="V2309" s="8" t="str">
        <f t="shared" si="214"/>
        <v>Tue</v>
      </c>
    </row>
    <row r="2310" spans="1:22" hidden="1" x14ac:dyDescent="0.25">
      <c r="A2310" t="s">
        <v>348</v>
      </c>
      <c r="B2310" t="s">
        <v>36</v>
      </c>
      <c r="C2310" t="s">
        <v>7</v>
      </c>
      <c r="D2310" t="s">
        <v>12</v>
      </c>
      <c r="F2310" s="5">
        <v>44228</v>
      </c>
      <c r="G2310" s="5">
        <v>44237</v>
      </c>
      <c r="H2310" s="2">
        <v>2</v>
      </c>
      <c r="I2310" s="6"/>
      <c r="J2310" s="6"/>
      <c r="K2310" s="7">
        <v>0.25</v>
      </c>
      <c r="L2310" s="7">
        <v>144</v>
      </c>
      <c r="M2310" t="s">
        <v>17</v>
      </c>
      <c r="N2310" s="16">
        <f>POWER(SQRT(WorkOrders2710[[#This Row],[WorkDate]]-WorkOrders2710[[#This Row],[ReqDate]]),2)</f>
        <v>9</v>
      </c>
      <c r="O2310" s="8">
        <f t="array" ref="O2310">INDEX(TechRate,MATCH(H2310,TechNum,0))</f>
        <v>140</v>
      </c>
      <c r="P2310" s="10">
        <f>WorkOrders2710[[#This Row],[Techs]]*(WorkOrders2710[[#This Row],[PartsCost]]*WorkOrders2710[[#This Row],[LbrHrs]])</f>
        <v>72</v>
      </c>
      <c r="Q2310" s="10">
        <f t="shared" si="209"/>
        <v>72</v>
      </c>
      <c r="R2310" s="10">
        <f t="shared" si="210"/>
        <v>144</v>
      </c>
      <c r="S2310" s="10">
        <f t="shared" si="211"/>
        <v>216</v>
      </c>
      <c r="T2310" s="10">
        <f t="shared" si="212"/>
        <v>216</v>
      </c>
      <c r="U2310" s="8" t="str">
        <f t="shared" si="213"/>
        <v>Mon</v>
      </c>
      <c r="V2310" s="8" t="str">
        <f t="shared" si="214"/>
        <v>Wed</v>
      </c>
    </row>
    <row r="2311" spans="1:22" hidden="1" x14ac:dyDescent="0.25">
      <c r="A2311" t="s">
        <v>349</v>
      </c>
      <c r="B2311" t="s">
        <v>35</v>
      </c>
      <c r="C2311" t="s">
        <v>9</v>
      </c>
      <c r="D2311" t="s">
        <v>12</v>
      </c>
      <c r="F2311" s="5">
        <v>44228</v>
      </c>
      <c r="G2311" s="5">
        <v>44237</v>
      </c>
      <c r="H2311" s="2">
        <v>1</v>
      </c>
      <c r="I2311" s="6"/>
      <c r="J2311" s="6"/>
      <c r="K2311" s="7">
        <v>0.5</v>
      </c>
      <c r="L2311" s="7">
        <v>205.1859</v>
      </c>
      <c r="M2311" t="s">
        <v>18</v>
      </c>
      <c r="N2311" s="16">
        <f>POWER(SQRT(WorkOrders2710[[#This Row],[WorkDate]]-WorkOrders2710[[#This Row],[ReqDate]]),2)</f>
        <v>9</v>
      </c>
      <c r="O2311" s="8">
        <f t="array" ref="O2311">INDEX(TechRate,MATCH(H2311,TechNum,0))</f>
        <v>80</v>
      </c>
      <c r="P2311" s="10">
        <f>WorkOrders2710[[#This Row],[Techs]]*(WorkOrders2710[[#This Row],[PartsCost]]*WorkOrders2710[[#This Row],[LbrHrs]])</f>
        <v>102.59295</v>
      </c>
      <c r="Q2311" s="10">
        <f t="shared" si="209"/>
        <v>102.59295</v>
      </c>
      <c r="R2311" s="10">
        <f t="shared" si="210"/>
        <v>205.1859</v>
      </c>
      <c r="S2311" s="10">
        <f t="shared" si="211"/>
        <v>307.77885000000003</v>
      </c>
      <c r="T2311" s="10">
        <f t="shared" si="212"/>
        <v>307.77885000000003</v>
      </c>
      <c r="U2311" s="8" t="str">
        <f t="shared" si="213"/>
        <v>Mon</v>
      </c>
      <c r="V2311" s="8" t="str">
        <f t="shared" si="214"/>
        <v>Wed</v>
      </c>
    </row>
    <row r="2312" spans="1:22" hidden="1" x14ac:dyDescent="0.25">
      <c r="A2312" t="s">
        <v>350</v>
      </c>
      <c r="B2312" t="s">
        <v>38</v>
      </c>
      <c r="C2312" t="s">
        <v>43</v>
      </c>
      <c r="D2312" t="s">
        <v>13</v>
      </c>
      <c r="F2312" s="5">
        <v>44228</v>
      </c>
      <c r="G2312" s="5">
        <v>44252</v>
      </c>
      <c r="H2312" s="2">
        <v>1</v>
      </c>
      <c r="I2312" s="6"/>
      <c r="J2312" s="6"/>
      <c r="K2312" s="7">
        <v>0.5</v>
      </c>
      <c r="L2312" s="7">
        <v>42.9</v>
      </c>
      <c r="M2312" t="s">
        <v>17</v>
      </c>
      <c r="N2312" s="16">
        <f>POWER(SQRT(WorkOrders2710[[#This Row],[WorkDate]]-WorkOrders2710[[#This Row],[ReqDate]]),2)</f>
        <v>23.999999999999996</v>
      </c>
      <c r="O2312" s="8">
        <f t="array" ref="O2312">INDEX(TechRate,MATCH(H2312,TechNum,0))</f>
        <v>80</v>
      </c>
      <c r="P2312" s="10">
        <f>WorkOrders2710[[#This Row],[Techs]]*(WorkOrders2710[[#This Row],[PartsCost]]*WorkOrders2710[[#This Row],[LbrHrs]])</f>
        <v>21.45</v>
      </c>
      <c r="Q2312" s="10">
        <f t="shared" si="209"/>
        <v>21.45</v>
      </c>
      <c r="R2312" s="10">
        <f t="shared" si="210"/>
        <v>42.9</v>
      </c>
      <c r="S2312" s="10">
        <f t="shared" si="211"/>
        <v>64.349999999999994</v>
      </c>
      <c r="T2312" s="10">
        <f t="shared" si="212"/>
        <v>64.349999999999994</v>
      </c>
      <c r="U2312" s="8" t="str">
        <f t="shared" si="213"/>
        <v>Mon</v>
      </c>
      <c r="V2312" s="8" t="str">
        <f t="shared" si="214"/>
        <v>Thu</v>
      </c>
    </row>
    <row r="2313" spans="1:22" hidden="1" x14ac:dyDescent="0.25">
      <c r="A2313" t="s">
        <v>351</v>
      </c>
      <c r="B2313" t="s">
        <v>40</v>
      </c>
      <c r="C2313" t="s">
        <v>7</v>
      </c>
      <c r="D2313" t="s">
        <v>13</v>
      </c>
      <c r="F2313" s="5">
        <v>44228</v>
      </c>
      <c r="G2313" s="5">
        <v>44258</v>
      </c>
      <c r="H2313" s="2">
        <v>2</v>
      </c>
      <c r="I2313" s="6"/>
      <c r="J2313" s="6"/>
      <c r="K2313" s="7">
        <v>1.5</v>
      </c>
      <c r="L2313" s="7">
        <v>319.82150000000001</v>
      </c>
      <c r="M2313" t="s">
        <v>17</v>
      </c>
      <c r="N2313" s="16">
        <f>POWER(SQRT(WorkOrders2710[[#This Row],[WorkDate]]-WorkOrders2710[[#This Row],[ReqDate]]),2)</f>
        <v>30</v>
      </c>
      <c r="O2313" s="8">
        <f t="array" ref="O2313">INDEX(TechRate,MATCH(H2313,TechNum,0))</f>
        <v>140</v>
      </c>
      <c r="P2313" s="10">
        <f>WorkOrders2710[[#This Row],[Techs]]*(WorkOrders2710[[#This Row],[PartsCost]]*WorkOrders2710[[#This Row],[LbrHrs]])</f>
        <v>959.46450000000004</v>
      </c>
      <c r="Q2313" s="10">
        <f t="shared" si="209"/>
        <v>959.46450000000004</v>
      </c>
      <c r="R2313" s="10">
        <f t="shared" si="210"/>
        <v>319.82150000000001</v>
      </c>
      <c r="S2313" s="10">
        <f t="shared" si="211"/>
        <v>1279.2860000000001</v>
      </c>
      <c r="T2313" s="10">
        <f t="shared" si="212"/>
        <v>1279.2860000000001</v>
      </c>
      <c r="U2313" s="8" t="str">
        <f t="shared" si="213"/>
        <v>Mon</v>
      </c>
      <c r="V2313" s="8" t="str">
        <f t="shared" si="214"/>
        <v>Wed</v>
      </c>
    </row>
    <row r="2314" spans="1:22" hidden="1" x14ac:dyDescent="0.25">
      <c r="A2314" t="s">
        <v>352</v>
      </c>
      <c r="B2314" t="s">
        <v>41</v>
      </c>
      <c r="C2314" t="s">
        <v>7</v>
      </c>
      <c r="D2314" t="s">
        <v>12</v>
      </c>
      <c r="F2314" s="5">
        <v>44228</v>
      </c>
      <c r="G2314" s="5">
        <v>44266</v>
      </c>
      <c r="H2314" s="2">
        <v>1</v>
      </c>
      <c r="I2314" s="6"/>
      <c r="J2314" s="6"/>
      <c r="K2314" s="7">
        <v>0.25</v>
      </c>
      <c r="L2314" s="7">
        <v>21.33</v>
      </c>
      <c r="M2314" t="s">
        <v>17</v>
      </c>
      <c r="N2314" s="16">
        <f>POWER(SQRT(WorkOrders2710[[#This Row],[WorkDate]]-WorkOrders2710[[#This Row],[ReqDate]]),2)</f>
        <v>37.999999999999993</v>
      </c>
      <c r="O2314" s="8">
        <f t="array" ref="O2314">INDEX(TechRate,MATCH(H2314,TechNum,0))</f>
        <v>80</v>
      </c>
      <c r="P2314" s="10">
        <f>WorkOrders2710[[#This Row],[Techs]]*(WorkOrders2710[[#This Row],[PartsCost]]*WorkOrders2710[[#This Row],[LbrHrs]])</f>
        <v>5.3324999999999996</v>
      </c>
      <c r="Q2314" s="10">
        <f t="shared" si="209"/>
        <v>5.3324999999999996</v>
      </c>
      <c r="R2314" s="10">
        <f t="shared" si="210"/>
        <v>21.33</v>
      </c>
      <c r="S2314" s="10">
        <f t="shared" si="211"/>
        <v>26.662499999999998</v>
      </c>
      <c r="T2314" s="10">
        <f t="shared" si="212"/>
        <v>26.662499999999998</v>
      </c>
      <c r="U2314" s="8" t="str">
        <f t="shared" si="213"/>
        <v>Mon</v>
      </c>
      <c r="V2314" s="8" t="str">
        <f t="shared" si="214"/>
        <v>Thu</v>
      </c>
    </row>
    <row r="2315" spans="1:22" hidden="1" x14ac:dyDescent="0.25">
      <c r="A2315" t="s">
        <v>353</v>
      </c>
      <c r="B2315" t="s">
        <v>36</v>
      </c>
      <c r="C2315" t="s">
        <v>7</v>
      </c>
      <c r="D2315" t="s">
        <v>12</v>
      </c>
      <c r="F2315" s="5">
        <v>44229</v>
      </c>
      <c r="G2315" s="5">
        <v>44229</v>
      </c>
      <c r="H2315" s="2">
        <v>2</v>
      </c>
      <c r="I2315" s="6"/>
      <c r="J2315" s="6"/>
      <c r="K2315" s="7">
        <v>0.5</v>
      </c>
      <c r="L2315" s="7">
        <v>21.33</v>
      </c>
      <c r="M2315" t="s">
        <v>17</v>
      </c>
      <c r="N2315" s="16">
        <f>POWER(SQRT(WorkOrders2710[[#This Row],[WorkDate]]-WorkOrders2710[[#This Row],[ReqDate]]),2)</f>
        <v>0</v>
      </c>
      <c r="O2315" s="8">
        <f t="array" ref="O2315">INDEX(TechRate,MATCH(H2315,TechNum,0))</f>
        <v>140</v>
      </c>
      <c r="P2315" s="10">
        <f>WorkOrders2710[[#This Row],[Techs]]*(WorkOrders2710[[#This Row],[PartsCost]]*WorkOrders2710[[#This Row],[LbrHrs]])</f>
        <v>21.33</v>
      </c>
      <c r="Q2315" s="10">
        <f t="shared" si="209"/>
        <v>21.33</v>
      </c>
      <c r="R2315" s="10">
        <f t="shared" si="210"/>
        <v>21.33</v>
      </c>
      <c r="S2315" s="10">
        <f t="shared" si="211"/>
        <v>42.66</v>
      </c>
      <c r="T2315" s="10">
        <f t="shared" si="212"/>
        <v>42.66</v>
      </c>
      <c r="U2315" s="8" t="str">
        <f t="shared" si="213"/>
        <v>Tue</v>
      </c>
      <c r="V2315" s="8" t="str">
        <f t="shared" si="214"/>
        <v>Tue</v>
      </c>
    </row>
    <row r="2316" spans="1:22" hidden="1" x14ac:dyDescent="0.25">
      <c r="A2316" t="s">
        <v>354</v>
      </c>
      <c r="B2316" t="s">
        <v>40</v>
      </c>
      <c r="C2316" t="s">
        <v>7</v>
      </c>
      <c r="D2316" t="s">
        <v>13</v>
      </c>
      <c r="F2316" s="5">
        <v>44229</v>
      </c>
      <c r="G2316" s="5">
        <v>44236</v>
      </c>
      <c r="H2316" s="2">
        <v>2</v>
      </c>
      <c r="I2316" s="6"/>
      <c r="J2316" s="6"/>
      <c r="K2316" s="7">
        <v>0.5</v>
      </c>
      <c r="L2316" s="7">
        <v>1231.2</v>
      </c>
      <c r="M2316" t="s">
        <v>18</v>
      </c>
      <c r="N2316" s="16">
        <f>POWER(SQRT(WorkOrders2710[[#This Row],[WorkDate]]-WorkOrders2710[[#This Row],[ReqDate]]),2)</f>
        <v>7.0000000000000009</v>
      </c>
      <c r="O2316" s="8">
        <f t="array" ref="O2316">INDEX(TechRate,MATCH(H2316,TechNum,0))</f>
        <v>140</v>
      </c>
      <c r="P2316" s="10">
        <f>WorkOrders2710[[#This Row],[Techs]]*(WorkOrders2710[[#This Row],[PartsCost]]*WorkOrders2710[[#This Row],[LbrHrs]])</f>
        <v>1231.2</v>
      </c>
      <c r="Q2316" s="10">
        <f t="shared" si="209"/>
        <v>1231.2</v>
      </c>
      <c r="R2316" s="10">
        <f t="shared" si="210"/>
        <v>1231.2</v>
      </c>
      <c r="S2316" s="10">
        <f t="shared" si="211"/>
        <v>2462.4</v>
      </c>
      <c r="T2316" s="10">
        <f t="shared" si="212"/>
        <v>2462.4</v>
      </c>
      <c r="U2316" s="8" t="str">
        <f t="shared" si="213"/>
        <v>Tue</v>
      </c>
      <c r="V2316" s="8" t="str">
        <f t="shared" si="214"/>
        <v>Tue</v>
      </c>
    </row>
    <row r="2317" spans="1:22" hidden="1" x14ac:dyDescent="0.25">
      <c r="A2317" t="s">
        <v>355</v>
      </c>
      <c r="B2317" t="s">
        <v>36</v>
      </c>
      <c r="C2317" t="s">
        <v>7</v>
      </c>
      <c r="D2317" t="s">
        <v>13</v>
      </c>
      <c r="F2317" s="5">
        <v>44229</v>
      </c>
      <c r="G2317" s="5">
        <v>44244</v>
      </c>
      <c r="H2317" s="2">
        <v>2</v>
      </c>
      <c r="I2317" s="6"/>
      <c r="J2317" s="6"/>
      <c r="K2317" s="7">
        <v>0.5</v>
      </c>
      <c r="L2317" s="7">
        <v>56.496899999999997</v>
      </c>
      <c r="M2317" t="s">
        <v>18</v>
      </c>
      <c r="N2317" s="16">
        <f>POWER(SQRT(WorkOrders2710[[#This Row],[WorkDate]]-WorkOrders2710[[#This Row],[ReqDate]]),2)</f>
        <v>15.000000000000002</v>
      </c>
      <c r="O2317" s="8">
        <f t="array" ref="O2317">INDEX(TechRate,MATCH(H2317,TechNum,0))</f>
        <v>140</v>
      </c>
      <c r="P2317" s="10">
        <f>WorkOrders2710[[#This Row],[Techs]]*(WorkOrders2710[[#This Row],[PartsCost]]*WorkOrders2710[[#This Row],[LbrHrs]])</f>
        <v>56.496899999999997</v>
      </c>
      <c r="Q2317" s="10">
        <f t="shared" si="209"/>
        <v>56.496899999999997</v>
      </c>
      <c r="R2317" s="10">
        <f t="shared" si="210"/>
        <v>56.496899999999997</v>
      </c>
      <c r="S2317" s="10">
        <f t="shared" si="211"/>
        <v>112.99379999999999</v>
      </c>
      <c r="T2317" s="10">
        <f t="shared" si="212"/>
        <v>112.99379999999999</v>
      </c>
      <c r="U2317" s="8" t="str">
        <f t="shared" si="213"/>
        <v>Tue</v>
      </c>
      <c r="V2317" s="8" t="str">
        <f t="shared" si="214"/>
        <v>Wed</v>
      </c>
    </row>
    <row r="2318" spans="1:22" hidden="1" x14ac:dyDescent="0.25">
      <c r="A2318" t="s">
        <v>356</v>
      </c>
      <c r="B2318" t="s">
        <v>36</v>
      </c>
      <c r="C2318" t="s">
        <v>7</v>
      </c>
      <c r="D2318" t="s">
        <v>13</v>
      </c>
      <c r="F2318" s="5">
        <v>44229</v>
      </c>
      <c r="G2318" s="5">
        <v>44245</v>
      </c>
      <c r="H2318" s="2">
        <v>2</v>
      </c>
      <c r="I2318" s="6"/>
      <c r="J2318" s="6"/>
      <c r="K2318" s="7">
        <v>0.5</v>
      </c>
      <c r="L2318" s="7">
        <v>269.95400000000001</v>
      </c>
      <c r="M2318" t="s">
        <v>17</v>
      </c>
      <c r="N2318" s="16">
        <f>POWER(SQRT(WorkOrders2710[[#This Row],[WorkDate]]-WorkOrders2710[[#This Row],[ReqDate]]),2)</f>
        <v>16</v>
      </c>
      <c r="O2318" s="8">
        <f t="array" ref="O2318">INDEX(TechRate,MATCH(H2318,TechNum,0))</f>
        <v>140</v>
      </c>
      <c r="P2318" s="10">
        <f>WorkOrders2710[[#This Row],[Techs]]*(WorkOrders2710[[#This Row],[PartsCost]]*WorkOrders2710[[#This Row],[LbrHrs]])</f>
        <v>269.95400000000001</v>
      </c>
      <c r="Q2318" s="10">
        <f t="shared" si="209"/>
        <v>269.95400000000001</v>
      </c>
      <c r="R2318" s="10">
        <f t="shared" si="210"/>
        <v>269.95400000000001</v>
      </c>
      <c r="S2318" s="10">
        <f t="shared" si="211"/>
        <v>539.90800000000002</v>
      </c>
      <c r="T2318" s="10">
        <f t="shared" si="212"/>
        <v>539.90800000000002</v>
      </c>
      <c r="U2318" s="8" t="str">
        <f t="shared" si="213"/>
        <v>Tue</v>
      </c>
      <c r="V2318" s="8" t="str">
        <f t="shared" si="214"/>
        <v>Thu</v>
      </c>
    </row>
    <row r="2319" spans="1:22" hidden="1" x14ac:dyDescent="0.25">
      <c r="A2319" t="s">
        <v>357</v>
      </c>
      <c r="B2319" t="s">
        <v>40</v>
      </c>
      <c r="C2319" t="s">
        <v>7</v>
      </c>
      <c r="D2319" t="s">
        <v>13</v>
      </c>
      <c r="F2319" s="5">
        <v>44229</v>
      </c>
      <c r="G2319" s="5">
        <v>44258</v>
      </c>
      <c r="H2319" s="2">
        <v>2</v>
      </c>
      <c r="I2319" s="6"/>
      <c r="J2319" s="6"/>
      <c r="K2319" s="7">
        <v>0.5</v>
      </c>
      <c r="L2319" s="7">
        <v>83.231700000000004</v>
      </c>
      <c r="M2319" t="s">
        <v>17</v>
      </c>
      <c r="N2319" s="16">
        <f>POWER(SQRT(WorkOrders2710[[#This Row],[WorkDate]]-WorkOrders2710[[#This Row],[ReqDate]]),2)</f>
        <v>28.999999999999996</v>
      </c>
      <c r="O2319" s="8">
        <f t="array" ref="O2319">INDEX(TechRate,MATCH(H2319,TechNum,0))</f>
        <v>140</v>
      </c>
      <c r="P2319" s="10">
        <f>WorkOrders2710[[#This Row],[Techs]]*(WorkOrders2710[[#This Row],[PartsCost]]*WorkOrders2710[[#This Row],[LbrHrs]])</f>
        <v>83.231700000000004</v>
      </c>
      <c r="Q2319" s="10">
        <f t="shared" si="209"/>
        <v>83.231700000000004</v>
      </c>
      <c r="R2319" s="10">
        <f t="shared" si="210"/>
        <v>83.231700000000004</v>
      </c>
      <c r="S2319" s="10">
        <f t="shared" si="211"/>
        <v>166.46340000000001</v>
      </c>
      <c r="T2319" s="10">
        <f t="shared" si="212"/>
        <v>166.46340000000001</v>
      </c>
      <c r="U2319" s="8" t="str">
        <f t="shared" si="213"/>
        <v>Tue</v>
      </c>
      <c r="V2319" s="8" t="str">
        <f t="shared" si="214"/>
        <v>Wed</v>
      </c>
    </row>
    <row r="2320" spans="1:22" hidden="1" x14ac:dyDescent="0.25">
      <c r="A2320" t="s">
        <v>358</v>
      </c>
      <c r="B2320" t="s">
        <v>39</v>
      </c>
      <c r="C2320" t="s">
        <v>9</v>
      </c>
      <c r="D2320" t="s">
        <v>11</v>
      </c>
      <c r="F2320" s="5">
        <v>44229</v>
      </c>
      <c r="G2320" s="5">
        <v>44273</v>
      </c>
      <c r="H2320" s="2">
        <v>1</v>
      </c>
      <c r="I2320" s="6"/>
      <c r="J2320" s="6"/>
      <c r="K2320" s="7">
        <v>0.25</v>
      </c>
      <c r="L2320" s="7">
        <v>88.624799999999993</v>
      </c>
      <c r="M2320" t="s">
        <v>17</v>
      </c>
      <c r="N2320" s="16">
        <f>POWER(SQRT(WorkOrders2710[[#This Row],[WorkDate]]-WorkOrders2710[[#This Row],[ReqDate]]),2)</f>
        <v>44</v>
      </c>
      <c r="O2320" s="8">
        <f t="array" ref="O2320">INDEX(TechRate,MATCH(H2320,TechNum,0))</f>
        <v>80</v>
      </c>
      <c r="P2320" s="10">
        <f>WorkOrders2710[[#This Row],[Techs]]*(WorkOrders2710[[#This Row],[PartsCost]]*WorkOrders2710[[#This Row],[LbrHrs]])</f>
        <v>22.156199999999998</v>
      </c>
      <c r="Q2320" s="10">
        <f t="shared" si="209"/>
        <v>22.156199999999998</v>
      </c>
      <c r="R2320" s="10">
        <f t="shared" si="210"/>
        <v>88.624799999999993</v>
      </c>
      <c r="S2320" s="10">
        <f t="shared" si="211"/>
        <v>110.78099999999999</v>
      </c>
      <c r="T2320" s="10">
        <f t="shared" si="212"/>
        <v>110.78099999999999</v>
      </c>
      <c r="U2320" s="8" t="str">
        <f t="shared" si="213"/>
        <v>Tue</v>
      </c>
      <c r="V2320" s="8" t="str">
        <f t="shared" si="214"/>
        <v>Thu</v>
      </c>
    </row>
    <row r="2321" spans="1:22" hidden="1" x14ac:dyDescent="0.25">
      <c r="A2321" t="s">
        <v>359</v>
      </c>
      <c r="B2321" t="s">
        <v>38</v>
      </c>
      <c r="C2321" t="s">
        <v>8</v>
      </c>
      <c r="D2321" t="s">
        <v>11</v>
      </c>
      <c r="F2321" s="5">
        <v>44229</v>
      </c>
      <c r="G2321" s="5">
        <v>44341</v>
      </c>
      <c r="H2321" s="2">
        <v>1</v>
      </c>
      <c r="I2321" s="6"/>
      <c r="J2321" s="6"/>
      <c r="K2321" s="7">
        <v>0.25</v>
      </c>
      <c r="L2321" s="7">
        <v>40</v>
      </c>
      <c r="M2321" t="s">
        <v>19</v>
      </c>
      <c r="N2321" s="16">
        <f>POWER(SQRT(WorkOrders2710[[#This Row],[WorkDate]]-WorkOrders2710[[#This Row],[ReqDate]]),2)</f>
        <v>112.00000000000001</v>
      </c>
      <c r="O2321" s="8">
        <f t="array" ref="O2321">INDEX(TechRate,MATCH(H2321,TechNum,0))</f>
        <v>80</v>
      </c>
      <c r="P2321" s="10">
        <f>WorkOrders2710[[#This Row],[Techs]]*(WorkOrders2710[[#This Row],[PartsCost]]*WorkOrders2710[[#This Row],[LbrHrs]])</f>
        <v>10</v>
      </c>
      <c r="Q2321" s="10">
        <f t="shared" si="209"/>
        <v>10</v>
      </c>
      <c r="R2321" s="10">
        <f t="shared" si="210"/>
        <v>40</v>
      </c>
      <c r="S2321" s="10">
        <f t="shared" si="211"/>
        <v>50</v>
      </c>
      <c r="T2321" s="10">
        <f t="shared" si="212"/>
        <v>50</v>
      </c>
      <c r="U2321" s="8" t="str">
        <f t="shared" si="213"/>
        <v>Tue</v>
      </c>
      <c r="V2321" s="8" t="str">
        <f t="shared" si="214"/>
        <v>Tue</v>
      </c>
    </row>
    <row r="2322" spans="1:22" hidden="1" x14ac:dyDescent="0.25">
      <c r="A2322" t="s">
        <v>360</v>
      </c>
      <c r="B2322" t="s">
        <v>37</v>
      </c>
      <c r="C2322" t="s">
        <v>43</v>
      </c>
      <c r="D2322" t="s">
        <v>12</v>
      </c>
      <c r="F2322" s="5">
        <v>44231</v>
      </c>
      <c r="G2322" s="5">
        <v>44242</v>
      </c>
      <c r="H2322" s="2">
        <v>1</v>
      </c>
      <c r="I2322" s="6"/>
      <c r="J2322" s="6"/>
      <c r="K2322" s="7">
        <v>1.5</v>
      </c>
      <c r="L2322" s="7">
        <v>33.475000000000001</v>
      </c>
      <c r="M2322" t="s">
        <v>19</v>
      </c>
      <c r="N2322" s="16">
        <f>POWER(SQRT(WorkOrders2710[[#This Row],[WorkDate]]-WorkOrders2710[[#This Row],[ReqDate]]),2)</f>
        <v>11</v>
      </c>
      <c r="O2322" s="8">
        <f t="array" ref="O2322">INDEX(TechRate,MATCH(H2322,TechNum,0))</f>
        <v>80</v>
      </c>
      <c r="P2322" s="10">
        <f>WorkOrders2710[[#This Row],[Techs]]*(WorkOrders2710[[#This Row],[PartsCost]]*WorkOrders2710[[#This Row],[LbrHrs]])</f>
        <v>50.212500000000006</v>
      </c>
      <c r="Q2322" s="10">
        <f t="shared" si="209"/>
        <v>50.212500000000006</v>
      </c>
      <c r="R2322" s="10">
        <f t="shared" si="210"/>
        <v>33.475000000000001</v>
      </c>
      <c r="S2322" s="10">
        <f t="shared" si="211"/>
        <v>83.6875</v>
      </c>
      <c r="T2322" s="10">
        <f t="shared" si="212"/>
        <v>83.6875</v>
      </c>
      <c r="U2322" s="8" t="str">
        <f t="shared" si="213"/>
        <v>Thu</v>
      </c>
      <c r="V2322" s="8" t="str">
        <f t="shared" si="214"/>
        <v>Mon</v>
      </c>
    </row>
    <row r="2323" spans="1:22" hidden="1" x14ac:dyDescent="0.25">
      <c r="A2323" t="s">
        <v>361</v>
      </c>
      <c r="B2323" t="s">
        <v>38</v>
      </c>
      <c r="C2323" t="s">
        <v>9</v>
      </c>
      <c r="D2323" t="s">
        <v>12</v>
      </c>
      <c r="F2323" s="5">
        <v>44231</v>
      </c>
      <c r="G2323" s="5">
        <v>44247</v>
      </c>
      <c r="H2323" s="2">
        <v>2</v>
      </c>
      <c r="I2323" s="6"/>
      <c r="J2323" s="6"/>
      <c r="K2323" s="7">
        <v>0.25</v>
      </c>
      <c r="L2323" s="7">
        <v>33.8611</v>
      </c>
      <c r="M2323" t="s">
        <v>17</v>
      </c>
      <c r="N2323" s="16">
        <f>POWER(SQRT(WorkOrders2710[[#This Row],[WorkDate]]-WorkOrders2710[[#This Row],[ReqDate]]),2)</f>
        <v>16</v>
      </c>
      <c r="O2323" s="8">
        <f t="array" ref="O2323">INDEX(TechRate,MATCH(H2323,TechNum,0))</f>
        <v>140</v>
      </c>
      <c r="P2323" s="10">
        <f>WorkOrders2710[[#This Row],[Techs]]*(WorkOrders2710[[#This Row],[PartsCost]]*WorkOrders2710[[#This Row],[LbrHrs]])</f>
        <v>16.93055</v>
      </c>
      <c r="Q2323" s="10">
        <f t="shared" si="209"/>
        <v>16.93055</v>
      </c>
      <c r="R2323" s="10">
        <f t="shared" si="210"/>
        <v>33.8611</v>
      </c>
      <c r="S2323" s="10">
        <f t="shared" si="211"/>
        <v>50.791650000000004</v>
      </c>
      <c r="T2323" s="10">
        <f t="shared" si="212"/>
        <v>50.791650000000004</v>
      </c>
      <c r="U2323" s="8" t="str">
        <f t="shared" si="213"/>
        <v>Thu</v>
      </c>
      <c r="V2323" s="8" t="str">
        <f t="shared" si="214"/>
        <v>Sat</v>
      </c>
    </row>
    <row r="2324" spans="1:22" hidden="1" x14ac:dyDescent="0.25">
      <c r="A2324" t="s">
        <v>362</v>
      </c>
      <c r="B2324" t="s">
        <v>37</v>
      </c>
      <c r="C2324" t="s">
        <v>43</v>
      </c>
      <c r="D2324" t="s">
        <v>11</v>
      </c>
      <c r="F2324" s="5">
        <v>44231</v>
      </c>
      <c r="G2324" s="5">
        <v>44250</v>
      </c>
      <c r="H2324" s="2">
        <v>1</v>
      </c>
      <c r="I2324" s="6"/>
      <c r="J2324" s="6"/>
      <c r="K2324" s="7">
        <v>0.25</v>
      </c>
      <c r="L2324" s="7">
        <v>33.957900000000002</v>
      </c>
      <c r="M2324" t="s">
        <v>17</v>
      </c>
      <c r="N2324" s="16">
        <f>POWER(SQRT(WorkOrders2710[[#This Row],[WorkDate]]-WorkOrders2710[[#This Row],[ReqDate]]),2)</f>
        <v>19.000000000000004</v>
      </c>
      <c r="O2324" s="8">
        <f t="array" ref="O2324">INDEX(TechRate,MATCH(H2324,TechNum,0))</f>
        <v>80</v>
      </c>
      <c r="P2324" s="10">
        <f>WorkOrders2710[[#This Row],[Techs]]*(WorkOrders2710[[#This Row],[PartsCost]]*WorkOrders2710[[#This Row],[LbrHrs]])</f>
        <v>8.4894750000000005</v>
      </c>
      <c r="Q2324" s="10">
        <f t="shared" si="209"/>
        <v>8.4894750000000005</v>
      </c>
      <c r="R2324" s="10">
        <f t="shared" si="210"/>
        <v>33.957900000000002</v>
      </c>
      <c r="S2324" s="10">
        <f t="shared" si="211"/>
        <v>42.447375000000001</v>
      </c>
      <c r="T2324" s="10">
        <f t="shared" si="212"/>
        <v>42.447375000000001</v>
      </c>
      <c r="U2324" s="8" t="str">
        <f t="shared" si="213"/>
        <v>Thu</v>
      </c>
      <c r="V2324" s="8" t="str">
        <f t="shared" si="214"/>
        <v>Tue</v>
      </c>
    </row>
    <row r="2325" spans="1:22" hidden="1" x14ac:dyDescent="0.25">
      <c r="A2325" t="s">
        <v>363</v>
      </c>
      <c r="B2325" t="s">
        <v>38</v>
      </c>
      <c r="C2325" t="s">
        <v>8</v>
      </c>
      <c r="D2325" t="s">
        <v>12</v>
      </c>
      <c r="F2325" s="5">
        <v>44231</v>
      </c>
      <c r="G2325" s="5">
        <v>44260</v>
      </c>
      <c r="H2325" s="2">
        <v>1</v>
      </c>
      <c r="I2325" s="6"/>
      <c r="J2325" s="6"/>
      <c r="K2325" s="7">
        <v>0.5</v>
      </c>
      <c r="L2325" s="7">
        <v>36.890099999999997</v>
      </c>
      <c r="M2325" t="s">
        <v>18</v>
      </c>
      <c r="N2325" s="16">
        <f>POWER(SQRT(WorkOrders2710[[#This Row],[WorkDate]]-WorkOrders2710[[#This Row],[ReqDate]]),2)</f>
        <v>28.999999999999996</v>
      </c>
      <c r="O2325" s="8">
        <f t="array" ref="O2325">INDEX(TechRate,MATCH(H2325,TechNum,0))</f>
        <v>80</v>
      </c>
      <c r="P2325" s="10">
        <f>WorkOrders2710[[#This Row],[Techs]]*(WorkOrders2710[[#This Row],[PartsCost]]*WorkOrders2710[[#This Row],[LbrHrs]])</f>
        <v>18.445049999999998</v>
      </c>
      <c r="Q2325" s="10">
        <f t="shared" si="209"/>
        <v>18.445049999999998</v>
      </c>
      <c r="R2325" s="10">
        <f t="shared" si="210"/>
        <v>36.890099999999997</v>
      </c>
      <c r="S2325" s="10">
        <f t="shared" si="211"/>
        <v>55.335149999999999</v>
      </c>
      <c r="T2325" s="10">
        <f t="shared" si="212"/>
        <v>55.335149999999999</v>
      </c>
      <c r="U2325" s="8" t="str">
        <f t="shared" si="213"/>
        <v>Thu</v>
      </c>
      <c r="V2325" s="8" t="str">
        <f t="shared" si="214"/>
        <v>Fri</v>
      </c>
    </row>
    <row r="2326" spans="1:22" hidden="1" x14ac:dyDescent="0.25">
      <c r="A2326" t="s">
        <v>364</v>
      </c>
      <c r="B2326" t="s">
        <v>39</v>
      </c>
      <c r="C2326" t="s">
        <v>8</v>
      </c>
      <c r="D2326" t="s">
        <v>12</v>
      </c>
      <c r="F2326" s="5">
        <v>44231</v>
      </c>
      <c r="G2326" s="5">
        <v>44264</v>
      </c>
      <c r="H2326" s="2">
        <v>1</v>
      </c>
      <c r="I2326" s="6"/>
      <c r="J2326" s="6"/>
      <c r="K2326" s="7">
        <v>0.5</v>
      </c>
      <c r="L2326" s="7">
        <v>25.339500000000001</v>
      </c>
      <c r="M2326" t="s">
        <v>18</v>
      </c>
      <c r="N2326" s="16">
        <f>POWER(SQRT(WorkOrders2710[[#This Row],[WorkDate]]-WorkOrders2710[[#This Row],[ReqDate]]),2)</f>
        <v>33</v>
      </c>
      <c r="O2326" s="8">
        <f t="array" ref="O2326">INDEX(TechRate,MATCH(H2326,TechNum,0))</f>
        <v>80</v>
      </c>
      <c r="P2326" s="10">
        <f>WorkOrders2710[[#This Row],[Techs]]*(WorkOrders2710[[#This Row],[PartsCost]]*WorkOrders2710[[#This Row],[LbrHrs]])</f>
        <v>12.669750000000001</v>
      </c>
      <c r="Q2326" s="10">
        <f t="shared" si="209"/>
        <v>12.669750000000001</v>
      </c>
      <c r="R2326" s="10">
        <f t="shared" si="210"/>
        <v>25.339500000000001</v>
      </c>
      <c r="S2326" s="10">
        <f t="shared" si="211"/>
        <v>38.009250000000002</v>
      </c>
      <c r="T2326" s="10">
        <f t="shared" si="212"/>
        <v>38.009250000000002</v>
      </c>
      <c r="U2326" s="8" t="str">
        <f t="shared" si="213"/>
        <v>Thu</v>
      </c>
      <c r="V2326" s="8" t="str">
        <f t="shared" si="214"/>
        <v>Tue</v>
      </c>
    </row>
    <row r="2327" spans="1:22" hidden="1" x14ac:dyDescent="0.25">
      <c r="A2327" t="s">
        <v>365</v>
      </c>
      <c r="B2327" t="s">
        <v>41</v>
      </c>
      <c r="C2327" t="s">
        <v>7</v>
      </c>
      <c r="D2327" t="s">
        <v>11</v>
      </c>
      <c r="F2327" s="5">
        <v>44231</v>
      </c>
      <c r="G2327" s="5">
        <v>44270</v>
      </c>
      <c r="H2327" s="2">
        <v>1</v>
      </c>
      <c r="I2327" s="6"/>
      <c r="J2327" s="6"/>
      <c r="K2327" s="7">
        <v>0.25</v>
      </c>
      <c r="L2327" s="7">
        <v>30</v>
      </c>
      <c r="M2327" t="s">
        <v>17</v>
      </c>
      <c r="N2327" s="16">
        <f>POWER(SQRT(WorkOrders2710[[#This Row],[WorkDate]]-WorkOrders2710[[#This Row],[ReqDate]]),2)</f>
        <v>39</v>
      </c>
      <c r="O2327" s="8">
        <f t="array" ref="O2327">INDEX(TechRate,MATCH(H2327,TechNum,0))</f>
        <v>80</v>
      </c>
      <c r="P2327" s="10">
        <f>WorkOrders2710[[#This Row],[Techs]]*(WorkOrders2710[[#This Row],[PartsCost]]*WorkOrders2710[[#This Row],[LbrHrs]])</f>
        <v>7.5</v>
      </c>
      <c r="Q2327" s="10">
        <f t="shared" si="209"/>
        <v>7.5</v>
      </c>
      <c r="R2327" s="10">
        <f t="shared" si="210"/>
        <v>30</v>
      </c>
      <c r="S2327" s="10">
        <f t="shared" si="211"/>
        <v>37.5</v>
      </c>
      <c r="T2327" s="10">
        <f t="shared" si="212"/>
        <v>37.5</v>
      </c>
      <c r="U2327" s="8" t="str">
        <f t="shared" si="213"/>
        <v>Thu</v>
      </c>
      <c r="V2327" s="8" t="str">
        <f t="shared" si="214"/>
        <v>Mon</v>
      </c>
    </row>
    <row r="2328" spans="1:22" hidden="1" x14ac:dyDescent="0.25">
      <c r="A2328" t="s">
        <v>366</v>
      </c>
      <c r="B2328" t="s">
        <v>39</v>
      </c>
      <c r="C2328" t="s">
        <v>9</v>
      </c>
      <c r="D2328" t="s">
        <v>12</v>
      </c>
      <c r="E2328" t="s">
        <v>3</v>
      </c>
      <c r="F2328" s="5">
        <v>44232</v>
      </c>
      <c r="G2328" s="5">
        <v>44268</v>
      </c>
      <c r="H2328" s="2">
        <v>1</v>
      </c>
      <c r="I2328" s="6"/>
      <c r="J2328" s="6"/>
      <c r="K2328" s="7">
        <v>0.5</v>
      </c>
      <c r="L2328" s="7">
        <v>31.807600000000001</v>
      </c>
      <c r="M2328" t="s">
        <v>17</v>
      </c>
      <c r="N2328" s="16">
        <f>POWER(SQRT(WorkOrders2710[[#This Row],[WorkDate]]-WorkOrders2710[[#This Row],[ReqDate]]),2)</f>
        <v>36</v>
      </c>
      <c r="O2328" s="8">
        <f t="array" ref="O2328">INDEX(TechRate,MATCH(H2328,TechNum,0))</f>
        <v>80</v>
      </c>
      <c r="P2328" s="10">
        <f>WorkOrders2710[[#This Row],[Techs]]*(WorkOrders2710[[#This Row],[PartsCost]]*WorkOrders2710[[#This Row],[LbrHrs]])</f>
        <v>15.9038</v>
      </c>
      <c r="Q2328" s="10">
        <f t="shared" si="209"/>
        <v>15.9038</v>
      </c>
      <c r="R2328" s="10">
        <f t="shared" si="210"/>
        <v>31.807600000000001</v>
      </c>
      <c r="S2328" s="10">
        <f t="shared" si="211"/>
        <v>47.711399999999998</v>
      </c>
      <c r="T2328" s="10">
        <f t="shared" si="212"/>
        <v>47.711399999999998</v>
      </c>
      <c r="U2328" s="8" t="str">
        <f t="shared" si="213"/>
        <v>Fri</v>
      </c>
      <c r="V2328" s="8" t="str">
        <f t="shared" si="214"/>
        <v>Sat</v>
      </c>
    </row>
    <row r="2329" spans="1:22" hidden="1" x14ac:dyDescent="0.25">
      <c r="A2329" t="s">
        <v>367</v>
      </c>
      <c r="B2329" t="s">
        <v>35</v>
      </c>
      <c r="C2329" t="s">
        <v>8</v>
      </c>
      <c r="D2329" t="s">
        <v>13</v>
      </c>
      <c r="E2329" t="s">
        <v>3</v>
      </c>
      <c r="F2329" s="5">
        <v>44232</v>
      </c>
      <c r="G2329" s="5">
        <v>44377</v>
      </c>
      <c r="H2329" s="2">
        <v>1</v>
      </c>
      <c r="I2329" s="6"/>
      <c r="J2329" s="6"/>
      <c r="K2329" s="7">
        <v>0.5</v>
      </c>
      <c r="L2329" s="7">
        <v>61.17</v>
      </c>
      <c r="M2329" t="s">
        <v>19</v>
      </c>
      <c r="N2329" s="16">
        <f>POWER(SQRT(WorkOrders2710[[#This Row],[WorkDate]]-WorkOrders2710[[#This Row],[ReqDate]]),2)</f>
        <v>145</v>
      </c>
      <c r="O2329" s="8">
        <f t="array" ref="O2329">INDEX(TechRate,MATCH(H2329,TechNum,0))</f>
        <v>80</v>
      </c>
      <c r="P2329" s="10">
        <f>WorkOrders2710[[#This Row],[Techs]]*(WorkOrders2710[[#This Row],[PartsCost]]*WorkOrders2710[[#This Row],[LbrHrs]])</f>
        <v>30.585000000000001</v>
      </c>
      <c r="Q2329" s="10">
        <f t="shared" ref="Q2329:Q2392" si="215">IF(I2329="Yes",0,P2329)</f>
        <v>30.585000000000001</v>
      </c>
      <c r="R2329" s="10">
        <f t="shared" ref="R2329:R2392" si="216">IF(J2329="Yes",0,L2329)</f>
        <v>61.17</v>
      </c>
      <c r="S2329" s="10">
        <f t="shared" ref="S2329:S2392" si="217">SUM(L2329,P2329)</f>
        <v>91.754999999999995</v>
      </c>
      <c r="T2329" s="10">
        <f t="shared" ref="T2329:T2392" si="218">SUM(Q2329,R2329)</f>
        <v>91.754999999999995</v>
      </c>
      <c r="U2329" s="8" t="str">
        <f t="shared" ref="U2329:U2392" si="219">TEXT(F2329,"ddd")</f>
        <v>Fri</v>
      </c>
      <c r="V2329" s="8" t="str">
        <f t="shared" ref="V2329:V2392" si="220">TEXT(G2329,"ddd")</f>
        <v>Wed</v>
      </c>
    </row>
    <row r="2330" spans="1:22" hidden="1" x14ac:dyDescent="0.25">
      <c r="A2330" t="s">
        <v>368</v>
      </c>
      <c r="B2330" t="s">
        <v>38</v>
      </c>
      <c r="C2330" t="s">
        <v>8</v>
      </c>
      <c r="D2330" t="s">
        <v>12</v>
      </c>
      <c r="F2330" s="5">
        <v>44233</v>
      </c>
      <c r="G2330" s="5">
        <v>44278</v>
      </c>
      <c r="H2330" s="2">
        <v>1</v>
      </c>
      <c r="I2330" s="6"/>
      <c r="J2330" s="6"/>
      <c r="K2330" s="7">
        <v>0.5</v>
      </c>
      <c r="L2330" s="7">
        <v>15.542999999999999</v>
      </c>
      <c r="M2330" t="s">
        <v>19</v>
      </c>
      <c r="N2330" s="16">
        <f>POWER(SQRT(WorkOrders2710[[#This Row],[WorkDate]]-WorkOrders2710[[#This Row],[ReqDate]]),2)</f>
        <v>45.000000000000007</v>
      </c>
      <c r="O2330" s="8">
        <f t="array" ref="O2330">INDEX(TechRate,MATCH(H2330,TechNum,0))</f>
        <v>80</v>
      </c>
      <c r="P2330" s="10">
        <f>WorkOrders2710[[#This Row],[Techs]]*(WorkOrders2710[[#This Row],[PartsCost]]*WorkOrders2710[[#This Row],[LbrHrs]])</f>
        <v>7.7714999999999996</v>
      </c>
      <c r="Q2330" s="10">
        <f t="shared" si="215"/>
        <v>7.7714999999999996</v>
      </c>
      <c r="R2330" s="10">
        <f t="shared" si="216"/>
        <v>15.542999999999999</v>
      </c>
      <c r="S2330" s="10">
        <f t="shared" si="217"/>
        <v>23.314499999999999</v>
      </c>
      <c r="T2330" s="10">
        <f t="shared" si="218"/>
        <v>23.314499999999999</v>
      </c>
      <c r="U2330" s="8" t="str">
        <f t="shared" si="219"/>
        <v>Sat</v>
      </c>
      <c r="V2330" s="8" t="str">
        <f t="shared" si="220"/>
        <v>Tue</v>
      </c>
    </row>
    <row r="2331" spans="1:22" hidden="1" x14ac:dyDescent="0.25">
      <c r="A2331" t="s">
        <v>369</v>
      </c>
      <c r="B2331" t="s">
        <v>38</v>
      </c>
      <c r="C2331" t="s">
        <v>8</v>
      </c>
      <c r="D2331" t="s">
        <v>11</v>
      </c>
      <c r="F2331" s="5">
        <v>44233</v>
      </c>
      <c r="G2331" s="5">
        <v>44286</v>
      </c>
      <c r="H2331" s="2">
        <v>1</v>
      </c>
      <c r="I2331" s="6"/>
      <c r="J2331" s="6"/>
      <c r="K2331" s="7">
        <v>0.25</v>
      </c>
      <c r="L2331" s="7">
        <v>72.350099999999998</v>
      </c>
      <c r="M2331" t="s">
        <v>17</v>
      </c>
      <c r="N2331" s="16">
        <f>POWER(SQRT(WorkOrders2710[[#This Row],[WorkDate]]-WorkOrders2710[[#This Row],[ReqDate]]),2)</f>
        <v>53</v>
      </c>
      <c r="O2331" s="8">
        <f t="array" ref="O2331">INDEX(TechRate,MATCH(H2331,TechNum,0))</f>
        <v>80</v>
      </c>
      <c r="P2331" s="10">
        <f>WorkOrders2710[[#This Row],[Techs]]*(WorkOrders2710[[#This Row],[PartsCost]]*WorkOrders2710[[#This Row],[LbrHrs]])</f>
        <v>18.087524999999999</v>
      </c>
      <c r="Q2331" s="10">
        <f t="shared" si="215"/>
        <v>18.087524999999999</v>
      </c>
      <c r="R2331" s="10">
        <f t="shared" si="216"/>
        <v>72.350099999999998</v>
      </c>
      <c r="S2331" s="10">
        <f t="shared" si="217"/>
        <v>90.437624999999997</v>
      </c>
      <c r="T2331" s="10">
        <f t="shared" si="218"/>
        <v>90.437624999999997</v>
      </c>
      <c r="U2331" s="8" t="str">
        <f t="shared" si="219"/>
        <v>Sat</v>
      </c>
      <c r="V2331" s="8" t="str">
        <f t="shared" si="220"/>
        <v>Wed</v>
      </c>
    </row>
    <row r="2332" spans="1:22" hidden="1" x14ac:dyDescent="0.25">
      <c r="A2332" t="s">
        <v>370</v>
      </c>
      <c r="B2332" t="s">
        <v>36</v>
      </c>
      <c r="C2332" t="s">
        <v>7</v>
      </c>
      <c r="D2332" t="s">
        <v>11</v>
      </c>
      <c r="E2332" t="s">
        <v>3</v>
      </c>
      <c r="F2332" s="5">
        <v>44235</v>
      </c>
      <c r="G2332" s="5">
        <v>44246</v>
      </c>
      <c r="H2332" s="2">
        <v>1</v>
      </c>
      <c r="I2332" s="6"/>
      <c r="J2332" s="6"/>
      <c r="K2332" s="7">
        <v>0.25</v>
      </c>
      <c r="L2332" s="7">
        <v>96.714699999999993</v>
      </c>
      <c r="M2332" t="s">
        <v>17</v>
      </c>
      <c r="N2332" s="16">
        <f>POWER(SQRT(WorkOrders2710[[#This Row],[WorkDate]]-WorkOrders2710[[#This Row],[ReqDate]]),2)</f>
        <v>11</v>
      </c>
      <c r="O2332" s="8">
        <f t="array" ref="O2332">INDEX(TechRate,MATCH(H2332,TechNum,0))</f>
        <v>80</v>
      </c>
      <c r="P2332" s="10">
        <f>WorkOrders2710[[#This Row],[Techs]]*(WorkOrders2710[[#This Row],[PartsCost]]*WorkOrders2710[[#This Row],[LbrHrs]])</f>
        <v>24.178674999999998</v>
      </c>
      <c r="Q2332" s="10">
        <f t="shared" si="215"/>
        <v>24.178674999999998</v>
      </c>
      <c r="R2332" s="10">
        <f t="shared" si="216"/>
        <v>96.714699999999993</v>
      </c>
      <c r="S2332" s="10">
        <f t="shared" si="217"/>
        <v>120.89337499999999</v>
      </c>
      <c r="T2332" s="10">
        <f t="shared" si="218"/>
        <v>120.89337499999999</v>
      </c>
      <c r="U2332" s="8" t="str">
        <f t="shared" si="219"/>
        <v>Mon</v>
      </c>
      <c r="V2332" s="8" t="str">
        <f t="shared" si="220"/>
        <v>Fri</v>
      </c>
    </row>
    <row r="2333" spans="1:22" hidden="1" x14ac:dyDescent="0.25">
      <c r="A2333" t="s">
        <v>371</v>
      </c>
      <c r="B2333" t="s">
        <v>35</v>
      </c>
      <c r="C2333" t="s">
        <v>44</v>
      </c>
      <c r="D2333" t="s">
        <v>13</v>
      </c>
      <c r="F2333" s="5">
        <v>44235</v>
      </c>
      <c r="G2333" s="5">
        <v>44243</v>
      </c>
      <c r="H2333" s="2">
        <v>1</v>
      </c>
      <c r="I2333" s="6"/>
      <c r="J2333" s="6"/>
      <c r="K2333" s="7">
        <v>0.5</v>
      </c>
      <c r="L2333" s="7">
        <v>207.89859999999999</v>
      </c>
      <c r="M2333" t="s">
        <v>18</v>
      </c>
      <c r="N2333" s="16">
        <f>POWER(SQRT(WorkOrders2710[[#This Row],[WorkDate]]-WorkOrders2710[[#This Row],[ReqDate]]),2)</f>
        <v>8.0000000000000018</v>
      </c>
      <c r="O2333" s="8">
        <f t="array" ref="O2333">INDEX(TechRate,MATCH(H2333,TechNum,0))</f>
        <v>80</v>
      </c>
      <c r="P2333" s="10">
        <f>WorkOrders2710[[#This Row],[Techs]]*(WorkOrders2710[[#This Row],[PartsCost]]*WorkOrders2710[[#This Row],[LbrHrs]])</f>
        <v>103.94929999999999</v>
      </c>
      <c r="Q2333" s="10">
        <f t="shared" si="215"/>
        <v>103.94929999999999</v>
      </c>
      <c r="R2333" s="10">
        <f t="shared" si="216"/>
        <v>207.89859999999999</v>
      </c>
      <c r="S2333" s="10">
        <f t="shared" si="217"/>
        <v>311.84789999999998</v>
      </c>
      <c r="T2333" s="10">
        <f t="shared" si="218"/>
        <v>311.84789999999998</v>
      </c>
      <c r="U2333" s="8" t="str">
        <f t="shared" si="219"/>
        <v>Mon</v>
      </c>
      <c r="V2333" s="8" t="str">
        <f t="shared" si="220"/>
        <v>Tue</v>
      </c>
    </row>
    <row r="2334" spans="1:22" hidden="1" x14ac:dyDescent="0.25">
      <c r="A2334" t="s">
        <v>372</v>
      </c>
      <c r="B2334" t="s">
        <v>37</v>
      </c>
      <c r="C2334" t="s">
        <v>43</v>
      </c>
      <c r="D2334" t="s">
        <v>1</v>
      </c>
      <c r="F2334" s="5">
        <v>44235</v>
      </c>
      <c r="G2334" s="5">
        <v>44245</v>
      </c>
      <c r="H2334" s="2">
        <v>3</v>
      </c>
      <c r="I2334" s="6"/>
      <c r="J2334" s="6"/>
      <c r="K2334" s="7">
        <v>3.5</v>
      </c>
      <c r="L2334" s="7">
        <v>821.87300000000005</v>
      </c>
      <c r="M2334" t="s">
        <v>17</v>
      </c>
      <c r="N2334" s="16">
        <f>POWER(SQRT(WorkOrders2710[[#This Row],[WorkDate]]-WorkOrders2710[[#This Row],[ReqDate]]),2)</f>
        <v>10.000000000000002</v>
      </c>
      <c r="O2334" s="8">
        <f t="array" ref="O2334">INDEX(TechRate,MATCH(H2334,TechNum,0))</f>
        <v>195</v>
      </c>
      <c r="P2334" s="10">
        <f>WorkOrders2710[[#This Row],[Techs]]*(WorkOrders2710[[#This Row],[PartsCost]]*WorkOrders2710[[#This Row],[LbrHrs]])</f>
        <v>8629.6665000000012</v>
      </c>
      <c r="Q2334" s="10">
        <f t="shared" si="215"/>
        <v>8629.6665000000012</v>
      </c>
      <c r="R2334" s="10">
        <f t="shared" si="216"/>
        <v>821.87300000000005</v>
      </c>
      <c r="S2334" s="10">
        <f t="shared" si="217"/>
        <v>9451.5395000000008</v>
      </c>
      <c r="T2334" s="10">
        <f t="shared" si="218"/>
        <v>9451.5395000000008</v>
      </c>
      <c r="U2334" s="8" t="str">
        <f t="shared" si="219"/>
        <v>Mon</v>
      </c>
      <c r="V2334" s="8" t="str">
        <f t="shared" si="220"/>
        <v>Thu</v>
      </c>
    </row>
    <row r="2335" spans="1:22" hidden="1" x14ac:dyDescent="0.25">
      <c r="A2335" t="s">
        <v>373</v>
      </c>
      <c r="B2335" t="s">
        <v>36</v>
      </c>
      <c r="C2335" t="s">
        <v>7</v>
      </c>
      <c r="D2335" t="s">
        <v>2</v>
      </c>
      <c r="F2335" s="5">
        <v>44235</v>
      </c>
      <c r="G2335" s="5">
        <v>44249</v>
      </c>
      <c r="H2335" s="2">
        <v>2</v>
      </c>
      <c r="I2335" s="6"/>
      <c r="J2335" s="6"/>
      <c r="K2335" s="7">
        <v>1</v>
      </c>
      <c r="L2335" s="7">
        <v>118.55840000000001</v>
      </c>
      <c r="M2335" t="s">
        <v>17</v>
      </c>
      <c r="N2335" s="16">
        <f>POWER(SQRT(WorkOrders2710[[#This Row],[WorkDate]]-WorkOrders2710[[#This Row],[ReqDate]]),2)</f>
        <v>14</v>
      </c>
      <c r="O2335" s="8">
        <f t="array" ref="O2335">INDEX(TechRate,MATCH(H2335,TechNum,0))</f>
        <v>140</v>
      </c>
      <c r="P2335" s="10">
        <f>WorkOrders2710[[#This Row],[Techs]]*(WorkOrders2710[[#This Row],[PartsCost]]*WorkOrders2710[[#This Row],[LbrHrs]])</f>
        <v>237.11680000000001</v>
      </c>
      <c r="Q2335" s="10">
        <f t="shared" si="215"/>
        <v>237.11680000000001</v>
      </c>
      <c r="R2335" s="10">
        <f t="shared" si="216"/>
        <v>118.55840000000001</v>
      </c>
      <c r="S2335" s="10">
        <f t="shared" si="217"/>
        <v>355.67520000000002</v>
      </c>
      <c r="T2335" s="10">
        <f t="shared" si="218"/>
        <v>355.67520000000002</v>
      </c>
      <c r="U2335" s="8" t="str">
        <f t="shared" si="219"/>
        <v>Mon</v>
      </c>
      <c r="V2335" s="8" t="str">
        <f t="shared" si="220"/>
        <v>Mon</v>
      </c>
    </row>
    <row r="2336" spans="1:22" hidden="1" x14ac:dyDescent="0.25">
      <c r="A2336" t="s">
        <v>374</v>
      </c>
      <c r="B2336" t="s">
        <v>35</v>
      </c>
      <c r="C2336" t="s">
        <v>44</v>
      </c>
      <c r="D2336" t="s">
        <v>12</v>
      </c>
      <c r="E2336" t="s">
        <v>3</v>
      </c>
      <c r="F2336" s="5">
        <v>44236</v>
      </c>
      <c r="G2336" s="5">
        <v>44237</v>
      </c>
      <c r="H2336" s="2">
        <v>1</v>
      </c>
      <c r="I2336" s="6"/>
      <c r="J2336" s="6"/>
      <c r="K2336" s="7">
        <v>0.25</v>
      </c>
      <c r="L2336" s="7">
        <v>54.463700000000003</v>
      </c>
      <c r="M2336" t="s">
        <v>19</v>
      </c>
      <c r="N2336" s="16">
        <f>POWER(SQRT(WorkOrders2710[[#This Row],[WorkDate]]-WorkOrders2710[[#This Row],[ReqDate]]),2)</f>
        <v>1</v>
      </c>
      <c r="O2336" s="8">
        <f t="array" ref="O2336">INDEX(TechRate,MATCH(H2336,TechNum,0))</f>
        <v>80</v>
      </c>
      <c r="P2336" s="10">
        <f>WorkOrders2710[[#This Row],[Techs]]*(WorkOrders2710[[#This Row],[PartsCost]]*WorkOrders2710[[#This Row],[LbrHrs]])</f>
        <v>13.615925000000001</v>
      </c>
      <c r="Q2336" s="10">
        <f t="shared" si="215"/>
        <v>13.615925000000001</v>
      </c>
      <c r="R2336" s="10">
        <f t="shared" si="216"/>
        <v>54.463700000000003</v>
      </c>
      <c r="S2336" s="10">
        <f t="shared" si="217"/>
        <v>68.079625000000007</v>
      </c>
      <c r="T2336" s="10">
        <f t="shared" si="218"/>
        <v>68.079625000000007</v>
      </c>
      <c r="U2336" s="8" t="str">
        <f t="shared" si="219"/>
        <v>Tue</v>
      </c>
      <c r="V2336" s="8" t="str">
        <f t="shared" si="220"/>
        <v>Wed</v>
      </c>
    </row>
    <row r="2337" spans="1:22" hidden="1" x14ac:dyDescent="0.25">
      <c r="A2337" t="s">
        <v>375</v>
      </c>
      <c r="B2337" t="s">
        <v>36</v>
      </c>
      <c r="C2337" t="s">
        <v>7</v>
      </c>
      <c r="D2337" t="s">
        <v>12</v>
      </c>
      <c r="F2337" s="5">
        <v>44236</v>
      </c>
      <c r="G2337" s="5">
        <v>44249</v>
      </c>
      <c r="H2337" s="2">
        <v>2</v>
      </c>
      <c r="I2337" s="6"/>
      <c r="J2337" s="6"/>
      <c r="K2337" s="7">
        <v>0.25</v>
      </c>
      <c r="L2337" s="7">
        <v>83.441299999999998</v>
      </c>
      <c r="M2337" t="s">
        <v>17</v>
      </c>
      <c r="N2337" s="16">
        <f>POWER(SQRT(WorkOrders2710[[#This Row],[WorkDate]]-WorkOrders2710[[#This Row],[ReqDate]]),2)</f>
        <v>12.999999999999998</v>
      </c>
      <c r="O2337" s="8">
        <f t="array" ref="O2337">INDEX(TechRate,MATCH(H2337,TechNum,0))</f>
        <v>140</v>
      </c>
      <c r="P2337" s="10">
        <f>WorkOrders2710[[#This Row],[Techs]]*(WorkOrders2710[[#This Row],[PartsCost]]*WorkOrders2710[[#This Row],[LbrHrs]])</f>
        <v>41.720649999999999</v>
      </c>
      <c r="Q2337" s="10">
        <f t="shared" si="215"/>
        <v>41.720649999999999</v>
      </c>
      <c r="R2337" s="10">
        <f t="shared" si="216"/>
        <v>83.441299999999998</v>
      </c>
      <c r="S2337" s="10">
        <f t="shared" si="217"/>
        <v>125.16194999999999</v>
      </c>
      <c r="T2337" s="10">
        <f t="shared" si="218"/>
        <v>125.16194999999999</v>
      </c>
      <c r="U2337" s="8" t="str">
        <f t="shared" si="219"/>
        <v>Tue</v>
      </c>
      <c r="V2337" s="8" t="str">
        <f t="shared" si="220"/>
        <v>Mon</v>
      </c>
    </row>
    <row r="2338" spans="1:22" hidden="1" x14ac:dyDescent="0.25">
      <c r="A2338" t="s">
        <v>376</v>
      </c>
      <c r="B2338" t="s">
        <v>36</v>
      </c>
      <c r="C2338" t="s">
        <v>7</v>
      </c>
      <c r="D2338" t="s">
        <v>12</v>
      </c>
      <c r="F2338" s="5">
        <v>44236</v>
      </c>
      <c r="G2338" s="5">
        <v>44251</v>
      </c>
      <c r="H2338" s="2">
        <v>2</v>
      </c>
      <c r="I2338" s="6"/>
      <c r="J2338" s="6"/>
      <c r="K2338" s="7">
        <v>0.75</v>
      </c>
      <c r="L2338" s="7">
        <v>36</v>
      </c>
      <c r="M2338" t="s">
        <v>17</v>
      </c>
      <c r="N2338" s="16">
        <f>POWER(SQRT(WorkOrders2710[[#This Row],[WorkDate]]-WorkOrders2710[[#This Row],[ReqDate]]),2)</f>
        <v>15.000000000000002</v>
      </c>
      <c r="O2338" s="8">
        <f t="array" ref="O2338">INDEX(TechRate,MATCH(H2338,TechNum,0))</f>
        <v>140</v>
      </c>
      <c r="P2338" s="10">
        <f>WorkOrders2710[[#This Row],[Techs]]*(WorkOrders2710[[#This Row],[PartsCost]]*WorkOrders2710[[#This Row],[LbrHrs]])</f>
        <v>54</v>
      </c>
      <c r="Q2338" s="10">
        <f t="shared" si="215"/>
        <v>54</v>
      </c>
      <c r="R2338" s="10">
        <f t="shared" si="216"/>
        <v>36</v>
      </c>
      <c r="S2338" s="10">
        <f t="shared" si="217"/>
        <v>90</v>
      </c>
      <c r="T2338" s="10">
        <f t="shared" si="218"/>
        <v>90</v>
      </c>
      <c r="U2338" s="8" t="str">
        <f t="shared" si="219"/>
        <v>Tue</v>
      </c>
      <c r="V2338" s="8" t="str">
        <f t="shared" si="220"/>
        <v>Wed</v>
      </c>
    </row>
    <row r="2339" spans="1:22" hidden="1" x14ac:dyDescent="0.25">
      <c r="A2339" t="s">
        <v>377</v>
      </c>
      <c r="B2339" t="s">
        <v>37</v>
      </c>
      <c r="C2339" t="s">
        <v>43</v>
      </c>
      <c r="D2339" t="s">
        <v>13</v>
      </c>
      <c r="F2339" s="5">
        <v>44236</v>
      </c>
      <c r="G2339" s="5">
        <v>44299</v>
      </c>
      <c r="H2339" s="2">
        <v>1</v>
      </c>
      <c r="I2339" s="6"/>
      <c r="J2339" s="6"/>
      <c r="K2339" s="7">
        <v>0.5</v>
      </c>
      <c r="L2339" s="7">
        <v>53.43</v>
      </c>
      <c r="M2339" t="s">
        <v>17</v>
      </c>
      <c r="N2339" s="16">
        <f>POWER(SQRT(WorkOrders2710[[#This Row],[WorkDate]]-WorkOrders2710[[#This Row],[ReqDate]]),2)</f>
        <v>63.000000000000007</v>
      </c>
      <c r="O2339" s="8">
        <f t="array" ref="O2339">INDEX(TechRate,MATCH(H2339,TechNum,0))</f>
        <v>80</v>
      </c>
      <c r="P2339" s="10">
        <f>WorkOrders2710[[#This Row],[Techs]]*(WorkOrders2710[[#This Row],[PartsCost]]*WorkOrders2710[[#This Row],[LbrHrs]])</f>
        <v>26.715</v>
      </c>
      <c r="Q2339" s="10">
        <f t="shared" si="215"/>
        <v>26.715</v>
      </c>
      <c r="R2339" s="10">
        <f t="shared" si="216"/>
        <v>53.43</v>
      </c>
      <c r="S2339" s="10">
        <f t="shared" si="217"/>
        <v>80.144999999999996</v>
      </c>
      <c r="T2339" s="10">
        <f t="shared" si="218"/>
        <v>80.144999999999996</v>
      </c>
      <c r="U2339" s="8" t="str">
        <f t="shared" si="219"/>
        <v>Tue</v>
      </c>
      <c r="V2339" s="8" t="str">
        <f t="shared" si="220"/>
        <v>Tue</v>
      </c>
    </row>
    <row r="2340" spans="1:22" hidden="1" x14ac:dyDescent="0.25">
      <c r="A2340" t="s">
        <v>378</v>
      </c>
      <c r="B2340" t="s">
        <v>36</v>
      </c>
      <c r="C2340" t="s">
        <v>7</v>
      </c>
      <c r="D2340" t="s">
        <v>12</v>
      </c>
      <c r="F2340" s="5">
        <v>44237</v>
      </c>
      <c r="G2340" s="5">
        <v>44244</v>
      </c>
      <c r="H2340" s="2">
        <v>1</v>
      </c>
      <c r="I2340" s="6"/>
      <c r="J2340" s="6"/>
      <c r="K2340" s="7">
        <v>0.5</v>
      </c>
      <c r="L2340" s="7">
        <v>76.787999999999997</v>
      </c>
      <c r="M2340" t="s">
        <v>17</v>
      </c>
      <c r="N2340" s="16">
        <f>POWER(SQRT(WorkOrders2710[[#This Row],[WorkDate]]-WorkOrders2710[[#This Row],[ReqDate]]),2)</f>
        <v>7.0000000000000009</v>
      </c>
      <c r="O2340" s="8">
        <f t="array" ref="O2340">INDEX(TechRate,MATCH(H2340,TechNum,0))</f>
        <v>80</v>
      </c>
      <c r="P2340" s="10">
        <f>WorkOrders2710[[#This Row],[Techs]]*(WorkOrders2710[[#This Row],[PartsCost]]*WorkOrders2710[[#This Row],[LbrHrs]])</f>
        <v>38.393999999999998</v>
      </c>
      <c r="Q2340" s="10">
        <f t="shared" si="215"/>
        <v>38.393999999999998</v>
      </c>
      <c r="R2340" s="10">
        <f t="shared" si="216"/>
        <v>76.787999999999997</v>
      </c>
      <c r="S2340" s="10">
        <f t="shared" si="217"/>
        <v>115.18199999999999</v>
      </c>
      <c r="T2340" s="10">
        <f t="shared" si="218"/>
        <v>115.18199999999999</v>
      </c>
      <c r="U2340" s="8" t="str">
        <f t="shared" si="219"/>
        <v>Wed</v>
      </c>
      <c r="V2340" s="8" t="str">
        <f t="shared" si="220"/>
        <v>Wed</v>
      </c>
    </row>
    <row r="2341" spans="1:22" hidden="1" x14ac:dyDescent="0.25">
      <c r="A2341" t="s">
        <v>379</v>
      </c>
      <c r="B2341" t="s">
        <v>39</v>
      </c>
      <c r="C2341" t="s">
        <v>9</v>
      </c>
      <c r="D2341" t="s">
        <v>12</v>
      </c>
      <c r="F2341" s="5">
        <v>44237</v>
      </c>
      <c r="G2341" s="5">
        <v>44249</v>
      </c>
      <c r="H2341" s="2">
        <v>1</v>
      </c>
      <c r="I2341" s="6" t="s">
        <v>3</v>
      </c>
      <c r="J2341" s="6" t="s">
        <v>3</v>
      </c>
      <c r="K2341" s="7">
        <v>0.25</v>
      </c>
      <c r="L2341" s="7">
        <v>78</v>
      </c>
      <c r="M2341" t="s">
        <v>20</v>
      </c>
      <c r="N2341" s="16">
        <f>POWER(SQRT(WorkOrders2710[[#This Row],[WorkDate]]-WorkOrders2710[[#This Row],[ReqDate]]),2)</f>
        <v>11.999999999999998</v>
      </c>
      <c r="O2341" s="8">
        <f t="array" ref="O2341">INDEX(TechRate,MATCH(H2341,TechNum,0))</f>
        <v>80</v>
      </c>
      <c r="P2341" s="10">
        <f>WorkOrders2710[[#This Row],[Techs]]*(WorkOrders2710[[#This Row],[PartsCost]]*WorkOrders2710[[#This Row],[LbrHrs]])</f>
        <v>19.5</v>
      </c>
      <c r="Q2341" s="10">
        <f t="shared" si="215"/>
        <v>0</v>
      </c>
      <c r="R2341" s="10">
        <f t="shared" si="216"/>
        <v>0</v>
      </c>
      <c r="S2341" s="10">
        <f t="shared" si="217"/>
        <v>97.5</v>
      </c>
      <c r="T2341" s="10">
        <f t="shared" si="218"/>
        <v>0</v>
      </c>
      <c r="U2341" s="8" t="str">
        <f t="shared" si="219"/>
        <v>Wed</v>
      </c>
      <c r="V2341" s="8" t="str">
        <f t="shared" si="220"/>
        <v>Mon</v>
      </c>
    </row>
    <row r="2342" spans="1:22" hidden="1" x14ac:dyDescent="0.25">
      <c r="A2342" t="s">
        <v>380</v>
      </c>
      <c r="B2342" t="s">
        <v>35</v>
      </c>
      <c r="C2342" t="s">
        <v>9</v>
      </c>
      <c r="D2342" t="s">
        <v>13</v>
      </c>
      <c r="F2342" s="5">
        <v>44237</v>
      </c>
      <c r="G2342" s="5">
        <v>44252</v>
      </c>
      <c r="H2342" s="2">
        <v>2</v>
      </c>
      <c r="I2342" s="6"/>
      <c r="J2342" s="6"/>
      <c r="K2342" s="7">
        <v>2.75</v>
      </c>
      <c r="L2342" s="7">
        <v>666.4434</v>
      </c>
      <c r="M2342" t="s">
        <v>18</v>
      </c>
      <c r="N2342" s="16">
        <f>POWER(SQRT(WorkOrders2710[[#This Row],[WorkDate]]-WorkOrders2710[[#This Row],[ReqDate]]),2)</f>
        <v>15.000000000000002</v>
      </c>
      <c r="O2342" s="8">
        <f t="array" ref="O2342">INDEX(TechRate,MATCH(H2342,TechNum,0))</f>
        <v>140</v>
      </c>
      <c r="P2342" s="10">
        <f>WorkOrders2710[[#This Row],[Techs]]*(WorkOrders2710[[#This Row],[PartsCost]]*WorkOrders2710[[#This Row],[LbrHrs]])</f>
        <v>3665.4387000000002</v>
      </c>
      <c r="Q2342" s="10">
        <f t="shared" si="215"/>
        <v>3665.4387000000002</v>
      </c>
      <c r="R2342" s="10">
        <f t="shared" si="216"/>
        <v>666.4434</v>
      </c>
      <c r="S2342" s="10">
        <f t="shared" si="217"/>
        <v>4331.8820999999998</v>
      </c>
      <c r="T2342" s="10">
        <f t="shared" si="218"/>
        <v>4331.8820999999998</v>
      </c>
      <c r="U2342" s="8" t="str">
        <f t="shared" si="219"/>
        <v>Wed</v>
      </c>
      <c r="V2342" s="8" t="str">
        <f t="shared" si="220"/>
        <v>Thu</v>
      </c>
    </row>
    <row r="2343" spans="1:22" hidden="1" x14ac:dyDescent="0.25">
      <c r="A2343" t="s">
        <v>381</v>
      </c>
      <c r="B2343" t="s">
        <v>35</v>
      </c>
      <c r="C2343" t="s">
        <v>9</v>
      </c>
      <c r="D2343" t="s">
        <v>11</v>
      </c>
      <c r="E2343" t="s">
        <v>3</v>
      </c>
      <c r="F2343" s="5">
        <v>44238</v>
      </c>
      <c r="G2343" s="5">
        <v>44254</v>
      </c>
      <c r="H2343" s="2">
        <v>1</v>
      </c>
      <c r="I2343" s="6"/>
      <c r="J2343" s="6"/>
      <c r="K2343" s="7">
        <v>0.25</v>
      </c>
      <c r="L2343" s="7">
        <v>19.196999999999999</v>
      </c>
      <c r="M2343" t="s">
        <v>18</v>
      </c>
      <c r="N2343" s="16">
        <f>POWER(SQRT(WorkOrders2710[[#This Row],[WorkDate]]-WorkOrders2710[[#This Row],[ReqDate]]),2)</f>
        <v>16</v>
      </c>
      <c r="O2343" s="8">
        <f t="array" ref="O2343">INDEX(TechRate,MATCH(H2343,TechNum,0))</f>
        <v>80</v>
      </c>
      <c r="P2343" s="10">
        <f>WorkOrders2710[[#This Row],[Techs]]*(WorkOrders2710[[#This Row],[PartsCost]]*WorkOrders2710[[#This Row],[LbrHrs]])</f>
        <v>4.7992499999999998</v>
      </c>
      <c r="Q2343" s="10">
        <f t="shared" si="215"/>
        <v>4.7992499999999998</v>
      </c>
      <c r="R2343" s="10">
        <f t="shared" si="216"/>
        <v>19.196999999999999</v>
      </c>
      <c r="S2343" s="10">
        <f t="shared" si="217"/>
        <v>23.99625</v>
      </c>
      <c r="T2343" s="10">
        <f t="shared" si="218"/>
        <v>23.99625</v>
      </c>
      <c r="U2343" s="8" t="str">
        <f t="shared" si="219"/>
        <v>Thu</v>
      </c>
      <c r="V2343" s="8" t="str">
        <f t="shared" si="220"/>
        <v>Sat</v>
      </c>
    </row>
    <row r="2344" spans="1:22" hidden="1" x14ac:dyDescent="0.25">
      <c r="A2344" t="s">
        <v>382</v>
      </c>
      <c r="B2344" t="s">
        <v>37</v>
      </c>
      <c r="C2344" t="s">
        <v>43</v>
      </c>
      <c r="D2344" t="s">
        <v>12</v>
      </c>
      <c r="F2344" s="5">
        <v>44238</v>
      </c>
      <c r="G2344" s="5">
        <v>44266</v>
      </c>
      <c r="H2344" s="2">
        <v>1</v>
      </c>
      <c r="I2344" s="6"/>
      <c r="J2344" s="6"/>
      <c r="K2344" s="7">
        <v>0.75</v>
      </c>
      <c r="L2344" s="7">
        <v>414.53649999999999</v>
      </c>
      <c r="M2344" t="s">
        <v>19</v>
      </c>
      <c r="N2344" s="16">
        <f>POWER(SQRT(WorkOrders2710[[#This Row],[WorkDate]]-WorkOrders2710[[#This Row],[ReqDate]]),2)</f>
        <v>28.000000000000004</v>
      </c>
      <c r="O2344" s="8">
        <f t="array" ref="O2344">INDEX(TechRate,MATCH(H2344,TechNum,0))</f>
        <v>80</v>
      </c>
      <c r="P2344" s="10">
        <f>WorkOrders2710[[#This Row],[Techs]]*(WorkOrders2710[[#This Row],[PartsCost]]*WorkOrders2710[[#This Row],[LbrHrs]])</f>
        <v>310.90237500000001</v>
      </c>
      <c r="Q2344" s="10">
        <f t="shared" si="215"/>
        <v>310.90237500000001</v>
      </c>
      <c r="R2344" s="10">
        <f t="shared" si="216"/>
        <v>414.53649999999999</v>
      </c>
      <c r="S2344" s="10">
        <f t="shared" si="217"/>
        <v>725.43887500000005</v>
      </c>
      <c r="T2344" s="10">
        <f t="shared" si="218"/>
        <v>725.43887500000005</v>
      </c>
      <c r="U2344" s="8" t="str">
        <f t="shared" si="219"/>
        <v>Thu</v>
      </c>
      <c r="V2344" s="8" t="str">
        <f t="shared" si="220"/>
        <v>Thu</v>
      </c>
    </row>
    <row r="2345" spans="1:22" hidden="1" x14ac:dyDescent="0.25">
      <c r="A2345" t="s">
        <v>383</v>
      </c>
      <c r="B2345" t="s">
        <v>39</v>
      </c>
      <c r="C2345" t="s">
        <v>8</v>
      </c>
      <c r="D2345" t="s">
        <v>2</v>
      </c>
      <c r="F2345" s="5">
        <v>44240</v>
      </c>
      <c r="G2345" s="5">
        <v>44294</v>
      </c>
      <c r="H2345" s="2">
        <v>1</v>
      </c>
      <c r="I2345" s="6"/>
      <c r="J2345" s="6"/>
      <c r="K2345" s="7">
        <v>1</v>
      </c>
      <c r="L2345" s="7">
        <v>19.196999999999999</v>
      </c>
      <c r="M2345" t="s">
        <v>17</v>
      </c>
      <c r="N2345" s="16">
        <f>POWER(SQRT(WorkOrders2710[[#This Row],[WorkDate]]-WorkOrders2710[[#This Row],[ReqDate]]),2)</f>
        <v>54</v>
      </c>
      <c r="O2345" s="8">
        <f t="array" ref="O2345">INDEX(TechRate,MATCH(H2345,TechNum,0))</f>
        <v>80</v>
      </c>
      <c r="P2345" s="10">
        <f>WorkOrders2710[[#This Row],[Techs]]*(WorkOrders2710[[#This Row],[PartsCost]]*WorkOrders2710[[#This Row],[LbrHrs]])</f>
        <v>19.196999999999999</v>
      </c>
      <c r="Q2345" s="10">
        <f t="shared" si="215"/>
        <v>19.196999999999999</v>
      </c>
      <c r="R2345" s="10">
        <f t="shared" si="216"/>
        <v>19.196999999999999</v>
      </c>
      <c r="S2345" s="10">
        <f t="shared" si="217"/>
        <v>38.393999999999998</v>
      </c>
      <c r="T2345" s="10">
        <f t="shared" si="218"/>
        <v>38.393999999999998</v>
      </c>
      <c r="U2345" s="8" t="str">
        <f t="shared" si="219"/>
        <v>Sat</v>
      </c>
      <c r="V2345" s="8" t="str">
        <f t="shared" si="220"/>
        <v>Thu</v>
      </c>
    </row>
    <row r="2346" spans="1:22" hidden="1" x14ac:dyDescent="0.25">
      <c r="A2346" t="s">
        <v>384</v>
      </c>
      <c r="B2346" t="s">
        <v>36</v>
      </c>
      <c r="C2346" t="s">
        <v>7</v>
      </c>
      <c r="D2346" t="s">
        <v>1</v>
      </c>
      <c r="F2346" s="5">
        <v>44242</v>
      </c>
      <c r="G2346" s="5">
        <v>44245</v>
      </c>
      <c r="H2346" s="2">
        <v>2</v>
      </c>
      <c r="I2346" s="6"/>
      <c r="J2346" s="6"/>
      <c r="K2346" s="7">
        <v>1</v>
      </c>
      <c r="L2346" s="7">
        <v>157.86000000000001</v>
      </c>
      <c r="M2346" t="s">
        <v>17</v>
      </c>
      <c r="N2346" s="16">
        <f>POWER(SQRT(WorkOrders2710[[#This Row],[WorkDate]]-WorkOrders2710[[#This Row],[ReqDate]]),2)</f>
        <v>2.9999999999999996</v>
      </c>
      <c r="O2346" s="8">
        <f t="array" ref="O2346">INDEX(TechRate,MATCH(H2346,TechNum,0))</f>
        <v>140</v>
      </c>
      <c r="P2346" s="10">
        <f>WorkOrders2710[[#This Row],[Techs]]*(WorkOrders2710[[#This Row],[PartsCost]]*WorkOrders2710[[#This Row],[LbrHrs]])</f>
        <v>315.72000000000003</v>
      </c>
      <c r="Q2346" s="10">
        <f t="shared" si="215"/>
        <v>315.72000000000003</v>
      </c>
      <c r="R2346" s="10">
        <f t="shared" si="216"/>
        <v>157.86000000000001</v>
      </c>
      <c r="S2346" s="10">
        <f t="shared" si="217"/>
        <v>473.58000000000004</v>
      </c>
      <c r="T2346" s="10">
        <f t="shared" si="218"/>
        <v>473.58000000000004</v>
      </c>
      <c r="U2346" s="8" t="str">
        <f t="shared" si="219"/>
        <v>Mon</v>
      </c>
      <c r="V2346" s="8" t="str">
        <f t="shared" si="220"/>
        <v>Thu</v>
      </c>
    </row>
    <row r="2347" spans="1:22" hidden="1" x14ac:dyDescent="0.25">
      <c r="A2347" t="s">
        <v>385</v>
      </c>
      <c r="B2347" t="s">
        <v>36</v>
      </c>
      <c r="C2347" t="s">
        <v>7</v>
      </c>
      <c r="D2347" t="s">
        <v>12</v>
      </c>
      <c r="F2347" s="5">
        <v>44242</v>
      </c>
      <c r="G2347" s="5">
        <v>44251</v>
      </c>
      <c r="H2347" s="2">
        <v>2</v>
      </c>
      <c r="I2347" s="6"/>
      <c r="J2347" s="6"/>
      <c r="K2347" s="7">
        <v>0.25</v>
      </c>
      <c r="L2347" s="7">
        <v>160.39080000000001</v>
      </c>
      <c r="M2347" t="s">
        <v>17</v>
      </c>
      <c r="N2347" s="16">
        <f>POWER(SQRT(WorkOrders2710[[#This Row],[WorkDate]]-WorkOrders2710[[#This Row],[ReqDate]]),2)</f>
        <v>9</v>
      </c>
      <c r="O2347" s="8">
        <f t="array" ref="O2347">INDEX(TechRate,MATCH(H2347,TechNum,0))</f>
        <v>140</v>
      </c>
      <c r="P2347" s="10">
        <f>WorkOrders2710[[#This Row],[Techs]]*(WorkOrders2710[[#This Row],[PartsCost]]*WorkOrders2710[[#This Row],[LbrHrs]])</f>
        <v>80.195400000000006</v>
      </c>
      <c r="Q2347" s="10">
        <f t="shared" si="215"/>
        <v>80.195400000000006</v>
      </c>
      <c r="R2347" s="10">
        <f t="shared" si="216"/>
        <v>160.39080000000001</v>
      </c>
      <c r="S2347" s="10">
        <f t="shared" si="217"/>
        <v>240.58620000000002</v>
      </c>
      <c r="T2347" s="10">
        <f t="shared" si="218"/>
        <v>240.58620000000002</v>
      </c>
      <c r="U2347" s="8" t="str">
        <f t="shared" si="219"/>
        <v>Mon</v>
      </c>
      <c r="V2347" s="8" t="str">
        <f t="shared" si="220"/>
        <v>Wed</v>
      </c>
    </row>
    <row r="2348" spans="1:22" hidden="1" x14ac:dyDescent="0.25">
      <c r="A2348" t="s">
        <v>386</v>
      </c>
      <c r="B2348" t="s">
        <v>36</v>
      </c>
      <c r="C2348" t="s">
        <v>7</v>
      </c>
      <c r="D2348" t="s">
        <v>12</v>
      </c>
      <c r="F2348" s="5">
        <v>44242</v>
      </c>
      <c r="G2348" s="5">
        <v>44252</v>
      </c>
      <c r="H2348" s="2">
        <v>2</v>
      </c>
      <c r="I2348" s="6"/>
      <c r="J2348" s="6"/>
      <c r="K2348" s="7">
        <v>0.25</v>
      </c>
      <c r="L2348" s="7">
        <v>46.845300000000002</v>
      </c>
      <c r="M2348" t="s">
        <v>17</v>
      </c>
      <c r="N2348" s="16">
        <f>POWER(SQRT(WorkOrders2710[[#This Row],[WorkDate]]-WorkOrders2710[[#This Row],[ReqDate]]),2)</f>
        <v>10.000000000000002</v>
      </c>
      <c r="O2348" s="8">
        <f t="array" ref="O2348">INDEX(TechRate,MATCH(H2348,TechNum,0))</f>
        <v>140</v>
      </c>
      <c r="P2348" s="10">
        <f>WorkOrders2710[[#This Row],[Techs]]*(WorkOrders2710[[#This Row],[PartsCost]]*WorkOrders2710[[#This Row],[LbrHrs]])</f>
        <v>23.422650000000001</v>
      </c>
      <c r="Q2348" s="10">
        <f t="shared" si="215"/>
        <v>23.422650000000001</v>
      </c>
      <c r="R2348" s="10">
        <f t="shared" si="216"/>
        <v>46.845300000000002</v>
      </c>
      <c r="S2348" s="10">
        <f t="shared" si="217"/>
        <v>70.267949999999999</v>
      </c>
      <c r="T2348" s="10">
        <f t="shared" si="218"/>
        <v>70.267949999999999</v>
      </c>
      <c r="U2348" s="8" t="str">
        <f t="shared" si="219"/>
        <v>Mon</v>
      </c>
      <c r="V2348" s="8" t="str">
        <f t="shared" si="220"/>
        <v>Thu</v>
      </c>
    </row>
    <row r="2349" spans="1:22" hidden="1" x14ac:dyDescent="0.25">
      <c r="A2349" t="s">
        <v>387</v>
      </c>
      <c r="B2349" t="s">
        <v>42</v>
      </c>
      <c r="C2349" t="s">
        <v>44</v>
      </c>
      <c r="D2349" t="s">
        <v>13</v>
      </c>
      <c r="E2349" t="s">
        <v>3</v>
      </c>
      <c r="F2349" s="5">
        <v>44242</v>
      </c>
      <c r="G2349" s="5">
        <v>44256</v>
      </c>
      <c r="H2349" s="2">
        <v>2</v>
      </c>
      <c r="I2349" s="6"/>
      <c r="J2349" s="6"/>
      <c r="K2349" s="7">
        <v>1.25</v>
      </c>
      <c r="L2349" s="7">
        <v>952.06380000000001</v>
      </c>
      <c r="M2349" t="s">
        <v>18</v>
      </c>
      <c r="N2349" s="16">
        <f>POWER(SQRT(WorkOrders2710[[#This Row],[WorkDate]]-WorkOrders2710[[#This Row],[ReqDate]]),2)</f>
        <v>14</v>
      </c>
      <c r="O2349" s="8">
        <f t="array" ref="O2349">INDEX(TechRate,MATCH(H2349,TechNum,0))</f>
        <v>140</v>
      </c>
      <c r="P2349" s="10">
        <f>WorkOrders2710[[#This Row],[Techs]]*(WorkOrders2710[[#This Row],[PartsCost]]*WorkOrders2710[[#This Row],[LbrHrs]])</f>
        <v>2380.1595000000002</v>
      </c>
      <c r="Q2349" s="10">
        <f t="shared" si="215"/>
        <v>2380.1595000000002</v>
      </c>
      <c r="R2349" s="10">
        <f t="shared" si="216"/>
        <v>952.06380000000001</v>
      </c>
      <c r="S2349" s="10">
        <f t="shared" si="217"/>
        <v>3332.2233000000001</v>
      </c>
      <c r="T2349" s="10">
        <f t="shared" si="218"/>
        <v>3332.2233000000001</v>
      </c>
      <c r="U2349" s="8" t="str">
        <f t="shared" si="219"/>
        <v>Mon</v>
      </c>
      <c r="V2349" s="8" t="str">
        <f t="shared" si="220"/>
        <v>Mon</v>
      </c>
    </row>
    <row r="2350" spans="1:22" hidden="1" x14ac:dyDescent="0.25">
      <c r="A2350" t="s">
        <v>388</v>
      </c>
      <c r="B2350" t="s">
        <v>38</v>
      </c>
      <c r="C2350" t="s">
        <v>8</v>
      </c>
      <c r="D2350" t="s">
        <v>11</v>
      </c>
      <c r="F2350" s="5">
        <v>44243</v>
      </c>
      <c r="G2350" s="5">
        <v>44258</v>
      </c>
      <c r="H2350" s="2">
        <v>1</v>
      </c>
      <c r="I2350" s="6"/>
      <c r="J2350" s="6"/>
      <c r="K2350" s="7">
        <v>0.25</v>
      </c>
      <c r="L2350" s="7">
        <v>17.420000000000002</v>
      </c>
      <c r="M2350" t="s">
        <v>17</v>
      </c>
      <c r="N2350" s="16">
        <f>POWER(SQRT(WorkOrders2710[[#This Row],[WorkDate]]-WorkOrders2710[[#This Row],[ReqDate]]),2)</f>
        <v>15.000000000000002</v>
      </c>
      <c r="O2350" s="8">
        <f t="array" ref="O2350">INDEX(TechRate,MATCH(H2350,TechNum,0))</f>
        <v>80</v>
      </c>
      <c r="P2350" s="10">
        <f>WorkOrders2710[[#This Row],[Techs]]*(WorkOrders2710[[#This Row],[PartsCost]]*WorkOrders2710[[#This Row],[LbrHrs]])</f>
        <v>4.3550000000000004</v>
      </c>
      <c r="Q2350" s="10">
        <f t="shared" si="215"/>
        <v>4.3550000000000004</v>
      </c>
      <c r="R2350" s="10">
        <f t="shared" si="216"/>
        <v>17.420000000000002</v>
      </c>
      <c r="S2350" s="10">
        <f t="shared" si="217"/>
        <v>21.775000000000002</v>
      </c>
      <c r="T2350" s="10">
        <f t="shared" si="218"/>
        <v>21.775000000000002</v>
      </c>
      <c r="U2350" s="8" t="str">
        <f t="shared" si="219"/>
        <v>Tue</v>
      </c>
      <c r="V2350" s="8" t="str">
        <f t="shared" si="220"/>
        <v>Wed</v>
      </c>
    </row>
    <row r="2351" spans="1:22" hidden="1" x14ac:dyDescent="0.25">
      <c r="A2351" t="s">
        <v>389</v>
      </c>
      <c r="B2351" t="s">
        <v>35</v>
      </c>
      <c r="C2351" t="s">
        <v>44</v>
      </c>
      <c r="D2351" t="s">
        <v>13</v>
      </c>
      <c r="F2351" s="5">
        <v>44243</v>
      </c>
      <c r="G2351" s="5">
        <v>44263</v>
      </c>
      <c r="H2351" s="2">
        <v>2</v>
      </c>
      <c r="I2351" s="6"/>
      <c r="J2351" s="6"/>
      <c r="K2351" s="7">
        <v>0.5</v>
      </c>
      <c r="L2351" s="7">
        <v>202</v>
      </c>
      <c r="M2351" t="s">
        <v>18</v>
      </c>
      <c r="N2351" s="16">
        <f>POWER(SQRT(WorkOrders2710[[#This Row],[WorkDate]]-WorkOrders2710[[#This Row],[ReqDate]]),2)</f>
        <v>20.000000000000004</v>
      </c>
      <c r="O2351" s="8">
        <f t="array" ref="O2351">INDEX(TechRate,MATCH(H2351,TechNum,0))</f>
        <v>140</v>
      </c>
      <c r="P2351" s="10">
        <f>WorkOrders2710[[#This Row],[Techs]]*(WorkOrders2710[[#This Row],[PartsCost]]*WorkOrders2710[[#This Row],[LbrHrs]])</f>
        <v>202</v>
      </c>
      <c r="Q2351" s="10">
        <f t="shared" si="215"/>
        <v>202</v>
      </c>
      <c r="R2351" s="10">
        <f t="shared" si="216"/>
        <v>202</v>
      </c>
      <c r="S2351" s="10">
        <f t="shared" si="217"/>
        <v>404</v>
      </c>
      <c r="T2351" s="10">
        <f t="shared" si="218"/>
        <v>404</v>
      </c>
      <c r="U2351" s="8" t="str">
        <f t="shared" si="219"/>
        <v>Tue</v>
      </c>
      <c r="V2351" s="8" t="str">
        <f t="shared" si="220"/>
        <v>Mon</v>
      </c>
    </row>
    <row r="2352" spans="1:22" hidden="1" x14ac:dyDescent="0.25">
      <c r="A2352" t="s">
        <v>390</v>
      </c>
      <c r="B2352" t="s">
        <v>39</v>
      </c>
      <c r="C2352" t="s">
        <v>9</v>
      </c>
      <c r="D2352" t="s">
        <v>12</v>
      </c>
      <c r="F2352" s="5">
        <v>44244</v>
      </c>
      <c r="G2352" s="5">
        <v>44249</v>
      </c>
      <c r="H2352" s="2">
        <v>1</v>
      </c>
      <c r="I2352" s="6"/>
      <c r="J2352" s="6"/>
      <c r="K2352" s="7">
        <v>0.75</v>
      </c>
      <c r="L2352" s="7">
        <v>137.13</v>
      </c>
      <c r="M2352" t="s">
        <v>17</v>
      </c>
      <c r="N2352" s="16">
        <f>POWER(SQRT(WorkOrders2710[[#This Row],[WorkDate]]-WorkOrders2710[[#This Row],[ReqDate]]),2)</f>
        <v>5.0000000000000009</v>
      </c>
      <c r="O2352" s="8">
        <f t="array" ref="O2352">INDEX(TechRate,MATCH(H2352,TechNum,0))</f>
        <v>80</v>
      </c>
      <c r="P2352" s="10">
        <f>WorkOrders2710[[#This Row],[Techs]]*(WorkOrders2710[[#This Row],[PartsCost]]*WorkOrders2710[[#This Row],[LbrHrs]])</f>
        <v>102.8475</v>
      </c>
      <c r="Q2352" s="10">
        <f t="shared" si="215"/>
        <v>102.8475</v>
      </c>
      <c r="R2352" s="10">
        <f t="shared" si="216"/>
        <v>137.13</v>
      </c>
      <c r="S2352" s="10">
        <f t="shared" si="217"/>
        <v>239.97749999999999</v>
      </c>
      <c r="T2352" s="10">
        <f t="shared" si="218"/>
        <v>239.97749999999999</v>
      </c>
      <c r="U2352" s="8" t="str">
        <f t="shared" si="219"/>
        <v>Wed</v>
      </c>
      <c r="V2352" s="8" t="str">
        <f t="shared" si="220"/>
        <v>Mon</v>
      </c>
    </row>
    <row r="2353" spans="1:22" hidden="1" x14ac:dyDescent="0.25">
      <c r="A2353" t="s">
        <v>391</v>
      </c>
      <c r="B2353" t="s">
        <v>38</v>
      </c>
      <c r="C2353" t="s">
        <v>8</v>
      </c>
      <c r="D2353" t="s">
        <v>12</v>
      </c>
      <c r="F2353" s="5">
        <v>44244</v>
      </c>
      <c r="G2353" s="5">
        <v>44256</v>
      </c>
      <c r="H2353" s="2">
        <v>1</v>
      </c>
      <c r="I2353" s="6"/>
      <c r="J2353" s="6"/>
      <c r="K2353" s="7">
        <v>0.5</v>
      </c>
      <c r="L2353" s="7">
        <v>180</v>
      </c>
      <c r="M2353" t="s">
        <v>18</v>
      </c>
      <c r="N2353" s="16">
        <f>POWER(SQRT(WorkOrders2710[[#This Row],[WorkDate]]-WorkOrders2710[[#This Row],[ReqDate]]),2)</f>
        <v>11.999999999999998</v>
      </c>
      <c r="O2353" s="8">
        <f t="array" ref="O2353">INDEX(TechRate,MATCH(H2353,TechNum,0))</f>
        <v>80</v>
      </c>
      <c r="P2353" s="10">
        <f>WorkOrders2710[[#This Row],[Techs]]*(WorkOrders2710[[#This Row],[PartsCost]]*WorkOrders2710[[#This Row],[LbrHrs]])</f>
        <v>90</v>
      </c>
      <c r="Q2353" s="10">
        <f t="shared" si="215"/>
        <v>90</v>
      </c>
      <c r="R2353" s="10">
        <f t="shared" si="216"/>
        <v>180</v>
      </c>
      <c r="S2353" s="10">
        <f t="shared" si="217"/>
        <v>270</v>
      </c>
      <c r="T2353" s="10">
        <f t="shared" si="218"/>
        <v>270</v>
      </c>
      <c r="U2353" s="8" t="str">
        <f t="shared" si="219"/>
        <v>Wed</v>
      </c>
      <c r="V2353" s="8" t="str">
        <f t="shared" si="220"/>
        <v>Mon</v>
      </c>
    </row>
    <row r="2354" spans="1:22" hidden="1" x14ac:dyDescent="0.25">
      <c r="A2354" t="s">
        <v>392</v>
      </c>
      <c r="B2354" t="s">
        <v>34</v>
      </c>
      <c r="C2354" t="s">
        <v>8</v>
      </c>
      <c r="D2354" t="s">
        <v>12</v>
      </c>
      <c r="F2354" s="5">
        <v>44244</v>
      </c>
      <c r="G2354" s="5">
        <v>44256</v>
      </c>
      <c r="H2354" s="2">
        <v>1</v>
      </c>
      <c r="I2354" s="6"/>
      <c r="J2354" s="6"/>
      <c r="K2354" s="7">
        <v>0.25</v>
      </c>
      <c r="L2354" s="7">
        <v>255.3433</v>
      </c>
      <c r="M2354" t="s">
        <v>18</v>
      </c>
      <c r="N2354" s="16">
        <f>POWER(SQRT(WorkOrders2710[[#This Row],[WorkDate]]-WorkOrders2710[[#This Row],[ReqDate]]),2)</f>
        <v>11.999999999999998</v>
      </c>
      <c r="O2354" s="8">
        <f t="array" ref="O2354">INDEX(TechRate,MATCH(H2354,TechNum,0))</f>
        <v>80</v>
      </c>
      <c r="P2354" s="10">
        <f>WorkOrders2710[[#This Row],[Techs]]*(WorkOrders2710[[#This Row],[PartsCost]]*WorkOrders2710[[#This Row],[LbrHrs]])</f>
        <v>63.835825</v>
      </c>
      <c r="Q2354" s="10">
        <f t="shared" si="215"/>
        <v>63.835825</v>
      </c>
      <c r="R2354" s="10">
        <f t="shared" si="216"/>
        <v>255.3433</v>
      </c>
      <c r="S2354" s="10">
        <f t="shared" si="217"/>
        <v>319.179125</v>
      </c>
      <c r="T2354" s="10">
        <f t="shared" si="218"/>
        <v>319.179125</v>
      </c>
      <c r="U2354" s="8" t="str">
        <f t="shared" si="219"/>
        <v>Wed</v>
      </c>
      <c r="V2354" s="8" t="str">
        <f t="shared" si="220"/>
        <v>Mon</v>
      </c>
    </row>
    <row r="2355" spans="1:22" hidden="1" x14ac:dyDescent="0.25">
      <c r="A2355" t="s">
        <v>393</v>
      </c>
      <c r="B2355" t="s">
        <v>35</v>
      </c>
      <c r="C2355" t="s">
        <v>8</v>
      </c>
      <c r="D2355" t="s">
        <v>11</v>
      </c>
      <c r="F2355" s="5">
        <v>44244</v>
      </c>
      <c r="G2355" s="5">
        <v>44257</v>
      </c>
      <c r="H2355" s="2">
        <v>1</v>
      </c>
      <c r="I2355" s="6"/>
      <c r="J2355" s="6"/>
      <c r="K2355" s="7">
        <v>0.25</v>
      </c>
      <c r="L2355" s="7">
        <v>48.372999999999998</v>
      </c>
      <c r="M2355" t="s">
        <v>19</v>
      </c>
      <c r="N2355" s="16">
        <f>POWER(SQRT(WorkOrders2710[[#This Row],[WorkDate]]-WorkOrders2710[[#This Row],[ReqDate]]),2)</f>
        <v>12.999999999999998</v>
      </c>
      <c r="O2355" s="8">
        <f t="array" ref="O2355">INDEX(TechRate,MATCH(H2355,TechNum,0))</f>
        <v>80</v>
      </c>
      <c r="P2355" s="10">
        <f>WorkOrders2710[[#This Row],[Techs]]*(WorkOrders2710[[#This Row],[PartsCost]]*WorkOrders2710[[#This Row],[LbrHrs]])</f>
        <v>12.093249999999999</v>
      </c>
      <c r="Q2355" s="10">
        <f t="shared" si="215"/>
        <v>12.093249999999999</v>
      </c>
      <c r="R2355" s="10">
        <f t="shared" si="216"/>
        <v>48.372999999999998</v>
      </c>
      <c r="S2355" s="10">
        <f t="shared" si="217"/>
        <v>60.466249999999995</v>
      </c>
      <c r="T2355" s="10">
        <f t="shared" si="218"/>
        <v>60.466249999999995</v>
      </c>
      <c r="U2355" s="8" t="str">
        <f t="shared" si="219"/>
        <v>Wed</v>
      </c>
      <c r="V2355" s="8" t="str">
        <f t="shared" si="220"/>
        <v>Tue</v>
      </c>
    </row>
    <row r="2356" spans="1:22" hidden="1" x14ac:dyDescent="0.25">
      <c r="A2356" t="s">
        <v>394</v>
      </c>
      <c r="B2356" t="s">
        <v>36</v>
      </c>
      <c r="C2356" t="s">
        <v>7</v>
      </c>
      <c r="D2356" t="s">
        <v>11</v>
      </c>
      <c r="F2356" s="5">
        <v>44244</v>
      </c>
      <c r="G2356" s="5">
        <v>44263</v>
      </c>
      <c r="H2356" s="2">
        <v>1</v>
      </c>
      <c r="I2356" s="6"/>
      <c r="J2356" s="6"/>
      <c r="K2356" s="7">
        <v>0.25</v>
      </c>
      <c r="L2356" s="7">
        <v>40.200000000000003</v>
      </c>
      <c r="M2356" t="s">
        <v>17</v>
      </c>
      <c r="N2356" s="16">
        <f>POWER(SQRT(WorkOrders2710[[#This Row],[WorkDate]]-WorkOrders2710[[#This Row],[ReqDate]]),2)</f>
        <v>19.000000000000004</v>
      </c>
      <c r="O2356" s="8">
        <f t="array" ref="O2356">INDEX(TechRate,MATCH(H2356,TechNum,0))</f>
        <v>80</v>
      </c>
      <c r="P2356" s="10">
        <f>WorkOrders2710[[#This Row],[Techs]]*(WorkOrders2710[[#This Row],[PartsCost]]*WorkOrders2710[[#This Row],[LbrHrs]])</f>
        <v>10.050000000000001</v>
      </c>
      <c r="Q2356" s="10">
        <f t="shared" si="215"/>
        <v>10.050000000000001</v>
      </c>
      <c r="R2356" s="10">
        <f t="shared" si="216"/>
        <v>40.200000000000003</v>
      </c>
      <c r="S2356" s="10">
        <f t="shared" si="217"/>
        <v>50.25</v>
      </c>
      <c r="T2356" s="10">
        <f t="shared" si="218"/>
        <v>50.25</v>
      </c>
      <c r="U2356" s="8" t="str">
        <f t="shared" si="219"/>
        <v>Wed</v>
      </c>
      <c r="V2356" s="8" t="str">
        <f t="shared" si="220"/>
        <v>Mon</v>
      </c>
    </row>
    <row r="2357" spans="1:22" hidden="1" x14ac:dyDescent="0.25">
      <c r="A2357" t="s">
        <v>395</v>
      </c>
      <c r="B2357" t="s">
        <v>34</v>
      </c>
      <c r="C2357" t="s">
        <v>44</v>
      </c>
      <c r="D2357" t="s">
        <v>11</v>
      </c>
      <c r="F2357" s="5">
        <v>44245</v>
      </c>
      <c r="G2357" s="5">
        <v>44261</v>
      </c>
      <c r="H2357" s="2">
        <v>1</v>
      </c>
      <c r="I2357" s="6"/>
      <c r="J2357" s="6"/>
      <c r="K2357" s="7">
        <v>0.25</v>
      </c>
      <c r="L2357" s="7">
        <v>61.4985</v>
      </c>
      <c r="M2357" t="s">
        <v>17</v>
      </c>
      <c r="N2357" s="16">
        <f>POWER(SQRT(WorkOrders2710[[#This Row],[WorkDate]]-WorkOrders2710[[#This Row],[ReqDate]]),2)</f>
        <v>16</v>
      </c>
      <c r="O2357" s="8">
        <f t="array" ref="O2357">INDEX(TechRate,MATCH(H2357,TechNum,0))</f>
        <v>80</v>
      </c>
      <c r="P2357" s="10">
        <f>WorkOrders2710[[#This Row],[Techs]]*(WorkOrders2710[[#This Row],[PartsCost]]*WorkOrders2710[[#This Row],[LbrHrs]])</f>
        <v>15.374625</v>
      </c>
      <c r="Q2357" s="10">
        <f t="shared" si="215"/>
        <v>15.374625</v>
      </c>
      <c r="R2357" s="10">
        <f t="shared" si="216"/>
        <v>61.4985</v>
      </c>
      <c r="S2357" s="10">
        <f t="shared" si="217"/>
        <v>76.873125000000002</v>
      </c>
      <c r="T2357" s="10">
        <f t="shared" si="218"/>
        <v>76.873125000000002</v>
      </c>
      <c r="U2357" s="8" t="str">
        <f t="shared" si="219"/>
        <v>Thu</v>
      </c>
      <c r="V2357" s="8" t="str">
        <f t="shared" si="220"/>
        <v>Sat</v>
      </c>
    </row>
    <row r="2358" spans="1:22" hidden="1" x14ac:dyDescent="0.25">
      <c r="A2358" t="s">
        <v>396</v>
      </c>
      <c r="B2358" t="s">
        <v>35</v>
      </c>
      <c r="C2358" t="s">
        <v>8</v>
      </c>
      <c r="D2358" t="s">
        <v>13</v>
      </c>
      <c r="F2358" s="5">
        <v>44245</v>
      </c>
      <c r="G2358" s="5">
        <v>44257</v>
      </c>
      <c r="H2358" s="2">
        <v>1</v>
      </c>
      <c r="I2358" s="6"/>
      <c r="J2358" s="6"/>
      <c r="K2358" s="7">
        <v>0.5</v>
      </c>
      <c r="L2358" s="7">
        <v>42.66</v>
      </c>
      <c r="M2358" t="s">
        <v>17</v>
      </c>
      <c r="N2358" s="16">
        <f>POWER(SQRT(WorkOrders2710[[#This Row],[WorkDate]]-WorkOrders2710[[#This Row],[ReqDate]]),2)</f>
        <v>11.999999999999998</v>
      </c>
      <c r="O2358" s="8">
        <f t="array" ref="O2358">INDEX(TechRate,MATCH(H2358,TechNum,0))</f>
        <v>80</v>
      </c>
      <c r="P2358" s="10">
        <f>WorkOrders2710[[#This Row],[Techs]]*(WorkOrders2710[[#This Row],[PartsCost]]*WorkOrders2710[[#This Row],[LbrHrs]])</f>
        <v>21.33</v>
      </c>
      <c r="Q2358" s="10">
        <f t="shared" si="215"/>
        <v>21.33</v>
      </c>
      <c r="R2358" s="10">
        <f t="shared" si="216"/>
        <v>42.66</v>
      </c>
      <c r="S2358" s="10">
        <f t="shared" si="217"/>
        <v>63.989999999999995</v>
      </c>
      <c r="T2358" s="10">
        <f t="shared" si="218"/>
        <v>63.989999999999995</v>
      </c>
      <c r="U2358" s="8" t="str">
        <f t="shared" si="219"/>
        <v>Thu</v>
      </c>
      <c r="V2358" s="8" t="str">
        <f t="shared" si="220"/>
        <v>Tue</v>
      </c>
    </row>
    <row r="2359" spans="1:22" hidden="1" x14ac:dyDescent="0.25">
      <c r="A2359" t="s">
        <v>397</v>
      </c>
      <c r="B2359" t="s">
        <v>36</v>
      </c>
      <c r="C2359" t="s">
        <v>7</v>
      </c>
      <c r="D2359" t="s">
        <v>13</v>
      </c>
      <c r="F2359" s="5">
        <v>44245</v>
      </c>
      <c r="G2359" s="5">
        <v>44265</v>
      </c>
      <c r="H2359" s="2">
        <v>1</v>
      </c>
      <c r="I2359" s="6"/>
      <c r="J2359" s="6"/>
      <c r="K2359" s="7">
        <v>0.5</v>
      </c>
      <c r="L2359" s="7">
        <v>16.420000000000002</v>
      </c>
      <c r="M2359" t="s">
        <v>21</v>
      </c>
      <c r="N2359" s="16">
        <f>POWER(SQRT(WorkOrders2710[[#This Row],[WorkDate]]-WorkOrders2710[[#This Row],[ReqDate]]),2)</f>
        <v>20.000000000000004</v>
      </c>
      <c r="O2359" s="8">
        <f t="array" ref="O2359">INDEX(TechRate,MATCH(H2359,TechNum,0))</f>
        <v>80</v>
      </c>
      <c r="P2359" s="10">
        <f>WorkOrders2710[[#This Row],[Techs]]*(WorkOrders2710[[#This Row],[PartsCost]]*WorkOrders2710[[#This Row],[LbrHrs]])</f>
        <v>8.2100000000000009</v>
      </c>
      <c r="Q2359" s="10">
        <f t="shared" si="215"/>
        <v>8.2100000000000009</v>
      </c>
      <c r="R2359" s="10">
        <f t="shared" si="216"/>
        <v>16.420000000000002</v>
      </c>
      <c r="S2359" s="10">
        <f t="shared" si="217"/>
        <v>24.630000000000003</v>
      </c>
      <c r="T2359" s="10">
        <f t="shared" si="218"/>
        <v>24.630000000000003</v>
      </c>
      <c r="U2359" s="8" t="str">
        <f t="shared" si="219"/>
        <v>Thu</v>
      </c>
      <c r="V2359" s="8" t="str">
        <f t="shared" si="220"/>
        <v>Wed</v>
      </c>
    </row>
    <row r="2360" spans="1:22" hidden="1" x14ac:dyDescent="0.25">
      <c r="A2360" t="s">
        <v>398</v>
      </c>
      <c r="B2360" t="s">
        <v>39</v>
      </c>
      <c r="C2360" t="s">
        <v>9</v>
      </c>
      <c r="D2360" t="s">
        <v>12</v>
      </c>
      <c r="F2360" s="5">
        <v>44246</v>
      </c>
      <c r="G2360" s="5">
        <v>44264</v>
      </c>
      <c r="H2360" s="2">
        <v>2</v>
      </c>
      <c r="I2360" s="6"/>
      <c r="J2360" s="6"/>
      <c r="K2360" s="7">
        <v>0.5</v>
      </c>
      <c r="L2360" s="7">
        <v>31.807600000000001</v>
      </c>
      <c r="M2360" t="s">
        <v>17</v>
      </c>
      <c r="N2360" s="16">
        <f>POWER(SQRT(WorkOrders2710[[#This Row],[WorkDate]]-WorkOrders2710[[#This Row],[ReqDate]]),2)</f>
        <v>17.999999999999996</v>
      </c>
      <c r="O2360" s="8">
        <f t="array" ref="O2360">INDEX(TechRate,MATCH(H2360,TechNum,0))</f>
        <v>140</v>
      </c>
      <c r="P2360" s="10">
        <f>WorkOrders2710[[#This Row],[Techs]]*(WorkOrders2710[[#This Row],[PartsCost]]*WorkOrders2710[[#This Row],[LbrHrs]])</f>
        <v>31.807600000000001</v>
      </c>
      <c r="Q2360" s="10">
        <f t="shared" si="215"/>
        <v>31.807600000000001</v>
      </c>
      <c r="R2360" s="10">
        <f t="shared" si="216"/>
        <v>31.807600000000001</v>
      </c>
      <c r="S2360" s="10">
        <f t="shared" si="217"/>
        <v>63.615200000000002</v>
      </c>
      <c r="T2360" s="10">
        <f t="shared" si="218"/>
        <v>63.615200000000002</v>
      </c>
      <c r="U2360" s="8" t="str">
        <f t="shared" si="219"/>
        <v>Fri</v>
      </c>
      <c r="V2360" s="8" t="str">
        <f t="shared" si="220"/>
        <v>Tue</v>
      </c>
    </row>
    <row r="2361" spans="1:22" hidden="1" x14ac:dyDescent="0.25">
      <c r="A2361" t="s">
        <v>399</v>
      </c>
      <c r="B2361" t="s">
        <v>36</v>
      </c>
      <c r="C2361" t="s">
        <v>7</v>
      </c>
      <c r="D2361" t="s">
        <v>12</v>
      </c>
      <c r="F2361" s="5">
        <v>44249</v>
      </c>
      <c r="G2361" s="5">
        <v>44284</v>
      </c>
      <c r="H2361" s="2">
        <v>2</v>
      </c>
      <c r="I2361" s="6"/>
      <c r="J2361" s="6"/>
      <c r="K2361" s="7">
        <v>0.5</v>
      </c>
      <c r="L2361" s="7">
        <v>239.96940000000001</v>
      </c>
      <c r="M2361" t="s">
        <v>17</v>
      </c>
      <c r="N2361" s="16">
        <f>POWER(SQRT(WorkOrders2710[[#This Row],[WorkDate]]-WorkOrders2710[[#This Row],[ReqDate]]),2)</f>
        <v>35</v>
      </c>
      <c r="O2361" s="8">
        <f t="array" ref="O2361">INDEX(TechRate,MATCH(H2361,TechNum,0))</f>
        <v>140</v>
      </c>
      <c r="P2361" s="10">
        <f>WorkOrders2710[[#This Row],[Techs]]*(WorkOrders2710[[#This Row],[PartsCost]]*WorkOrders2710[[#This Row],[LbrHrs]])</f>
        <v>239.96940000000001</v>
      </c>
      <c r="Q2361" s="10">
        <f t="shared" si="215"/>
        <v>239.96940000000001</v>
      </c>
      <c r="R2361" s="10">
        <f t="shared" si="216"/>
        <v>239.96940000000001</v>
      </c>
      <c r="S2361" s="10">
        <f t="shared" si="217"/>
        <v>479.93880000000001</v>
      </c>
      <c r="T2361" s="10">
        <f t="shared" si="218"/>
        <v>479.93880000000001</v>
      </c>
      <c r="U2361" s="8" t="str">
        <f t="shared" si="219"/>
        <v>Mon</v>
      </c>
      <c r="V2361" s="8" t="str">
        <f t="shared" si="220"/>
        <v>Mon</v>
      </c>
    </row>
    <row r="2362" spans="1:22" hidden="1" x14ac:dyDescent="0.25">
      <c r="A2362" t="s">
        <v>400</v>
      </c>
      <c r="B2362" t="s">
        <v>34</v>
      </c>
      <c r="C2362" t="s">
        <v>9</v>
      </c>
      <c r="D2362" t="s">
        <v>2</v>
      </c>
      <c r="F2362" s="5">
        <v>44250</v>
      </c>
      <c r="G2362" s="5">
        <v>44257</v>
      </c>
      <c r="H2362" s="2">
        <v>1</v>
      </c>
      <c r="I2362" s="6"/>
      <c r="J2362" s="6"/>
      <c r="K2362" s="7">
        <v>1</v>
      </c>
      <c r="L2362" s="7">
        <v>90</v>
      </c>
      <c r="M2362" t="s">
        <v>18</v>
      </c>
      <c r="N2362" s="16">
        <f>POWER(SQRT(WorkOrders2710[[#This Row],[WorkDate]]-WorkOrders2710[[#This Row],[ReqDate]]),2)</f>
        <v>7.0000000000000009</v>
      </c>
      <c r="O2362" s="8">
        <f t="array" ref="O2362">INDEX(TechRate,MATCH(H2362,TechNum,0))</f>
        <v>80</v>
      </c>
      <c r="P2362" s="10">
        <f>WorkOrders2710[[#This Row],[Techs]]*(WorkOrders2710[[#This Row],[PartsCost]]*WorkOrders2710[[#This Row],[LbrHrs]])</f>
        <v>90</v>
      </c>
      <c r="Q2362" s="10">
        <f t="shared" si="215"/>
        <v>90</v>
      </c>
      <c r="R2362" s="10">
        <f t="shared" si="216"/>
        <v>90</v>
      </c>
      <c r="S2362" s="10">
        <f t="shared" si="217"/>
        <v>180</v>
      </c>
      <c r="T2362" s="10">
        <f t="shared" si="218"/>
        <v>180</v>
      </c>
      <c r="U2362" s="8" t="str">
        <f t="shared" si="219"/>
        <v>Tue</v>
      </c>
      <c r="V2362" s="8" t="str">
        <f t="shared" si="220"/>
        <v>Tue</v>
      </c>
    </row>
    <row r="2363" spans="1:22" hidden="1" x14ac:dyDescent="0.25">
      <c r="A2363" t="s">
        <v>401</v>
      </c>
      <c r="B2363" t="s">
        <v>37</v>
      </c>
      <c r="C2363" t="s">
        <v>43</v>
      </c>
      <c r="D2363" t="s">
        <v>11</v>
      </c>
      <c r="F2363" s="5">
        <v>44250</v>
      </c>
      <c r="G2363" s="5">
        <v>44271</v>
      </c>
      <c r="H2363" s="2">
        <v>1</v>
      </c>
      <c r="I2363" s="6"/>
      <c r="J2363" s="6"/>
      <c r="K2363" s="7">
        <v>0.25</v>
      </c>
      <c r="L2363" s="7">
        <v>16.25</v>
      </c>
      <c r="M2363" t="s">
        <v>17</v>
      </c>
      <c r="N2363" s="16">
        <f>POWER(SQRT(WorkOrders2710[[#This Row],[WorkDate]]-WorkOrders2710[[#This Row],[ReqDate]]),2)</f>
        <v>21</v>
      </c>
      <c r="O2363" s="8">
        <f t="array" ref="O2363">INDEX(TechRate,MATCH(H2363,TechNum,0))</f>
        <v>80</v>
      </c>
      <c r="P2363" s="10">
        <f>WorkOrders2710[[#This Row],[Techs]]*(WorkOrders2710[[#This Row],[PartsCost]]*WorkOrders2710[[#This Row],[LbrHrs]])</f>
        <v>4.0625</v>
      </c>
      <c r="Q2363" s="10">
        <f t="shared" si="215"/>
        <v>4.0625</v>
      </c>
      <c r="R2363" s="10">
        <f t="shared" si="216"/>
        <v>16.25</v>
      </c>
      <c r="S2363" s="10">
        <f t="shared" si="217"/>
        <v>20.3125</v>
      </c>
      <c r="T2363" s="10">
        <f t="shared" si="218"/>
        <v>20.3125</v>
      </c>
      <c r="U2363" s="8" t="str">
        <f t="shared" si="219"/>
        <v>Tue</v>
      </c>
      <c r="V2363" s="8" t="str">
        <f t="shared" si="220"/>
        <v>Tue</v>
      </c>
    </row>
    <row r="2364" spans="1:22" hidden="1" x14ac:dyDescent="0.25">
      <c r="A2364" t="s">
        <v>402</v>
      </c>
      <c r="B2364" t="s">
        <v>34</v>
      </c>
      <c r="C2364" t="s">
        <v>44</v>
      </c>
      <c r="D2364" t="s">
        <v>12</v>
      </c>
      <c r="F2364" s="5">
        <v>44250</v>
      </c>
      <c r="G2364" s="5">
        <v>44287</v>
      </c>
      <c r="H2364" s="2">
        <v>2</v>
      </c>
      <c r="I2364" s="6"/>
      <c r="J2364" s="6"/>
      <c r="K2364" s="7">
        <v>0.25</v>
      </c>
      <c r="L2364" s="7">
        <v>269.40269999999998</v>
      </c>
      <c r="M2364" t="s">
        <v>18</v>
      </c>
      <c r="N2364" s="16">
        <f>POWER(SQRT(WorkOrders2710[[#This Row],[WorkDate]]-WorkOrders2710[[#This Row],[ReqDate]]),2)</f>
        <v>36.999999999999993</v>
      </c>
      <c r="O2364" s="8">
        <f t="array" ref="O2364">INDEX(TechRate,MATCH(H2364,TechNum,0))</f>
        <v>140</v>
      </c>
      <c r="P2364" s="10">
        <f>WorkOrders2710[[#This Row],[Techs]]*(WorkOrders2710[[#This Row],[PartsCost]]*WorkOrders2710[[#This Row],[LbrHrs]])</f>
        <v>134.70134999999999</v>
      </c>
      <c r="Q2364" s="10">
        <f t="shared" si="215"/>
        <v>134.70134999999999</v>
      </c>
      <c r="R2364" s="10">
        <f t="shared" si="216"/>
        <v>269.40269999999998</v>
      </c>
      <c r="S2364" s="10">
        <f t="shared" si="217"/>
        <v>404.10404999999997</v>
      </c>
      <c r="T2364" s="10">
        <f t="shared" si="218"/>
        <v>404.10404999999997</v>
      </c>
      <c r="U2364" s="8" t="str">
        <f t="shared" si="219"/>
        <v>Tue</v>
      </c>
      <c r="V2364" s="8" t="str">
        <f t="shared" si="220"/>
        <v>Thu</v>
      </c>
    </row>
    <row r="2365" spans="1:22" hidden="1" x14ac:dyDescent="0.25">
      <c r="A2365" t="s">
        <v>403</v>
      </c>
      <c r="B2365" t="s">
        <v>37</v>
      </c>
      <c r="C2365" t="s">
        <v>43</v>
      </c>
      <c r="D2365" t="s">
        <v>11</v>
      </c>
      <c r="F2365" s="5">
        <v>44251</v>
      </c>
      <c r="G2365" s="5">
        <v>44270</v>
      </c>
      <c r="H2365" s="2">
        <v>1</v>
      </c>
      <c r="I2365" s="6"/>
      <c r="J2365" s="6"/>
      <c r="K2365" s="7">
        <v>0.25</v>
      </c>
      <c r="L2365" s="7">
        <v>33.497100000000003</v>
      </c>
      <c r="M2365" t="s">
        <v>17</v>
      </c>
      <c r="N2365" s="16">
        <f>POWER(SQRT(WorkOrders2710[[#This Row],[WorkDate]]-WorkOrders2710[[#This Row],[ReqDate]]),2)</f>
        <v>19.000000000000004</v>
      </c>
      <c r="O2365" s="8">
        <f t="array" ref="O2365">INDEX(TechRate,MATCH(H2365,TechNum,0))</f>
        <v>80</v>
      </c>
      <c r="P2365" s="10">
        <f>WorkOrders2710[[#This Row],[Techs]]*(WorkOrders2710[[#This Row],[PartsCost]]*WorkOrders2710[[#This Row],[LbrHrs]])</f>
        <v>8.3742750000000008</v>
      </c>
      <c r="Q2365" s="10">
        <f t="shared" si="215"/>
        <v>8.3742750000000008</v>
      </c>
      <c r="R2365" s="10">
        <f t="shared" si="216"/>
        <v>33.497100000000003</v>
      </c>
      <c r="S2365" s="10">
        <f t="shared" si="217"/>
        <v>41.871375</v>
      </c>
      <c r="T2365" s="10">
        <f t="shared" si="218"/>
        <v>41.871375</v>
      </c>
      <c r="U2365" s="8" t="str">
        <f t="shared" si="219"/>
        <v>Wed</v>
      </c>
      <c r="V2365" s="8" t="str">
        <f t="shared" si="220"/>
        <v>Mon</v>
      </c>
    </row>
    <row r="2366" spans="1:22" hidden="1" x14ac:dyDescent="0.25">
      <c r="A2366" t="s">
        <v>404</v>
      </c>
      <c r="B2366" t="s">
        <v>34</v>
      </c>
      <c r="C2366" t="s">
        <v>9</v>
      </c>
      <c r="D2366" t="s">
        <v>12</v>
      </c>
      <c r="F2366" s="5">
        <v>44252</v>
      </c>
      <c r="G2366" s="5">
        <v>44263</v>
      </c>
      <c r="H2366" s="2">
        <v>1</v>
      </c>
      <c r="I2366" s="6"/>
      <c r="J2366" s="6"/>
      <c r="K2366" s="7">
        <v>0.25</v>
      </c>
      <c r="L2366" s="7">
        <v>305.46260000000001</v>
      </c>
      <c r="M2366" t="s">
        <v>17</v>
      </c>
      <c r="N2366" s="16">
        <f>POWER(SQRT(WorkOrders2710[[#This Row],[WorkDate]]-WorkOrders2710[[#This Row],[ReqDate]]),2)</f>
        <v>11</v>
      </c>
      <c r="O2366" s="8">
        <f t="array" ref="O2366">INDEX(TechRate,MATCH(H2366,TechNum,0))</f>
        <v>80</v>
      </c>
      <c r="P2366" s="10">
        <f>WorkOrders2710[[#This Row],[Techs]]*(WorkOrders2710[[#This Row],[PartsCost]]*WorkOrders2710[[#This Row],[LbrHrs]])</f>
        <v>76.365650000000002</v>
      </c>
      <c r="Q2366" s="10">
        <f t="shared" si="215"/>
        <v>76.365650000000002</v>
      </c>
      <c r="R2366" s="10">
        <f t="shared" si="216"/>
        <v>305.46260000000001</v>
      </c>
      <c r="S2366" s="10">
        <f t="shared" si="217"/>
        <v>381.82825000000003</v>
      </c>
      <c r="T2366" s="10">
        <f t="shared" si="218"/>
        <v>381.82825000000003</v>
      </c>
      <c r="U2366" s="8" t="str">
        <f t="shared" si="219"/>
        <v>Thu</v>
      </c>
      <c r="V2366" s="8" t="str">
        <f t="shared" si="220"/>
        <v>Mon</v>
      </c>
    </row>
    <row r="2367" spans="1:22" hidden="1" x14ac:dyDescent="0.25">
      <c r="A2367" t="s">
        <v>405</v>
      </c>
      <c r="B2367" t="s">
        <v>37</v>
      </c>
      <c r="C2367" t="s">
        <v>43</v>
      </c>
      <c r="D2367" t="s">
        <v>13</v>
      </c>
      <c r="F2367" s="5">
        <v>44252</v>
      </c>
      <c r="G2367" s="5">
        <v>44270</v>
      </c>
      <c r="H2367" s="2">
        <v>1</v>
      </c>
      <c r="I2367" s="6"/>
      <c r="J2367" s="6"/>
      <c r="K2367" s="7">
        <v>0.75</v>
      </c>
      <c r="L2367" s="7">
        <v>50.672400000000003</v>
      </c>
      <c r="M2367" t="s">
        <v>19</v>
      </c>
      <c r="N2367" s="16">
        <f>POWER(SQRT(WorkOrders2710[[#This Row],[WorkDate]]-WorkOrders2710[[#This Row],[ReqDate]]),2)</f>
        <v>17.999999999999996</v>
      </c>
      <c r="O2367" s="8">
        <f t="array" ref="O2367">INDEX(TechRate,MATCH(H2367,TechNum,0))</f>
        <v>80</v>
      </c>
      <c r="P2367" s="10">
        <f>WorkOrders2710[[#This Row],[Techs]]*(WorkOrders2710[[#This Row],[PartsCost]]*WorkOrders2710[[#This Row],[LbrHrs]])</f>
        <v>38.004300000000001</v>
      </c>
      <c r="Q2367" s="10">
        <f t="shared" si="215"/>
        <v>38.004300000000001</v>
      </c>
      <c r="R2367" s="10">
        <f t="shared" si="216"/>
        <v>50.672400000000003</v>
      </c>
      <c r="S2367" s="10">
        <f t="shared" si="217"/>
        <v>88.676700000000011</v>
      </c>
      <c r="T2367" s="10">
        <f t="shared" si="218"/>
        <v>88.676700000000011</v>
      </c>
      <c r="U2367" s="8" t="str">
        <f t="shared" si="219"/>
        <v>Thu</v>
      </c>
      <c r="V2367" s="8" t="str">
        <f t="shared" si="220"/>
        <v>Mon</v>
      </c>
    </row>
    <row r="2368" spans="1:22" hidden="1" x14ac:dyDescent="0.25">
      <c r="A2368" t="s">
        <v>406</v>
      </c>
      <c r="B2368" t="s">
        <v>37</v>
      </c>
      <c r="C2368" t="s">
        <v>43</v>
      </c>
      <c r="D2368" t="s">
        <v>13</v>
      </c>
      <c r="F2368" s="5">
        <v>44252</v>
      </c>
      <c r="G2368" s="5">
        <v>44271</v>
      </c>
      <c r="H2368" s="2">
        <v>1</v>
      </c>
      <c r="I2368" s="6"/>
      <c r="J2368" s="6"/>
      <c r="K2368" s="7">
        <v>0.5</v>
      </c>
      <c r="L2368" s="7">
        <v>45.63</v>
      </c>
      <c r="M2368" t="s">
        <v>19</v>
      </c>
      <c r="N2368" s="16">
        <f>POWER(SQRT(WorkOrders2710[[#This Row],[WorkDate]]-WorkOrders2710[[#This Row],[ReqDate]]),2)</f>
        <v>19.000000000000004</v>
      </c>
      <c r="O2368" s="8">
        <f t="array" ref="O2368">INDEX(TechRate,MATCH(H2368,TechNum,0))</f>
        <v>80</v>
      </c>
      <c r="P2368" s="10">
        <f>WorkOrders2710[[#This Row],[Techs]]*(WorkOrders2710[[#This Row],[PartsCost]]*WorkOrders2710[[#This Row],[LbrHrs]])</f>
        <v>22.815000000000001</v>
      </c>
      <c r="Q2368" s="10">
        <f t="shared" si="215"/>
        <v>22.815000000000001</v>
      </c>
      <c r="R2368" s="10">
        <f t="shared" si="216"/>
        <v>45.63</v>
      </c>
      <c r="S2368" s="10">
        <f t="shared" si="217"/>
        <v>68.445000000000007</v>
      </c>
      <c r="T2368" s="10">
        <f t="shared" si="218"/>
        <v>68.445000000000007</v>
      </c>
      <c r="U2368" s="8" t="str">
        <f t="shared" si="219"/>
        <v>Thu</v>
      </c>
      <c r="V2368" s="8" t="str">
        <f t="shared" si="220"/>
        <v>Tue</v>
      </c>
    </row>
    <row r="2369" spans="1:22" hidden="1" x14ac:dyDescent="0.25">
      <c r="A2369" t="s">
        <v>407</v>
      </c>
      <c r="B2369" t="s">
        <v>38</v>
      </c>
      <c r="C2369" t="s">
        <v>8</v>
      </c>
      <c r="D2369" t="s">
        <v>13</v>
      </c>
      <c r="F2369" s="5">
        <v>44252</v>
      </c>
      <c r="G2369" s="5">
        <v>44279</v>
      </c>
      <c r="H2369" s="2">
        <v>1</v>
      </c>
      <c r="I2369" s="6"/>
      <c r="J2369" s="6"/>
      <c r="K2369" s="7">
        <v>1</v>
      </c>
      <c r="L2369" s="7">
        <v>42.66</v>
      </c>
      <c r="M2369" t="s">
        <v>18</v>
      </c>
      <c r="N2369" s="16">
        <f>POWER(SQRT(WorkOrders2710[[#This Row],[WorkDate]]-WorkOrders2710[[#This Row],[ReqDate]]),2)</f>
        <v>27</v>
      </c>
      <c r="O2369" s="8">
        <f t="array" ref="O2369">INDEX(TechRate,MATCH(H2369,TechNum,0))</f>
        <v>80</v>
      </c>
      <c r="P2369" s="10">
        <f>WorkOrders2710[[#This Row],[Techs]]*(WorkOrders2710[[#This Row],[PartsCost]]*WorkOrders2710[[#This Row],[LbrHrs]])</f>
        <v>42.66</v>
      </c>
      <c r="Q2369" s="10">
        <f t="shared" si="215"/>
        <v>42.66</v>
      </c>
      <c r="R2369" s="10">
        <f t="shared" si="216"/>
        <v>42.66</v>
      </c>
      <c r="S2369" s="10">
        <f t="shared" si="217"/>
        <v>85.32</v>
      </c>
      <c r="T2369" s="10">
        <f t="shared" si="218"/>
        <v>85.32</v>
      </c>
      <c r="U2369" s="8" t="str">
        <f t="shared" si="219"/>
        <v>Thu</v>
      </c>
      <c r="V2369" s="8" t="str">
        <f t="shared" si="220"/>
        <v>Wed</v>
      </c>
    </row>
    <row r="2370" spans="1:22" hidden="1" x14ac:dyDescent="0.25">
      <c r="A2370" t="s">
        <v>408</v>
      </c>
      <c r="B2370" t="s">
        <v>34</v>
      </c>
      <c r="C2370" t="s">
        <v>9</v>
      </c>
      <c r="D2370" t="s">
        <v>12</v>
      </c>
      <c r="F2370" s="5">
        <v>44252</v>
      </c>
      <c r="G2370" s="5">
        <v>44293</v>
      </c>
      <c r="H2370" s="2">
        <v>1</v>
      </c>
      <c r="I2370" s="6"/>
      <c r="J2370" s="6"/>
      <c r="K2370" s="7">
        <v>0.25</v>
      </c>
      <c r="L2370" s="7">
        <v>38.698399999999999</v>
      </c>
      <c r="M2370" t="s">
        <v>19</v>
      </c>
      <c r="N2370" s="16">
        <f>POWER(SQRT(WorkOrders2710[[#This Row],[WorkDate]]-WorkOrders2710[[#This Row],[ReqDate]]),2)</f>
        <v>41</v>
      </c>
      <c r="O2370" s="8">
        <f t="array" ref="O2370">INDEX(TechRate,MATCH(H2370,TechNum,0))</f>
        <v>80</v>
      </c>
      <c r="P2370" s="10">
        <f>WorkOrders2710[[#This Row],[Techs]]*(WorkOrders2710[[#This Row],[PartsCost]]*WorkOrders2710[[#This Row],[LbrHrs]])</f>
        <v>9.6745999999999999</v>
      </c>
      <c r="Q2370" s="10">
        <f t="shared" si="215"/>
        <v>9.6745999999999999</v>
      </c>
      <c r="R2370" s="10">
        <f t="shared" si="216"/>
        <v>38.698399999999999</v>
      </c>
      <c r="S2370" s="10">
        <f t="shared" si="217"/>
        <v>48.372999999999998</v>
      </c>
      <c r="T2370" s="10">
        <f t="shared" si="218"/>
        <v>48.372999999999998</v>
      </c>
      <c r="U2370" s="8" t="str">
        <f t="shared" si="219"/>
        <v>Thu</v>
      </c>
      <c r="V2370" s="8" t="str">
        <f t="shared" si="220"/>
        <v>Wed</v>
      </c>
    </row>
    <row r="2371" spans="1:22" hidden="1" x14ac:dyDescent="0.25">
      <c r="A2371" t="s">
        <v>409</v>
      </c>
      <c r="B2371" t="s">
        <v>34</v>
      </c>
      <c r="C2371" t="s">
        <v>44</v>
      </c>
      <c r="D2371" t="s">
        <v>12</v>
      </c>
      <c r="F2371" s="5">
        <v>44256</v>
      </c>
      <c r="G2371" s="5">
        <v>44270</v>
      </c>
      <c r="H2371" s="2">
        <v>1</v>
      </c>
      <c r="I2371" s="6"/>
      <c r="J2371" s="6"/>
      <c r="K2371" s="7">
        <v>0.25</v>
      </c>
      <c r="L2371" s="7">
        <v>164.22120000000001</v>
      </c>
      <c r="M2371" t="s">
        <v>17</v>
      </c>
      <c r="N2371" s="16">
        <f>POWER(SQRT(WorkOrders2710[[#This Row],[WorkDate]]-WorkOrders2710[[#This Row],[ReqDate]]),2)</f>
        <v>14</v>
      </c>
      <c r="O2371" s="8">
        <f t="array" ref="O2371">INDEX(TechRate,MATCH(H2371,TechNum,0))</f>
        <v>80</v>
      </c>
      <c r="P2371" s="10">
        <f>WorkOrders2710[[#This Row],[Techs]]*(WorkOrders2710[[#This Row],[PartsCost]]*WorkOrders2710[[#This Row],[LbrHrs]])</f>
        <v>41.055300000000003</v>
      </c>
      <c r="Q2371" s="10">
        <f t="shared" si="215"/>
        <v>41.055300000000003</v>
      </c>
      <c r="R2371" s="10">
        <f t="shared" si="216"/>
        <v>164.22120000000001</v>
      </c>
      <c r="S2371" s="10">
        <f t="shared" si="217"/>
        <v>205.2765</v>
      </c>
      <c r="T2371" s="10">
        <f t="shared" si="218"/>
        <v>205.2765</v>
      </c>
      <c r="U2371" s="8" t="str">
        <f t="shared" si="219"/>
        <v>Mon</v>
      </c>
      <c r="V2371" s="8" t="str">
        <f t="shared" si="220"/>
        <v>Mon</v>
      </c>
    </row>
    <row r="2372" spans="1:22" hidden="1" x14ac:dyDescent="0.25">
      <c r="A2372" t="s">
        <v>410</v>
      </c>
      <c r="B2372" t="s">
        <v>38</v>
      </c>
      <c r="C2372" t="s">
        <v>8</v>
      </c>
      <c r="D2372" t="s">
        <v>13</v>
      </c>
      <c r="F2372" s="5">
        <v>44256</v>
      </c>
      <c r="G2372" s="5">
        <v>44270</v>
      </c>
      <c r="H2372" s="2">
        <v>2</v>
      </c>
      <c r="I2372" s="6"/>
      <c r="J2372" s="6"/>
      <c r="K2372" s="7">
        <v>0.5</v>
      </c>
      <c r="L2372" s="7">
        <v>24.38</v>
      </c>
      <c r="M2372" t="s">
        <v>17</v>
      </c>
      <c r="N2372" s="16">
        <f>POWER(SQRT(WorkOrders2710[[#This Row],[WorkDate]]-WorkOrders2710[[#This Row],[ReqDate]]),2)</f>
        <v>14</v>
      </c>
      <c r="O2372" s="8">
        <f t="array" ref="O2372">INDEX(TechRate,MATCH(H2372,TechNum,0))</f>
        <v>140</v>
      </c>
      <c r="P2372" s="10">
        <f>WorkOrders2710[[#This Row],[Techs]]*(WorkOrders2710[[#This Row],[PartsCost]]*WorkOrders2710[[#This Row],[LbrHrs]])</f>
        <v>24.38</v>
      </c>
      <c r="Q2372" s="10">
        <f t="shared" si="215"/>
        <v>24.38</v>
      </c>
      <c r="R2372" s="10">
        <f t="shared" si="216"/>
        <v>24.38</v>
      </c>
      <c r="S2372" s="10">
        <f t="shared" si="217"/>
        <v>48.76</v>
      </c>
      <c r="T2372" s="10">
        <f t="shared" si="218"/>
        <v>48.76</v>
      </c>
      <c r="U2372" s="8" t="str">
        <f t="shared" si="219"/>
        <v>Mon</v>
      </c>
      <c r="V2372" s="8" t="str">
        <f t="shared" si="220"/>
        <v>Mon</v>
      </c>
    </row>
    <row r="2373" spans="1:22" hidden="1" x14ac:dyDescent="0.25">
      <c r="A2373" t="s">
        <v>411</v>
      </c>
      <c r="B2373" t="s">
        <v>37</v>
      </c>
      <c r="C2373" t="s">
        <v>43</v>
      </c>
      <c r="D2373" t="s">
        <v>12</v>
      </c>
      <c r="F2373" s="5">
        <v>44256</v>
      </c>
      <c r="G2373" s="5">
        <v>44279</v>
      </c>
      <c r="H2373" s="2">
        <v>1</v>
      </c>
      <c r="I2373" s="6"/>
      <c r="J2373" s="6"/>
      <c r="K2373" s="7">
        <v>0.25</v>
      </c>
      <c r="L2373" s="7">
        <v>267.94040000000001</v>
      </c>
      <c r="M2373" t="s">
        <v>19</v>
      </c>
      <c r="N2373" s="16">
        <f>POWER(SQRT(WorkOrders2710[[#This Row],[WorkDate]]-WorkOrders2710[[#This Row],[ReqDate]]),2)</f>
        <v>22.999999999999996</v>
      </c>
      <c r="O2373" s="8">
        <f t="array" ref="O2373">INDEX(TechRate,MATCH(H2373,TechNum,0))</f>
        <v>80</v>
      </c>
      <c r="P2373" s="10">
        <f>WorkOrders2710[[#This Row],[Techs]]*(WorkOrders2710[[#This Row],[PartsCost]]*WorkOrders2710[[#This Row],[LbrHrs]])</f>
        <v>66.985100000000003</v>
      </c>
      <c r="Q2373" s="10">
        <f t="shared" si="215"/>
        <v>66.985100000000003</v>
      </c>
      <c r="R2373" s="10">
        <f t="shared" si="216"/>
        <v>267.94040000000001</v>
      </c>
      <c r="S2373" s="10">
        <f t="shared" si="217"/>
        <v>334.9255</v>
      </c>
      <c r="T2373" s="10">
        <f t="shared" si="218"/>
        <v>334.9255</v>
      </c>
      <c r="U2373" s="8" t="str">
        <f t="shared" si="219"/>
        <v>Mon</v>
      </c>
      <c r="V2373" s="8" t="str">
        <f t="shared" si="220"/>
        <v>Wed</v>
      </c>
    </row>
    <row r="2374" spans="1:22" hidden="1" x14ac:dyDescent="0.25">
      <c r="A2374" t="s">
        <v>412</v>
      </c>
      <c r="B2374" t="s">
        <v>40</v>
      </c>
      <c r="C2374" t="s">
        <v>7</v>
      </c>
      <c r="D2374" t="s">
        <v>12</v>
      </c>
      <c r="F2374" s="5">
        <v>44256</v>
      </c>
      <c r="G2374" s="5">
        <v>44299</v>
      </c>
      <c r="H2374" s="2">
        <v>2</v>
      </c>
      <c r="I2374" s="6"/>
      <c r="J2374" s="6"/>
      <c r="K2374" s="7">
        <v>0.5</v>
      </c>
      <c r="L2374" s="7">
        <v>175.8682</v>
      </c>
      <c r="M2374" t="s">
        <v>17</v>
      </c>
      <c r="N2374" s="16">
        <f>POWER(SQRT(WorkOrders2710[[#This Row],[WorkDate]]-WorkOrders2710[[#This Row],[ReqDate]]),2)</f>
        <v>42.999999999999993</v>
      </c>
      <c r="O2374" s="8">
        <f t="array" ref="O2374">INDEX(TechRate,MATCH(H2374,TechNum,0))</f>
        <v>140</v>
      </c>
      <c r="P2374" s="10">
        <f>WorkOrders2710[[#This Row],[Techs]]*(WorkOrders2710[[#This Row],[PartsCost]]*WorkOrders2710[[#This Row],[LbrHrs]])</f>
        <v>175.8682</v>
      </c>
      <c r="Q2374" s="10">
        <f t="shared" si="215"/>
        <v>175.8682</v>
      </c>
      <c r="R2374" s="10">
        <f t="shared" si="216"/>
        <v>175.8682</v>
      </c>
      <c r="S2374" s="10">
        <f t="shared" si="217"/>
        <v>351.7364</v>
      </c>
      <c r="T2374" s="10">
        <f t="shared" si="218"/>
        <v>351.7364</v>
      </c>
      <c r="U2374" s="8" t="str">
        <f t="shared" si="219"/>
        <v>Mon</v>
      </c>
      <c r="V2374" s="8" t="str">
        <f t="shared" si="220"/>
        <v>Tue</v>
      </c>
    </row>
    <row r="2375" spans="1:22" hidden="1" x14ac:dyDescent="0.25">
      <c r="A2375" t="s">
        <v>413</v>
      </c>
      <c r="B2375" t="s">
        <v>34</v>
      </c>
      <c r="C2375" t="s">
        <v>44</v>
      </c>
      <c r="D2375" t="s">
        <v>11</v>
      </c>
      <c r="F2375" s="5">
        <v>44256</v>
      </c>
      <c r="G2375" s="5">
        <v>44306</v>
      </c>
      <c r="H2375" s="2">
        <v>1</v>
      </c>
      <c r="I2375" s="6" t="s">
        <v>3</v>
      </c>
      <c r="J2375" s="6" t="s">
        <v>3</v>
      </c>
      <c r="K2375" s="7">
        <v>0.25</v>
      </c>
      <c r="L2375" s="7">
        <v>81.12</v>
      </c>
      <c r="M2375" t="s">
        <v>20</v>
      </c>
      <c r="N2375" s="16">
        <f>POWER(SQRT(WorkOrders2710[[#This Row],[WorkDate]]-WorkOrders2710[[#This Row],[ReqDate]]),2)</f>
        <v>50.000000000000007</v>
      </c>
      <c r="O2375" s="8">
        <f t="array" ref="O2375">INDEX(TechRate,MATCH(H2375,TechNum,0))</f>
        <v>80</v>
      </c>
      <c r="P2375" s="10">
        <f>WorkOrders2710[[#This Row],[Techs]]*(WorkOrders2710[[#This Row],[PartsCost]]*WorkOrders2710[[#This Row],[LbrHrs]])</f>
        <v>20.28</v>
      </c>
      <c r="Q2375" s="10">
        <f t="shared" si="215"/>
        <v>0</v>
      </c>
      <c r="R2375" s="10">
        <f t="shared" si="216"/>
        <v>0</v>
      </c>
      <c r="S2375" s="10">
        <f t="shared" si="217"/>
        <v>101.4</v>
      </c>
      <c r="T2375" s="10">
        <f t="shared" si="218"/>
        <v>0</v>
      </c>
      <c r="U2375" s="8" t="str">
        <f t="shared" si="219"/>
        <v>Mon</v>
      </c>
      <c r="V2375" s="8" t="str">
        <f t="shared" si="220"/>
        <v>Tue</v>
      </c>
    </row>
    <row r="2376" spans="1:22" hidden="1" x14ac:dyDescent="0.25">
      <c r="A2376" t="s">
        <v>414</v>
      </c>
      <c r="B2376" t="s">
        <v>36</v>
      </c>
      <c r="C2376" t="s">
        <v>7</v>
      </c>
      <c r="D2376" t="s">
        <v>12</v>
      </c>
      <c r="F2376" s="5">
        <v>44256</v>
      </c>
      <c r="G2376" s="5">
        <v>44315</v>
      </c>
      <c r="H2376" s="2">
        <v>2</v>
      </c>
      <c r="I2376" s="6" t="s">
        <v>3</v>
      </c>
      <c r="J2376" s="6" t="s">
        <v>3</v>
      </c>
      <c r="K2376" s="7">
        <v>1</v>
      </c>
      <c r="L2376" s="7">
        <v>9.98</v>
      </c>
      <c r="M2376" t="s">
        <v>20</v>
      </c>
      <c r="N2376" s="16">
        <f>POWER(SQRT(WorkOrders2710[[#This Row],[WorkDate]]-WorkOrders2710[[#This Row],[ReqDate]]),2)</f>
        <v>58.999999999999993</v>
      </c>
      <c r="O2376" s="8">
        <f t="array" ref="O2376">INDEX(TechRate,MATCH(H2376,TechNum,0))</f>
        <v>140</v>
      </c>
      <c r="P2376" s="10">
        <f>WorkOrders2710[[#This Row],[Techs]]*(WorkOrders2710[[#This Row],[PartsCost]]*WorkOrders2710[[#This Row],[LbrHrs]])</f>
        <v>19.96</v>
      </c>
      <c r="Q2376" s="10">
        <f t="shared" si="215"/>
        <v>0</v>
      </c>
      <c r="R2376" s="10">
        <f t="shared" si="216"/>
        <v>0</v>
      </c>
      <c r="S2376" s="10">
        <f t="shared" si="217"/>
        <v>29.94</v>
      </c>
      <c r="T2376" s="10">
        <f t="shared" si="218"/>
        <v>0</v>
      </c>
      <c r="U2376" s="8" t="str">
        <f t="shared" si="219"/>
        <v>Mon</v>
      </c>
      <c r="V2376" s="8" t="str">
        <f t="shared" si="220"/>
        <v>Thu</v>
      </c>
    </row>
    <row r="2377" spans="1:22" hidden="1" x14ac:dyDescent="0.25">
      <c r="A2377" t="s">
        <v>415</v>
      </c>
      <c r="B2377" t="s">
        <v>35</v>
      </c>
      <c r="C2377" t="s">
        <v>8</v>
      </c>
      <c r="D2377" t="s">
        <v>12</v>
      </c>
      <c r="F2377" s="5">
        <v>44257</v>
      </c>
      <c r="G2377" s="5">
        <v>44264</v>
      </c>
      <c r="H2377" s="2">
        <v>1</v>
      </c>
      <c r="I2377" s="6"/>
      <c r="J2377" s="6"/>
      <c r="K2377" s="7">
        <v>1.25</v>
      </c>
      <c r="L2377" s="7">
        <v>340.70060000000001</v>
      </c>
      <c r="M2377" t="s">
        <v>17</v>
      </c>
      <c r="N2377" s="16">
        <f>POWER(SQRT(WorkOrders2710[[#This Row],[WorkDate]]-WorkOrders2710[[#This Row],[ReqDate]]),2)</f>
        <v>7.0000000000000009</v>
      </c>
      <c r="O2377" s="8">
        <f t="array" ref="O2377">INDEX(TechRate,MATCH(H2377,TechNum,0))</f>
        <v>80</v>
      </c>
      <c r="P2377" s="10">
        <f>WorkOrders2710[[#This Row],[Techs]]*(WorkOrders2710[[#This Row],[PartsCost]]*WorkOrders2710[[#This Row],[LbrHrs]])</f>
        <v>425.87575000000004</v>
      </c>
      <c r="Q2377" s="10">
        <f t="shared" si="215"/>
        <v>425.87575000000004</v>
      </c>
      <c r="R2377" s="10">
        <f t="shared" si="216"/>
        <v>340.70060000000001</v>
      </c>
      <c r="S2377" s="10">
        <f t="shared" si="217"/>
        <v>766.57635000000005</v>
      </c>
      <c r="T2377" s="10">
        <f t="shared" si="218"/>
        <v>766.57635000000005</v>
      </c>
      <c r="U2377" s="8" t="str">
        <f t="shared" si="219"/>
        <v>Tue</v>
      </c>
      <c r="V2377" s="8" t="str">
        <f t="shared" si="220"/>
        <v>Tue</v>
      </c>
    </row>
    <row r="2378" spans="1:22" hidden="1" x14ac:dyDescent="0.25">
      <c r="A2378" t="s">
        <v>416</v>
      </c>
      <c r="B2378" t="s">
        <v>35</v>
      </c>
      <c r="C2378" t="s">
        <v>8</v>
      </c>
      <c r="D2378" t="s">
        <v>13</v>
      </c>
      <c r="E2378" t="s">
        <v>3</v>
      </c>
      <c r="F2378" s="5">
        <v>44257</v>
      </c>
      <c r="G2378" s="5">
        <v>44265</v>
      </c>
      <c r="H2378" s="2">
        <v>1</v>
      </c>
      <c r="I2378" s="6"/>
      <c r="J2378" s="6"/>
      <c r="K2378" s="7">
        <v>0.75</v>
      </c>
      <c r="L2378" s="7">
        <v>22.84</v>
      </c>
      <c r="M2378" t="s">
        <v>19</v>
      </c>
      <c r="N2378" s="16">
        <f>POWER(SQRT(WorkOrders2710[[#This Row],[WorkDate]]-WorkOrders2710[[#This Row],[ReqDate]]),2)</f>
        <v>8.0000000000000018</v>
      </c>
      <c r="O2378" s="8">
        <f t="array" ref="O2378">INDEX(TechRate,MATCH(H2378,TechNum,0))</f>
        <v>80</v>
      </c>
      <c r="P2378" s="10">
        <f>WorkOrders2710[[#This Row],[Techs]]*(WorkOrders2710[[#This Row],[PartsCost]]*WorkOrders2710[[#This Row],[LbrHrs]])</f>
        <v>17.13</v>
      </c>
      <c r="Q2378" s="10">
        <f t="shared" si="215"/>
        <v>17.13</v>
      </c>
      <c r="R2378" s="10">
        <f t="shared" si="216"/>
        <v>22.84</v>
      </c>
      <c r="S2378" s="10">
        <f t="shared" si="217"/>
        <v>39.97</v>
      </c>
      <c r="T2378" s="10">
        <f t="shared" si="218"/>
        <v>39.97</v>
      </c>
      <c r="U2378" s="8" t="str">
        <f t="shared" si="219"/>
        <v>Tue</v>
      </c>
      <c r="V2378" s="8" t="str">
        <f t="shared" si="220"/>
        <v>Wed</v>
      </c>
    </row>
    <row r="2379" spans="1:22" hidden="1" x14ac:dyDescent="0.25">
      <c r="A2379" t="s">
        <v>417</v>
      </c>
      <c r="B2379" t="s">
        <v>37</v>
      </c>
      <c r="C2379" t="s">
        <v>43</v>
      </c>
      <c r="D2379" t="s">
        <v>13</v>
      </c>
      <c r="F2379" s="5">
        <v>44257</v>
      </c>
      <c r="G2379" s="5">
        <v>44266</v>
      </c>
      <c r="H2379" s="2">
        <v>1</v>
      </c>
      <c r="I2379" s="6"/>
      <c r="J2379" s="6"/>
      <c r="K2379" s="7">
        <v>0.5</v>
      </c>
      <c r="L2379" s="7">
        <v>3.5750000000000002</v>
      </c>
      <c r="M2379" t="s">
        <v>17</v>
      </c>
      <c r="N2379" s="16">
        <f>POWER(SQRT(WorkOrders2710[[#This Row],[WorkDate]]-WorkOrders2710[[#This Row],[ReqDate]]),2)</f>
        <v>9</v>
      </c>
      <c r="O2379" s="8">
        <f t="array" ref="O2379">INDEX(TechRate,MATCH(H2379,TechNum,0))</f>
        <v>80</v>
      </c>
      <c r="P2379" s="10">
        <f>WorkOrders2710[[#This Row],[Techs]]*(WorkOrders2710[[#This Row],[PartsCost]]*WorkOrders2710[[#This Row],[LbrHrs]])</f>
        <v>1.7875000000000001</v>
      </c>
      <c r="Q2379" s="10">
        <f t="shared" si="215"/>
        <v>1.7875000000000001</v>
      </c>
      <c r="R2379" s="10">
        <f t="shared" si="216"/>
        <v>3.5750000000000002</v>
      </c>
      <c r="S2379" s="10">
        <f t="shared" si="217"/>
        <v>5.3625000000000007</v>
      </c>
      <c r="T2379" s="10">
        <f t="shared" si="218"/>
        <v>5.3625000000000007</v>
      </c>
      <c r="U2379" s="8" t="str">
        <f t="shared" si="219"/>
        <v>Tue</v>
      </c>
      <c r="V2379" s="8" t="str">
        <f t="shared" si="220"/>
        <v>Thu</v>
      </c>
    </row>
    <row r="2380" spans="1:22" hidden="1" x14ac:dyDescent="0.25">
      <c r="A2380" t="s">
        <v>418</v>
      </c>
      <c r="B2380" t="s">
        <v>37</v>
      </c>
      <c r="C2380" t="s">
        <v>43</v>
      </c>
      <c r="D2380" t="s">
        <v>12</v>
      </c>
      <c r="F2380" s="5">
        <v>44257</v>
      </c>
      <c r="G2380" s="5">
        <v>44266</v>
      </c>
      <c r="H2380" s="2">
        <v>1</v>
      </c>
      <c r="I2380" s="6"/>
      <c r="J2380" s="6"/>
      <c r="K2380" s="7">
        <v>0.25</v>
      </c>
      <c r="L2380" s="7">
        <v>16.25</v>
      </c>
      <c r="M2380" t="s">
        <v>17</v>
      </c>
      <c r="N2380" s="16">
        <f>POWER(SQRT(WorkOrders2710[[#This Row],[WorkDate]]-WorkOrders2710[[#This Row],[ReqDate]]),2)</f>
        <v>9</v>
      </c>
      <c r="O2380" s="8">
        <f t="array" ref="O2380">INDEX(TechRate,MATCH(H2380,TechNum,0))</f>
        <v>80</v>
      </c>
      <c r="P2380" s="10">
        <f>WorkOrders2710[[#This Row],[Techs]]*(WorkOrders2710[[#This Row],[PartsCost]]*WorkOrders2710[[#This Row],[LbrHrs]])</f>
        <v>4.0625</v>
      </c>
      <c r="Q2380" s="10">
        <f t="shared" si="215"/>
        <v>4.0625</v>
      </c>
      <c r="R2380" s="10">
        <f t="shared" si="216"/>
        <v>16.25</v>
      </c>
      <c r="S2380" s="10">
        <f t="shared" si="217"/>
        <v>20.3125</v>
      </c>
      <c r="T2380" s="10">
        <f t="shared" si="218"/>
        <v>20.3125</v>
      </c>
      <c r="U2380" s="8" t="str">
        <f t="shared" si="219"/>
        <v>Tue</v>
      </c>
      <c r="V2380" s="8" t="str">
        <f t="shared" si="220"/>
        <v>Thu</v>
      </c>
    </row>
    <row r="2381" spans="1:22" hidden="1" x14ac:dyDescent="0.25">
      <c r="A2381" t="s">
        <v>419</v>
      </c>
      <c r="B2381" t="s">
        <v>34</v>
      </c>
      <c r="C2381" t="s">
        <v>9</v>
      </c>
      <c r="D2381" t="s">
        <v>13</v>
      </c>
      <c r="F2381" s="5">
        <v>44257</v>
      </c>
      <c r="G2381" s="5">
        <v>44275</v>
      </c>
      <c r="H2381" s="2">
        <v>1</v>
      </c>
      <c r="I2381" s="6"/>
      <c r="J2381" s="6"/>
      <c r="K2381" s="7">
        <v>0.75</v>
      </c>
      <c r="L2381" s="7">
        <v>19.196999999999999</v>
      </c>
      <c r="M2381" t="s">
        <v>19</v>
      </c>
      <c r="N2381" s="16">
        <f>POWER(SQRT(WorkOrders2710[[#This Row],[WorkDate]]-WorkOrders2710[[#This Row],[ReqDate]]),2)</f>
        <v>17.999999999999996</v>
      </c>
      <c r="O2381" s="8">
        <f t="array" ref="O2381">INDEX(TechRate,MATCH(H2381,TechNum,0))</f>
        <v>80</v>
      </c>
      <c r="P2381" s="10">
        <f>WorkOrders2710[[#This Row],[Techs]]*(WorkOrders2710[[#This Row],[PartsCost]]*WorkOrders2710[[#This Row],[LbrHrs]])</f>
        <v>14.397749999999998</v>
      </c>
      <c r="Q2381" s="10">
        <f t="shared" si="215"/>
        <v>14.397749999999998</v>
      </c>
      <c r="R2381" s="10">
        <f t="shared" si="216"/>
        <v>19.196999999999999</v>
      </c>
      <c r="S2381" s="10">
        <f t="shared" si="217"/>
        <v>33.594749999999998</v>
      </c>
      <c r="T2381" s="10">
        <f t="shared" si="218"/>
        <v>33.594749999999998</v>
      </c>
      <c r="U2381" s="8" t="str">
        <f t="shared" si="219"/>
        <v>Tue</v>
      </c>
      <c r="V2381" s="8" t="str">
        <f t="shared" si="220"/>
        <v>Sat</v>
      </c>
    </row>
    <row r="2382" spans="1:22" hidden="1" x14ac:dyDescent="0.25">
      <c r="A2382" t="s">
        <v>420</v>
      </c>
      <c r="B2382" t="s">
        <v>39</v>
      </c>
      <c r="C2382" t="s">
        <v>44</v>
      </c>
      <c r="D2382" t="s">
        <v>11</v>
      </c>
      <c r="F2382" s="5">
        <v>44257</v>
      </c>
      <c r="G2382" s="5">
        <v>44271</v>
      </c>
      <c r="H2382" s="2">
        <v>1</v>
      </c>
      <c r="I2382" s="6"/>
      <c r="J2382" s="6"/>
      <c r="K2382" s="7">
        <v>0.25</v>
      </c>
      <c r="L2382" s="7">
        <v>73.508899999999997</v>
      </c>
      <c r="M2382" t="s">
        <v>19</v>
      </c>
      <c r="N2382" s="16">
        <f>POWER(SQRT(WorkOrders2710[[#This Row],[WorkDate]]-WorkOrders2710[[#This Row],[ReqDate]]),2)</f>
        <v>14</v>
      </c>
      <c r="O2382" s="8">
        <f t="array" ref="O2382">INDEX(TechRate,MATCH(H2382,TechNum,0))</f>
        <v>80</v>
      </c>
      <c r="P2382" s="10">
        <f>WorkOrders2710[[#This Row],[Techs]]*(WorkOrders2710[[#This Row],[PartsCost]]*WorkOrders2710[[#This Row],[LbrHrs]])</f>
        <v>18.377224999999999</v>
      </c>
      <c r="Q2382" s="10">
        <f t="shared" si="215"/>
        <v>18.377224999999999</v>
      </c>
      <c r="R2382" s="10">
        <f t="shared" si="216"/>
        <v>73.508899999999997</v>
      </c>
      <c r="S2382" s="10">
        <f t="shared" si="217"/>
        <v>91.886124999999993</v>
      </c>
      <c r="T2382" s="10">
        <f t="shared" si="218"/>
        <v>91.886124999999993</v>
      </c>
      <c r="U2382" s="8" t="str">
        <f t="shared" si="219"/>
        <v>Tue</v>
      </c>
      <c r="V2382" s="8" t="str">
        <f t="shared" si="220"/>
        <v>Tue</v>
      </c>
    </row>
    <row r="2383" spans="1:22" hidden="1" x14ac:dyDescent="0.25">
      <c r="A2383" t="s">
        <v>421</v>
      </c>
      <c r="B2383" t="s">
        <v>34</v>
      </c>
      <c r="C2383" t="s">
        <v>9</v>
      </c>
      <c r="D2383" t="s">
        <v>12</v>
      </c>
      <c r="F2383" s="5">
        <v>44257</v>
      </c>
      <c r="G2383" s="5">
        <v>44278</v>
      </c>
      <c r="H2383" s="2">
        <v>1</v>
      </c>
      <c r="I2383" s="6"/>
      <c r="J2383" s="6"/>
      <c r="K2383" s="7">
        <v>0.25</v>
      </c>
      <c r="L2383" s="7">
        <v>144</v>
      </c>
      <c r="M2383" t="s">
        <v>19</v>
      </c>
      <c r="N2383" s="16">
        <f>POWER(SQRT(WorkOrders2710[[#This Row],[WorkDate]]-WorkOrders2710[[#This Row],[ReqDate]]),2)</f>
        <v>21</v>
      </c>
      <c r="O2383" s="8">
        <f t="array" ref="O2383">INDEX(TechRate,MATCH(H2383,TechNum,0))</f>
        <v>80</v>
      </c>
      <c r="P2383" s="10">
        <f>WorkOrders2710[[#This Row],[Techs]]*(WorkOrders2710[[#This Row],[PartsCost]]*WorkOrders2710[[#This Row],[LbrHrs]])</f>
        <v>36</v>
      </c>
      <c r="Q2383" s="10">
        <f t="shared" si="215"/>
        <v>36</v>
      </c>
      <c r="R2383" s="10">
        <f t="shared" si="216"/>
        <v>144</v>
      </c>
      <c r="S2383" s="10">
        <f t="shared" si="217"/>
        <v>180</v>
      </c>
      <c r="T2383" s="10">
        <f t="shared" si="218"/>
        <v>180</v>
      </c>
      <c r="U2383" s="8" t="str">
        <f t="shared" si="219"/>
        <v>Tue</v>
      </c>
      <c r="V2383" s="8" t="str">
        <f t="shared" si="220"/>
        <v>Tue</v>
      </c>
    </row>
    <row r="2384" spans="1:22" hidden="1" x14ac:dyDescent="0.25">
      <c r="A2384" t="s">
        <v>422</v>
      </c>
      <c r="B2384" t="s">
        <v>39</v>
      </c>
      <c r="C2384" t="s">
        <v>9</v>
      </c>
      <c r="D2384" t="s">
        <v>1</v>
      </c>
      <c r="F2384" s="5">
        <v>44257</v>
      </c>
      <c r="G2384" s="5">
        <v>44278</v>
      </c>
      <c r="H2384" s="2">
        <v>1</v>
      </c>
      <c r="I2384" s="6"/>
      <c r="J2384" s="6" t="s">
        <v>3</v>
      </c>
      <c r="K2384" s="7">
        <v>2</v>
      </c>
      <c r="L2384" s="7">
        <v>94.71</v>
      </c>
      <c r="M2384" t="s">
        <v>18</v>
      </c>
      <c r="N2384" s="16">
        <f>POWER(SQRT(WorkOrders2710[[#This Row],[WorkDate]]-WorkOrders2710[[#This Row],[ReqDate]]),2)</f>
        <v>21</v>
      </c>
      <c r="O2384" s="8">
        <f t="array" ref="O2384">INDEX(TechRate,MATCH(H2384,TechNum,0))</f>
        <v>80</v>
      </c>
      <c r="P2384" s="10">
        <f>WorkOrders2710[[#This Row],[Techs]]*(WorkOrders2710[[#This Row],[PartsCost]]*WorkOrders2710[[#This Row],[LbrHrs]])</f>
        <v>189.42</v>
      </c>
      <c r="Q2384" s="10">
        <f t="shared" si="215"/>
        <v>189.42</v>
      </c>
      <c r="R2384" s="10">
        <f t="shared" si="216"/>
        <v>0</v>
      </c>
      <c r="S2384" s="10">
        <f t="shared" si="217"/>
        <v>284.13</v>
      </c>
      <c r="T2384" s="10">
        <f t="shared" si="218"/>
        <v>189.42</v>
      </c>
      <c r="U2384" s="8" t="str">
        <f t="shared" si="219"/>
        <v>Tue</v>
      </c>
      <c r="V2384" s="8" t="str">
        <f t="shared" si="220"/>
        <v>Tue</v>
      </c>
    </row>
    <row r="2385" spans="1:22" hidden="1" x14ac:dyDescent="0.25">
      <c r="A2385" t="s">
        <v>423</v>
      </c>
      <c r="B2385" t="s">
        <v>34</v>
      </c>
      <c r="C2385" t="s">
        <v>9</v>
      </c>
      <c r="D2385" t="s">
        <v>12</v>
      </c>
      <c r="E2385" t="s">
        <v>3</v>
      </c>
      <c r="F2385" s="5">
        <v>44258</v>
      </c>
      <c r="G2385" s="5">
        <v>44264</v>
      </c>
      <c r="H2385" s="2">
        <v>2</v>
      </c>
      <c r="I2385" s="6"/>
      <c r="J2385" s="6"/>
      <c r="K2385" s="7">
        <v>0.25</v>
      </c>
      <c r="L2385" s="7">
        <v>41.153799999999997</v>
      </c>
      <c r="M2385" t="s">
        <v>18</v>
      </c>
      <c r="N2385" s="16">
        <f>POWER(SQRT(WorkOrders2710[[#This Row],[WorkDate]]-WorkOrders2710[[#This Row],[ReqDate]]),2)</f>
        <v>5.9999999999999991</v>
      </c>
      <c r="O2385" s="8">
        <f t="array" ref="O2385">INDEX(TechRate,MATCH(H2385,TechNum,0))</f>
        <v>140</v>
      </c>
      <c r="P2385" s="10">
        <f>WorkOrders2710[[#This Row],[Techs]]*(WorkOrders2710[[#This Row],[PartsCost]]*WorkOrders2710[[#This Row],[LbrHrs]])</f>
        <v>20.576899999999998</v>
      </c>
      <c r="Q2385" s="10">
        <f t="shared" si="215"/>
        <v>20.576899999999998</v>
      </c>
      <c r="R2385" s="10">
        <f t="shared" si="216"/>
        <v>41.153799999999997</v>
      </c>
      <c r="S2385" s="10">
        <f t="shared" si="217"/>
        <v>61.730699999999999</v>
      </c>
      <c r="T2385" s="10">
        <f t="shared" si="218"/>
        <v>61.730699999999999</v>
      </c>
      <c r="U2385" s="8" t="str">
        <f t="shared" si="219"/>
        <v>Wed</v>
      </c>
      <c r="V2385" s="8" t="str">
        <f t="shared" si="220"/>
        <v>Tue</v>
      </c>
    </row>
    <row r="2386" spans="1:22" hidden="1" x14ac:dyDescent="0.25">
      <c r="A2386" t="s">
        <v>424</v>
      </c>
      <c r="B2386" t="s">
        <v>40</v>
      </c>
      <c r="C2386" t="s">
        <v>7</v>
      </c>
      <c r="D2386" t="s">
        <v>13</v>
      </c>
      <c r="F2386" s="5">
        <v>44258</v>
      </c>
      <c r="G2386" s="5">
        <v>44292</v>
      </c>
      <c r="H2386" s="2">
        <v>2</v>
      </c>
      <c r="I2386" s="6"/>
      <c r="J2386" s="6"/>
      <c r="K2386" s="7">
        <v>0.5</v>
      </c>
      <c r="L2386" s="7">
        <v>76.9499</v>
      </c>
      <c r="M2386" t="s">
        <v>18</v>
      </c>
      <c r="N2386" s="16">
        <f>POWER(SQRT(WorkOrders2710[[#This Row],[WorkDate]]-WorkOrders2710[[#This Row],[ReqDate]]),2)</f>
        <v>34</v>
      </c>
      <c r="O2386" s="8">
        <f t="array" ref="O2386">INDEX(TechRate,MATCH(H2386,TechNum,0))</f>
        <v>140</v>
      </c>
      <c r="P2386" s="10">
        <f>WorkOrders2710[[#This Row],[Techs]]*(WorkOrders2710[[#This Row],[PartsCost]]*WorkOrders2710[[#This Row],[LbrHrs]])</f>
        <v>76.9499</v>
      </c>
      <c r="Q2386" s="10">
        <f t="shared" si="215"/>
        <v>76.9499</v>
      </c>
      <c r="R2386" s="10">
        <f t="shared" si="216"/>
        <v>76.9499</v>
      </c>
      <c r="S2386" s="10">
        <f t="shared" si="217"/>
        <v>153.8998</v>
      </c>
      <c r="T2386" s="10">
        <f t="shared" si="218"/>
        <v>153.8998</v>
      </c>
      <c r="U2386" s="8" t="str">
        <f t="shared" si="219"/>
        <v>Wed</v>
      </c>
      <c r="V2386" s="8" t="str">
        <f t="shared" si="220"/>
        <v>Tue</v>
      </c>
    </row>
    <row r="2387" spans="1:22" hidden="1" x14ac:dyDescent="0.25">
      <c r="A2387" t="s">
        <v>425</v>
      </c>
      <c r="B2387" t="s">
        <v>38</v>
      </c>
      <c r="C2387" t="s">
        <v>8</v>
      </c>
      <c r="D2387" t="s">
        <v>12</v>
      </c>
      <c r="F2387" s="5">
        <v>44258</v>
      </c>
      <c r="G2387" s="5">
        <v>44312</v>
      </c>
      <c r="H2387" s="2">
        <v>1</v>
      </c>
      <c r="I2387" s="6"/>
      <c r="J2387" s="6"/>
      <c r="K2387" s="7">
        <v>0.5</v>
      </c>
      <c r="L2387" s="7">
        <v>25.24</v>
      </c>
      <c r="M2387" t="s">
        <v>19</v>
      </c>
      <c r="N2387" s="16">
        <f>POWER(SQRT(WorkOrders2710[[#This Row],[WorkDate]]-WorkOrders2710[[#This Row],[ReqDate]]),2)</f>
        <v>54</v>
      </c>
      <c r="O2387" s="8">
        <f t="array" ref="O2387">INDEX(TechRate,MATCH(H2387,TechNum,0))</f>
        <v>80</v>
      </c>
      <c r="P2387" s="10">
        <f>WorkOrders2710[[#This Row],[Techs]]*(WorkOrders2710[[#This Row],[PartsCost]]*WorkOrders2710[[#This Row],[LbrHrs]])</f>
        <v>12.62</v>
      </c>
      <c r="Q2387" s="10">
        <f t="shared" si="215"/>
        <v>12.62</v>
      </c>
      <c r="R2387" s="10">
        <f t="shared" si="216"/>
        <v>25.24</v>
      </c>
      <c r="S2387" s="10">
        <f t="shared" si="217"/>
        <v>37.86</v>
      </c>
      <c r="T2387" s="10">
        <f t="shared" si="218"/>
        <v>37.86</v>
      </c>
      <c r="U2387" s="8" t="str">
        <f t="shared" si="219"/>
        <v>Wed</v>
      </c>
      <c r="V2387" s="8" t="str">
        <f t="shared" si="220"/>
        <v>Mon</v>
      </c>
    </row>
    <row r="2388" spans="1:22" hidden="1" x14ac:dyDescent="0.25">
      <c r="A2388" t="s">
        <v>426</v>
      </c>
      <c r="B2388" t="s">
        <v>35</v>
      </c>
      <c r="C2388" t="s">
        <v>9</v>
      </c>
      <c r="D2388" t="s">
        <v>12</v>
      </c>
      <c r="E2388" t="s">
        <v>3</v>
      </c>
      <c r="F2388" s="5">
        <v>44258</v>
      </c>
      <c r="G2388" s="5">
        <v>44329</v>
      </c>
      <c r="H2388" s="2">
        <v>2</v>
      </c>
      <c r="I2388" s="6"/>
      <c r="J2388" s="6"/>
      <c r="K2388" s="7">
        <v>0.75</v>
      </c>
      <c r="L2388" s="7">
        <v>572.62689999999998</v>
      </c>
      <c r="M2388" t="s">
        <v>18</v>
      </c>
      <c r="N2388" s="16">
        <f>POWER(SQRT(WorkOrders2710[[#This Row],[WorkDate]]-WorkOrders2710[[#This Row],[ReqDate]]),2)</f>
        <v>71</v>
      </c>
      <c r="O2388" s="8">
        <f t="array" ref="O2388">INDEX(TechRate,MATCH(H2388,TechNum,0))</f>
        <v>140</v>
      </c>
      <c r="P2388" s="10">
        <f>WorkOrders2710[[#This Row],[Techs]]*(WorkOrders2710[[#This Row],[PartsCost]]*WorkOrders2710[[#This Row],[LbrHrs]])</f>
        <v>858.94034999999997</v>
      </c>
      <c r="Q2388" s="10">
        <f t="shared" si="215"/>
        <v>858.94034999999997</v>
      </c>
      <c r="R2388" s="10">
        <f t="shared" si="216"/>
        <v>572.62689999999998</v>
      </c>
      <c r="S2388" s="10">
        <f t="shared" si="217"/>
        <v>1431.5672500000001</v>
      </c>
      <c r="T2388" s="10">
        <f t="shared" si="218"/>
        <v>1431.5672500000001</v>
      </c>
      <c r="U2388" s="8" t="str">
        <f t="shared" si="219"/>
        <v>Wed</v>
      </c>
      <c r="V2388" s="8" t="str">
        <f t="shared" si="220"/>
        <v>Thu</v>
      </c>
    </row>
    <row r="2389" spans="1:22" hidden="1" x14ac:dyDescent="0.25">
      <c r="A2389" t="s">
        <v>427</v>
      </c>
      <c r="B2389" t="s">
        <v>37</v>
      </c>
      <c r="C2389" t="s">
        <v>9</v>
      </c>
      <c r="D2389" t="s">
        <v>13</v>
      </c>
      <c r="F2389" s="5">
        <v>44258</v>
      </c>
      <c r="G2389" s="5">
        <v>44389</v>
      </c>
      <c r="H2389" s="2">
        <v>2</v>
      </c>
      <c r="I2389" s="6"/>
      <c r="J2389" s="6"/>
      <c r="K2389" s="7">
        <v>1.25</v>
      </c>
      <c r="L2389" s="7">
        <v>361.90370000000001</v>
      </c>
      <c r="M2389" t="s">
        <v>17</v>
      </c>
      <c r="N2389" s="16">
        <f>POWER(SQRT(WorkOrders2710[[#This Row],[WorkDate]]-WorkOrders2710[[#This Row],[ReqDate]]),2)</f>
        <v>131</v>
      </c>
      <c r="O2389" s="8">
        <f t="array" ref="O2389">INDEX(TechRate,MATCH(H2389,TechNum,0))</f>
        <v>140</v>
      </c>
      <c r="P2389" s="10">
        <f>WorkOrders2710[[#This Row],[Techs]]*(WorkOrders2710[[#This Row],[PartsCost]]*WorkOrders2710[[#This Row],[LbrHrs]])</f>
        <v>904.75925000000007</v>
      </c>
      <c r="Q2389" s="10">
        <f t="shared" si="215"/>
        <v>904.75925000000007</v>
      </c>
      <c r="R2389" s="10">
        <f t="shared" si="216"/>
        <v>361.90370000000001</v>
      </c>
      <c r="S2389" s="10">
        <f t="shared" si="217"/>
        <v>1266.6629500000001</v>
      </c>
      <c r="T2389" s="10">
        <f t="shared" si="218"/>
        <v>1266.6629500000001</v>
      </c>
      <c r="U2389" s="8" t="str">
        <f t="shared" si="219"/>
        <v>Wed</v>
      </c>
      <c r="V2389" s="8" t="str">
        <f t="shared" si="220"/>
        <v>Mon</v>
      </c>
    </row>
    <row r="2390" spans="1:22" hidden="1" x14ac:dyDescent="0.25">
      <c r="A2390" t="s">
        <v>428</v>
      </c>
      <c r="B2390" t="s">
        <v>35</v>
      </c>
      <c r="C2390" t="s">
        <v>44</v>
      </c>
      <c r="D2390" t="s">
        <v>12</v>
      </c>
      <c r="F2390" s="5">
        <v>44259</v>
      </c>
      <c r="G2390" s="5">
        <v>44263</v>
      </c>
      <c r="H2390" s="2">
        <v>1</v>
      </c>
      <c r="I2390" s="6"/>
      <c r="J2390" s="6"/>
      <c r="K2390" s="7">
        <v>0.25</v>
      </c>
      <c r="L2390" s="7">
        <v>110.2272</v>
      </c>
      <c r="M2390" t="s">
        <v>17</v>
      </c>
      <c r="N2390" s="16">
        <f>POWER(SQRT(WorkOrders2710[[#This Row],[WorkDate]]-WorkOrders2710[[#This Row],[ReqDate]]),2)</f>
        <v>4</v>
      </c>
      <c r="O2390" s="8">
        <f t="array" ref="O2390">INDEX(TechRate,MATCH(H2390,TechNum,0))</f>
        <v>80</v>
      </c>
      <c r="P2390" s="10">
        <f>WorkOrders2710[[#This Row],[Techs]]*(WorkOrders2710[[#This Row],[PartsCost]]*WorkOrders2710[[#This Row],[LbrHrs]])</f>
        <v>27.556799999999999</v>
      </c>
      <c r="Q2390" s="10">
        <f t="shared" si="215"/>
        <v>27.556799999999999</v>
      </c>
      <c r="R2390" s="10">
        <f t="shared" si="216"/>
        <v>110.2272</v>
      </c>
      <c r="S2390" s="10">
        <f t="shared" si="217"/>
        <v>137.78399999999999</v>
      </c>
      <c r="T2390" s="10">
        <f t="shared" si="218"/>
        <v>137.78399999999999</v>
      </c>
      <c r="U2390" s="8" t="str">
        <f t="shared" si="219"/>
        <v>Thu</v>
      </c>
      <c r="V2390" s="8" t="str">
        <f t="shared" si="220"/>
        <v>Mon</v>
      </c>
    </row>
    <row r="2391" spans="1:22" hidden="1" x14ac:dyDescent="0.25">
      <c r="A2391" t="s">
        <v>429</v>
      </c>
      <c r="B2391" t="s">
        <v>37</v>
      </c>
      <c r="C2391" t="s">
        <v>43</v>
      </c>
      <c r="D2391" t="s">
        <v>12</v>
      </c>
      <c r="F2391" s="5">
        <v>44259</v>
      </c>
      <c r="G2391" s="5">
        <v>44270</v>
      </c>
      <c r="H2391" s="2">
        <v>1</v>
      </c>
      <c r="I2391" s="6"/>
      <c r="J2391" s="6"/>
      <c r="K2391" s="7">
        <v>0.25</v>
      </c>
      <c r="L2391" s="7">
        <v>33.910499999999999</v>
      </c>
      <c r="M2391" t="s">
        <v>17</v>
      </c>
      <c r="N2391" s="16">
        <f>POWER(SQRT(WorkOrders2710[[#This Row],[WorkDate]]-WorkOrders2710[[#This Row],[ReqDate]]),2)</f>
        <v>11</v>
      </c>
      <c r="O2391" s="8">
        <f t="array" ref="O2391">INDEX(TechRate,MATCH(H2391,TechNum,0))</f>
        <v>80</v>
      </c>
      <c r="P2391" s="10">
        <f>WorkOrders2710[[#This Row],[Techs]]*(WorkOrders2710[[#This Row],[PartsCost]]*WorkOrders2710[[#This Row],[LbrHrs]])</f>
        <v>8.4776249999999997</v>
      </c>
      <c r="Q2391" s="10">
        <f t="shared" si="215"/>
        <v>8.4776249999999997</v>
      </c>
      <c r="R2391" s="10">
        <f t="shared" si="216"/>
        <v>33.910499999999999</v>
      </c>
      <c r="S2391" s="10">
        <f t="shared" si="217"/>
        <v>42.388125000000002</v>
      </c>
      <c r="T2391" s="10">
        <f t="shared" si="218"/>
        <v>42.388125000000002</v>
      </c>
      <c r="U2391" s="8" t="str">
        <f t="shared" si="219"/>
        <v>Thu</v>
      </c>
      <c r="V2391" s="8" t="str">
        <f t="shared" si="220"/>
        <v>Mon</v>
      </c>
    </row>
    <row r="2392" spans="1:22" hidden="1" x14ac:dyDescent="0.25">
      <c r="A2392" t="s">
        <v>430</v>
      </c>
      <c r="B2392" t="s">
        <v>36</v>
      </c>
      <c r="C2392" t="s">
        <v>7</v>
      </c>
      <c r="D2392" t="s">
        <v>12</v>
      </c>
      <c r="F2392" s="5">
        <v>44259</v>
      </c>
      <c r="G2392" s="5">
        <v>44279</v>
      </c>
      <c r="H2392" s="2">
        <v>2</v>
      </c>
      <c r="I2392" s="6"/>
      <c r="J2392" s="6"/>
      <c r="K2392" s="7">
        <v>0.25</v>
      </c>
      <c r="L2392" s="7">
        <v>19</v>
      </c>
      <c r="M2392" t="s">
        <v>17</v>
      </c>
      <c r="N2392" s="16">
        <f>POWER(SQRT(WorkOrders2710[[#This Row],[WorkDate]]-WorkOrders2710[[#This Row],[ReqDate]]),2)</f>
        <v>20.000000000000004</v>
      </c>
      <c r="O2392" s="8">
        <f t="array" ref="O2392">INDEX(TechRate,MATCH(H2392,TechNum,0))</f>
        <v>140</v>
      </c>
      <c r="P2392" s="10">
        <f>WorkOrders2710[[#This Row],[Techs]]*(WorkOrders2710[[#This Row],[PartsCost]]*WorkOrders2710[[#This Row],[LbrHrs]])</f>
        <v>9.5</v>
      </c>
      <c r="Q2392" s="10">
        <f t="shared" si="215"/>
        <v>9.5</v>
      </c>
      <c r="R2392" s="10">
        <f t="shared" si="216"/>
        <v>19</v>
      </c>
      <c r="S2392" s="10">
        <f t="shared" si="217"/>
        <v>28.5</v>
      </c>
      <c r="T2392" s="10">
        <f t="shared" si="218"/>
        <v>28.5</v>
      </c>
      <c r="U2392" s="8" t="str">
        <f t="shared" si="219"/>
        <v>Thu</v>
      </c>
      <c r="V2392" s="8" t="str">
        <f t="shared" si="220"/>
        <v>Wed</v>
      </c>
    </row>
    <row r="2393" spans="1:22" hidden="1" x14ac:dyDescent="0.25">
      <c r="A2393" t="s">
        <v>431</v>
      </c>
      <c r="B2393" t="s">
        <v>38</v>
      </c>
      <c r="C2393" t="s">
        <v>8</v>
      </c>
      <c r="D2393" t="s">
        <v>1</v>
      </c>
      <c r="F2393" s="5">
        <v>44259</v>
      </c>
      <c r="G2393" s="5">
        <v>44279</v>
      </c>
      <c r="H2393" s="2">
        <v>1</v>
      </c>
      <c r="I2393" s="6"/>
      <c r="J2393" s="6"/>
      <c r="K2393" s="7">
        <v>1.25</v>
      </c>
      <c r="L2393" s="7">
        <v>294.77999999999997</v>
      </c>
      <c r="M2393" t="s">
        <v>19</v>
      </c>
      <c r="N2393" s="16">
        <f>POWER(SQRT(WorkOrders2710[[#This Row],[WorkDate]]-WorkOrders2710[[#This Row],[ReqDate]]),2)</f>
        <v>20.000000000000004</v>
      </c>
      <c r="O2393" s="8">
        <f t="array" ref="O2393">INDEX(TechRate,MATCH(H2393,TechNum,0))</f>
        <v>80</v>
      </c>
      <c r="P2393" s="10">
        <f>WorkOrders2710[[#This Row],[Techs]]*(WorkOrders2710[[#This Row],[PartsCost]]*WorkOrders2710[[#This Row],[LbrHrs]])</f>
        <v>368.47499999999997</v>
      </c>
      <c r="Q2393" s="10">
        <f t="shared" ref="Q2393:Q2456" si="221">IF(I2393="Yes",0,P2393)</f>
        <v>368.47499999999997</v>
      </c>
      <c r="R2393" s="10">
        <f t="shared" ref="R2393:R2456" si="222">IF(J2393="Yes",0,L2393)</f>
        <v>294.77999999999997</v>
      </c>
      <c r="S2393" s="10">
        <f t="shared" ref="S2393:S2456" si="223">SUM(L2393,P2393)</f>
        <v>663.25499999999988</v>
      </c>
      <c r="T2393" s="10">
        <f t="shared" ref="T2393:T2456" si="224">SUM(Q2393,R2393)</f>
        <v>663.25499999999988</v>
      </c>
      <c r="U2393" s="8" t="str">
        <f t="shared" ref="U2393:U2456" si="225">TEXT(F2393,"ddd")</f>
        <v>Thu</v>
      </c>
      <c r="V2393" s="8" t="str">
        <f t="shared" ref="V2393:V2456" si="226">TEXT(G2393,"ddd")</f>
        <v>Wed</v>
      </c>
    </row>
    <row r="2394" spans="1:22" hidden="1" x14ac:dyDescent="0.25">
      <c r="A2394" t="s">
        <v>432</v>
      </c>
      <c r="B2394" t="s">
        <v>40</v>
      </c>
      <c r="C2394" t="s">
        <v>7</v>
      </c>
      <c r="D2394" t="s">
        <v>12</v>
      </c>
      <c r="F2394" s="5">
        <v>44259</v>
      </c>
      <c r="G2394" s="5">
        <v>44312</v>
      </c>
      <c r="H2394" s="2">
        <v>2</v>
      </c>
      <c r="I2394" s="6"/>
      <c r="J2394" s="6"/>
      <c r="K2394" s="7">
        <v>0.25</v>
      </c>
      <c r="L2394" s="7">
        <v>83.231700000000004</v>
      </c>
      <c r="M2394" t="s">
        <v>17</v>
      </c>
      <c r="N2394" s="16">
        <f>POWER(SQRT(WorkOrders2710[[#This Row],[WorkDate]]-WorkOrders2710[[#This Row],[ReqDate]]),2)</f>
        <v>53</v>
      </c>
      <c r="O2394" s="8">
        <f t="array" ref="O2394">INDEX(TechRate,MATCH(H2394,TechNum,0))</f>
        <v>140</v>
      </c>
      <c r="P2394" s="10">
        <f>WorkOrders2710[[#This Row],[Techs]]*(WorkOrders2710[[#This Row],[PartsCost]]*WorkOrders2710[[#This Row],[LbrHrs]])</f>
        <v>41.615850000000002</v>
      </c>
      <c r="Q2394" s="10">
        <f t="shared" si="221"/>
        <v>41.615850000000002</v>
      </c>
      <c r="R2394" s="10">
        <f t="shared" si="222"/>
        <v>83.231700000000004</v>
      </c>
      <c r="S2394" s="10">
        <f t="shared" si="223"/>
        <v>124.84755000000001</v>
      </c>
      <c r="T2394" s="10">
        <f t="shared" si="224"/>
        <v>124.84755000000001</v>
      </c>
      <c r="U2394" s="8" t="str">
        <f t="shared" si="225"/>
        <v>Thu</v>
      </c>
      <c r="V2394" s="8" t="str">
        <f t="shared" si="226"/>
        <v>Mon</v>
      </c>
    </row>
    <row r="2395" spans="1:22" hidden="1" x14ac:dyDescent="0.25">
      <c r="A2395" t="s">
        <v>433</v>
      </c>
      <c r="B2395" t="s">
        <v>37</v>
      </c>
      <c r="C2395" t="s">
        <v>43</v>
      </c>
      <c r="D2395" t="s">
        <v>12</v>
      </c>
      <c r="F2395" s="5">
        <v>44263</v>
      </c>
      <c r="G2395" s="5">
        <v>44271</v>
      </c>
      <c r="H2395" s="2">
        <v>1</v>
      </c>
      <c r="I2395" s="6"/>
      <c r="J2395" s="6"/>
      <c r="K2395" s="7">
        <v>0.75</v>
      </c>
      <c r="L2395" s="7">
        <v>103.0842</v>
      </c>
      <c r="M2395" t="s">
        <v>17</v>
      </c>
      <c r="N2395" s="16">
        <f>POWER(SQRT(WorkOrders2710[[#This Row],[WorkDate]]-WorkOrders2710[[#This Row],[ReqDate]]),2)</f>
        <v>8.0000000000000018</v>
      </c>
      <c r="O2395" s="8">
        <f t="array" ref="O2395">INDEX(TechRate,MATCH(H2395,TechNum,0))</f>
        <v>80</v>
      </c>
      <c r="P2395" s="10">
        <f>WorkOrders2710[[#This Row],[Techs]]*(WorkOrders2710[[#This Row],[PartsCost]]*WorkOrders2710[[#This Row],[LbrHrs]])</f>
        <v>77.313149999999993</v>
      </c>
      <c r="Q2395" s="10">
        <f t="shared" si="221"/>
        <v>77.313149999999993</v>
      </c>
      <c r="R2395" s="10">
        <f t="shared" si="222"/>
        <v>103.0842</v>
      </c>
      <c r="S2395" s="10">
        <f t="shared" si="223"/>
        <v>180.39734999999999</v>
      </c>
      <c r="T2395" s="10">
        <f t="shared" si="224"/>
        <v>180.39734999999999</v>
      </c>
      <c r="U2395" s="8" t="str">
        <f t="shared" si="225"/>
        <v>Mon</v>
      </c>
      <c r="V2395" s="8" t="str">
        <f t="shared" si="226"/>
        <v>Tue</v>
      </c>
    </row>
    <row r="2396" spans="1:22" hidden="1" x14ac:dyDescent="0.25">
      <c r="A2396" t="s">
        <v>434</v>
      </c>
      <c r="B2396" t="s">
        <v>34</v>
      </c>
      <c r="C2396" t="s">
        <v>44</v>
      </c>
      <c r="D2396" t="s">
        <v>13</v>
      </c>
      <c r="F2396" s="5">
        <v>44263</v>
      </c>
      <c r="G2396" s="5">
        <v>44271</v>
      </c>
      <c r="H2396" s="2">
        <v>2</v>
      </c>
      <c r="I2396" s="6"/>
      <c r="J2396" s="6"/>
      <c r="K2396" s="7">
        <v>0.5</v>
      </c>
      <c r="L2396" s="7">
        <v>144.30529999999999</v>
      </c>
      <c r="M2396" t="s">
        <v>18</v>
      </c>
      <c r="N2396" s="16">
        <f>POWER(SQRT(WorkOrders2710[[#This Row],[WorkDate]]-WorkOrders2710[[#This Row],[ReqDate]]),2)</f>
        <v>8.0000000000000018</v>
      </c>
      <c r="O2396" s="8">
        <f t="array" ref="O2396">INDEX(TechRate,MATCH(H2396,TechNum,0))</f>
        <v>140</v>
      </c>
      <c r="P2396" s="10">
        <f>WorkOrders2710[[#This Row],[Techs]]*(WorkOrders2710[[#This Row],[PartsCost]]*WorkOrders2710[[#This Row],[LbrHrs]])</f>
        <v>144.30529999999999</v>
      </c>
      <c r="Q2396" s="10">
        <f t="shared" si="221"/>
        <v>144.30529999999999</v>
      </c>
      <c r="R2396" s="10">
        <f t="shared" si="222"/>
        <v>144.30529999999999</v>
      </c>
      <c r="S2396" s="10">
        <f t="shared" si="223"/>
        <v>288.61059999999998</v>
      </c>
      <c r="T2396" s="10">
        <f t="shared" si="224"/>
        <v>288.61059999999998</v>
      </c>
      <c r="U2396" s="8" t="str">
        <f t="shared" si="225"/>
        <v>Mon</v>
      </c>
      <c r="V2396" s="8" t="str">
        <f t="shared" si="226"/>
        <v>Tue</v>
      </c>
    </row>
    <row r="2397" spans="1:22" hidden="1" x14ac:dyDescent="0.25">
      <c r="A2397" t="s">
        <v>435</v>
      </c>
      <c r="B2397" t="s">
        <v>36</v>
      </c>
      <c r="C2397" t="s">
        <v>7</v>
      </c>
      <c r="D2397" t="s">
        <v>12</v>
      </c>
      <c r="F2397" s="5">
        <v>44263</v>
      </c>
      <c r="G2397" s="5">
        <v>44280</v>
      </c>
      <c r="H2397" s="2">
        <v>2</v>
      </c>
      <c r="I2397" s="6"/>
      <c r="J2397" s="6"/>
      <c r="K2397" s="7">
        <v>0.25</v>
      </c>
      <c r="L2397" s="7">
        <v>39</v>
      </c>
      <c r="M2397" t="s">
        <v>17</v>
      </c>
      <c r="N2397" s="16">
        <f>POWER(SQRT(WorkOrders2710[[#This Row],[WorkDate]]-WorkOrders2710[[#This Row],[ReqDate]]),2)</f>
        <v>17</v>
      </c>
      <c r="O2397" s="8">
        <f t="array" ref="O2397">INDEX(TechRate,MATCH(H2397,TechNum,0))</f>
        <v>140</v>
      </c>
      <c r="P2397" s="10">
        <f>WorkOrders2710[[#This Row],[Techs]]*(WorkOrders2710[[#This Row],[PartsCost]]*WorkOrders2710[[#This Row],[LbrHrs]])</f>
        <v>19.5</v>
      </c>
      <c r="Q2397" s="10">
        <f t="shared" si="221"/>
        <v>19.5</v>
      </c>
      <c r="R2397" s="10">
        <f t="shared" si="222"/>
        <v>39</v>
      </c>
      <c r="S2397" s="10">
        <f t="shared" si="223"/>
        <v>58.5</v>
      </c>
      <c r="T2397" s="10">
        <f t="shared" si="224"/>
        <v>58.5</v>
      </c>
      <c r="U2397" s="8" t="str">
        <f t="shared" si="225"/>
        <v>Mon</v>
      </c>
      <c r="V2397" s="8" t="str">
        <f t="shared" si="226"/>
        <v>Thu</v>
      </c>
    </row>
    <row r="2398" spans="1:22" hidden="1" x14ac:dyDescent="0.25">
      <c r="A2398" t="s">
        <v>436</v>
      </c>
      <c r="B2398" t="s">
        <v>34</v>
      </c>
      <c r="C2398" t="s">
        <v>9</v>
      </c>
      <c r="D2398" t="s">
        <v>1</v>
      </c>
      <c r="F2398" s="5">
        <v>44263</v>
      </c>
      <c r="G2398" s="5">
        <v>44282</v>
      </c>
      <c r="H2398" s="2">
        <v>2</v>
      </c>
      <c r="I2398" s="6"/>
      <c r="J2398" s="6"/>
      <c r="K2398" s="7">
        <v>2.5</v>
      </c>
      <c r="L2398" s="7">
        <v>224</v>
      </c>
      <c r="M2398" t="s">
        <v>18</v>
      </c>
      <c r="N2398" s="16">
        <f>POWER(SQRT(WorkOrders2710[[#This Row],[WorkDate]]-WorkOrders2710[[#This Row],[ReqDate]]),2)</f>
        <v>19.000000000000004</v>
      </c>
      <c r="O2398" s="8">
        <f t="array" ref="O2398">INDEX(TechRate,MATCH(H2398,TechNum,0))</f>
        <v>140</v>
      </c>
      <c r="P2398" s="10">
        <f>WorkOrders2710[[#This Row],[Techs]]*(WorkOrders2710[[#This Row],[PartsCost]]*WorkOrders2710[[#This Row],[LbrHrs]])</f>
        <v>1120</v>
      </c>
      <c r="Q2398" s="10">
        <f t="shared" si="221"/>
        <v>1120</v>
      </c>
      <c r="R2398" s="10">
        <f t="shared" si="222"/>
        <v>224</v>
      </c>
      <c r="S2398" s="10">
        <f t="shared" si="223"/>
        <v>1344</v>
      </c>
      <c r="T2398" s="10">
        <f t="shared" si="224"/>
        <v>1344</v>
      </c>
      <c r="U2398" s="8" t="str">
        <f t="shared" si="225"/>
        <v>Mon</v>
      </c>
      <c r="V2398" s="8" t="str">
        <f t="shared" si="226"/>
        <v>Sat</v>
      </c>
    </row>
    <row r="2399" spans="1:22" hidden="1" x14ac:dyDescent="0.25">
      <c r="A2399" t="s">
        <v>437</v>
      </c>
      <c r="B2399" t="s">
        <v>37</v>
      </c>
      <c r="C2399" t="s">
        <v>43</v>
      </c>
      <c r="D2399" t="s">
        <v>12</v>
      </c>
      <c r="F2399" s="5">
        <v>44263</v>
      </c>
      <c r="G2399" s="5">
        <v>44359</v>
      </c>
      <c r="H2399" s="2">
        <v>1</v>
      </c>
      <c r="I2399" s="6"/>
      <c r="J2399" s="6"/>
      <c r="K2399" s="7">
        <v>0.5</v>
      </c>
      <c r="L2399" s="7">
        <v>475.54</v>
      </c>
      <c r="M2399" t="s">
        <v>17</v>
      </c>
      <c r="N2399" s="16">
        <f>POWER(SQRT(WorkOrders2710[[#This Row],[WorkDate]]-WorkOrders2710[[#This Row],[ReqDate]]),2)</f>
        <v>95.999999999999986</v>
      </c>
      <c r="O2399" s="8">
        <f t="array" ref="O2399">INDEX(TechRate,MATCH(H2399,TechNum,0))</f>
        <v>80</v>
      </c>
      <c r="P2399" s="10">
        <f>WorkOrders2710[[#This Row],[Techs]]*(WorkOrders2710[[#This Row],[PartsCost]]*WorkOrders2710[[#This Row],[LbrHrs]])</f>
        <v>237.77</v>
      </c>
      <c r="Q2399" s="10">
        <f t="shared" si="221"/>
        <v>237.77</v>
      </c>
      <c r="R2399" s="10">
        <f t="shared" si="222"/>
        <v>475.54</v>
      </c>
      <c r="S2399" s="10">
        <f t="shared" si="223"/>
        <v>713.31000000000006</v>
      </c>
      <c r="T2399" s="10">
        <f t="shared" si="224"/>
        <v>713.31000000000006</v>
      </c>
      <c r="U2399" s="8" t="str">
        <f t="shared" si="225"/>
        <v>Mon</v>
      </c>
      <c r="V2399" s="8" t="str">
        <f t="shared" si="226"/>
        <v>Sat</v>
      </c>
    </row>
    <row r="2400" spans="1:22" hidden="1" x14ac:dyDescent="0.25">
      <c r="A2400" t="s">
        <v>438</v>
      </c>
      <c r="B2400" t="s">
        <v>34</v>
      </c>
      <c r="C2400" t="s">
        <v>8</v>
      </c>
      <c r="D2400" t="s">
        <v>12</v>
      </c>
      <c r="F2400" s="5">
        <v>44264</v>
      </c>
      <c r="G2400" s="5">
        <v>44271</v>
      </c>
      <c r="H2400" s="2">
        <v>1</v>
      </c>
      <c r="I2400" s="6"/>
      <c r="J2400" s="6"/>
      <c r="K2400" s="7">
        <v>1</v>
      </c>
      <c r="L2400" s="7">
        <v>46.036799999999999</v>
      </c>
      <c r="M2400" t="s">
        <v>18</v>
      </c>
      <c r="N2400" s="16">
        <f>POWER(SQRT(WorkOrders2710[[#This Row],[WorkDate]]-WorkOrders2710[[#This Row],[ReqDate]]),2)</f>
        <v>7.0000000000000009</v>
      </c>
      <c r="O2400" s="8">
        <f t="array" ref="O2400">INDEX(TechRate,MATCH(H2400,TechNum,0))</f>
        <v>80</v>
      </c>
      <c r="P2400" s="10">
        <f>WorkOrders2710[[#This Row],[Techs]]*(WorkOrders2710[[#This Row],[PartsCost]]*WorkOrders2710[[#This Row],[LbrHrs]])</f>
        <v>46.036799999999999</v>
      </c>
      <c r="Q2400" s="10">
        <f t="shared" si="221"/>
        <v>46.036799999999999</v>
      </c>
      <c r="R2400" s="10">
        <f t="shared" si="222"/>
        <v>46.036799999999999</v>
      </c>
      <c r="S2400" s="10">
        <f t="shared" si="223"/>
        <v>92.073599999999999</v>
      </c>
      <c r="T2400" s="10">
        <f t="shared" si="224"/>
        <v>92.073599999999999</v>
      </c>
      <c r="U2400" s="8" t="str">
        <f t="shared" si="225"/>
        <v>Tue</v>
      </c>
      <c r="V2400" s="8" t="str">
        <f t="shared" si="226"/>
        <v>Tue</v>
      </c>
    </row>
    <row r="2401" spans="1:22" hidden="1" x14ac:dyDescent="0.25">
      <c r="A2401" t="s">
        <v>439</v>
      </c>
      <c r="B2401" t="s">
        <v>37</v>
      </c>
      <c r="C2401" t="s">
        <v>43</v>
      </c>
      <c r="D2401" t="s">
        <v>12</v>
      </c>
      <c r="F2401" s="5">
        <v>44264</v>
      </c>
      <c r="G2401" s="5">
        <v>44271</v>
      </c>
      <c r="H2401" s="2">
        <v>1</v>
      </c>
      <c r="I2401" s="6"/>
      <c r="J2401" s="6"/>
      <c r="K2401" s="7">
        <v>0.75</v>
      </c>
      <c r="L2401" s="7">
        <v>294.5514</v>
      </c>
      <c r="M2401" t="s">
        <v>17</v>
      </c>
      <c r="N2401" s="16">
        <f>POWER(SQRT(WorkOrders2710[[#This Row],[WorkDate]]-WorkOrders2710[[#This Row],[ReqDate]]),2)</f>
        <v>7.0000000000000009</v>
      </c>
      <c r="O2401" s="8">
        <f t="array" ref="O2401">INDEX(TechRate,MATCH(H2401,TechNum,0))</f>
        <v>80</v>
      </c>
      <c r="P2401" s="10">
        <f>WorkOrders2710[[#This Row],[Techs]]*(WorkOrders2710[[#This Row],[PartsCost]]*WorkOrders2710[[#This Row],[LbrHrs]])</f>
        <v>220.91354999999999</v>
      </c>
      <c r="Q2401" s="10">
        <f t="shared" si="221"/>
        <v>220.91354999999999</v>
      </c>
      <c r="R2401" s="10">
        <f t="shared" si="222"/>
        <v>294.5514</v>
      </c>
      <c r="S2401" s="10">
        <f t="shared" si="223"/>
        <v>515.46495000000004</v>
      </c>
      <c r="T2401" s="10">
        <f t="shared" si="224"/>
        <v>515.46495000000004</v>
      </c>
      <c r="U2401" s="8" t="str">
        <f t="shared" si="225"/>
        <v>Tue</v>
      </c>
      <c r="V2401" s="8" t="str">
        <f t="shared" si="226"/>
        <v>Tue</v>
      </c>
    </row>
    <row r="2402" spans="1:22" hidden="1" x14ac:dyDescent="0.25">
      <c r="A2402" t="s">
        <v>440</v>
      </c>
      <c r="B2402" t="s">
        <v>38</v>
      </c>
      <c r="C2402" t="s">
        <v>8</v>
      </c>
      <c r="D2402" t="s">
        <v>13</v>
      </c>
      <c r="F2402" s="5">
        <v>44264</v>
      </c>
      <c r="G2402" s="5">
        <v>44341</v>
      </c>
      <c r="H2402" s="2">
        <v>2</v>
      </c>
      <c r="I2402" s="6"/>
      <c r="J2402" s="6"/>
      <c r="K2402" s="7">
        <v>1</v>
      </c>
      <c r="L2402" s="7">
        <v>28.5</v>
      </c>
      <c r="M2402" t="s">
        <v>19</v>
      </c>
      <c r="N2402" s="16">
        <f>POWER(SQRT(WorkOrders2710[[#This Row],[WorkDate]]-WorkOrders2710[[#This Row],[ReqDate]]),2)</f>
        <v>77.000000000000014</v>
      </c>
      <c r="O2402" s="8">
        <f t="array" ref="O2402">INDEX(TechRate,MATCH(H2402,TechNum,0))</f>
        <v>140</v>
      </c>
      <c r="P2402" s="10">
        <f>WorkOrders2710[[#This Row],[Techs]]*(WorkOrders2710[[#This Row],[PartsCost]]*WorkOrders2710[[#This Row],[LbrHrs]])</f>
        <v>57</v>
      </c>
      <c r="Q2402" s="10">
        <f t="shared" si="221"/>
        <v>57</v>
      </c>
      <c r="R2402" s="10">
        <f t="shared" si="222"/>
        <v>28.5</v>
      </c>
      <c r="S2402" s="10">
        <f t="shared" si="223"/>
        <v>85.5</v>
      </c>
      <c r="T2402" s="10">
        <f t="shared" si="224"/>
        <v>85.5</v>
      </c>
      <c r="U2402" s="8" t="str">
        <f t="shared" si="225"/>
        <v>Tue</v>
      </c>
      <c r="V2402" s="8" t="str">
        <f t="shared" si="226"/>
        <v>Tue</v>
      </c>
    </row>
    <row r="2403" spans="1:22" hidden="1" x14ac:dyDescent="0.25">
      <c r="A2403" t="s">
        <v>441</v>
      </c>
      <c r="B2403" t="s">
        <v>40</v>
      </c>
      <c r="C2403" t="s">
        <v>7</v>
      </c>
      <c r="D2403" t="s">
        <v>1</v>
      </c>
      <c r="F2403" s="5">
        <v>44265</v>
      </c>
      <c r="G2403" s="5">
        <v>44267</v>
      </c>
      <c r="H2403" s="2">
        <v>2</v>
      </c>
      <c r="I2403" s="6"/>
      <c r="J2403" s="6"/>
      <c r="K2403" s="7">
        <v>1.5</v>
      </c>
      <c r="L2403" s="7">
        <v>50</v>
      </c>
      <c r="M2403" t="s">
        <v>17</v>
      </c>
      <c r="N2403" s="16">
        <f>POWER(SQRT(WorkOrders2710[[#This Row],[WorkDate]]-WorkOrders2710[[#This Row],[ReqDate]]),2)</f>
        <v>2.0000000000000004</v>
      </c>
      <c r="O2403" s="8">
        <f t="array" ref="O2403">INDEX(TechRate,MATCH(H2403,TechNum,0))</f>
        <v>140</v>
      </c>
      <c r="P2403" s="10">
        <f>WorkOrders2710[[#This Row],[Techs]]*(WorkOrders2710[[#This Row],[PartsCost]]*WorkOrders2710[[#This Row],[LbrHrs]])</f>
        <v>150</v>
      </c>
      <c r="Q2403" s="10">
        <f t="shared" si="221"/>
        <v>150</v>
      </c>
      <c r="R2403" s="10">
        <f t="shared" si="222"/>
        <v>50</v>
      </c>
      <c r="S2403" s="10">
        <f t="shared" si="223"/>
        <v>200</v>
      </c>
      <c r="T2403" s="10">
        <f t="shared" si="224"/>
        <v>200</v>
      </c>
      <c r="U2403" s="8" t="str">
        <f t="shared" si="225"/>
        <v>Wed</v>
      </c>
      <c r="V2403" s="8" t="str">
        <f t="shared" si="226"/>
        <v>Fri</v>
      </c>
    </row>
    <row r="2404" spans="1:22" hidden="1" x14ac:dyDescent="0.25">
      <c r="A2404" t="s">
        <v>442</v>
      </c>
      <c r="B2404" t="s">
        <v>39</v>
      </c>
      <c r="C2404" t="s">
        <v>8</v>
      </c>
      <c r="D2404" t="s">
        <v>12</v>
      </c>
      <c r="F2404" s="5">
        <v>44265</v>
      </c>
      <c r="G2404" s="5">
        <v>44265</v>
      </c>
      <c r="H2404" s="2">
        <v>1</v>
      </c>
      <c r="I2404" s="6"/>
      <c r="J2404" s="6"/>
      <c r="K2404" s="7">
        <v>0.5</v>
      </c>
      <c r="L2404" s="7">
        <v>10</v>
      </c>
      <c r="M2404" t="s">
        <v>17</v>
      </c>
      <c r="N2404" s="16">
        <f>POWER(SQRT(WorkOrders2710[[#This Row],[WorkDate]]-WorkOrders2710[[#This Row],[ReqDate]]),2)</f>
        <v>0</v>
      </c>
      <c r="O2404" s="8">
        <f t="array" ref="O2404">INDEX(TechRate,MATCH(H2404,TechNum,0))</f>
        <v>80</v>
      </c>
      <c r="P2404" s="10">
        <f>WorkOrders2710[[#This Row],[Techs]]*(WorkOrders2710[[#This Row],[PartsCost]]*WorkOrders2710[[#This Row],[LbrHrs]])</f>
        <v>5</v>
      </c>
      <c r="Q2404" s="10">
        <f t="shared" si="221"/>
        <v>5</v>
      </c>
      <c r="R2404" s="10">
        <f t="shared" si="222"/>
        <v>10</v>
      </c>
      <c r="S2404" s="10">
        <f t="shared" si="223"/>
        <v>15</v>
      </c>
      <c r="T2404" s="10">
        <f t="shared" si="224"/>
        <v>15</v>
      </c>
      <c r="U2404" s="8" t="str">
        <f t="shared" si="225"/>
        <v>Wed</v>
      </c>
      <c r="V2404" s="8" t="str">
        <f t="shared" si="226"/>
        <v>Wed</v>
      </c>
    </row>
    <row r="2405" spans="1:22" hidden="1" x14ac:dyDescent="0.25">
      <c r="A2405" t="s">
        <v>443</v>
      </c>
      <c r="B2405" t="s">
        <v>36</v>
      </c>
      <c r="C2405" t="s">
        <v>7</v>
      </c>
      <c r="D2405" t="s">
        <v>1</v>
      </c>
      <c r="E2405" t="s">
        <v>3</v>
      </c>
      <c r="F2405" s="5">
        <v>44265</v>
      </c>
      <c r="G2405" s="5">
        <v>44272</v>
      </c>
      <c r="H2405" s="2">
        <v>2</v>
      </c>
      <c r="I2405" s="6"/>
      <c r="J2405" s="6"/>
      <c r="K2405" s="7">
        <v>1.5</v>
      </c>
      <c r="L2405" s="7">
        <v>29.33</v>
      </c>
      <c r="M2405" t="s">
        <v>17</v>
      </c>
      <c r="N2405" s="16">
        <f>POWER(SQRT(WorkOrders2710[[#This Row],[WorkDate]]-WorkOrders2710[[#This Row],[ReqDate]]),2)</f>
        <v>7.0000000000000009</v>
      </c>
      <c r="O2405" s="8">
        <f t="array" ref="O2405">INDEX(TechRate,MATCH(H2405,TechNum,0))</f>
        <v>140</v>
      </c>
      <c r="P2405" s="10">
        <f>WorkOrders2710[[#This Row],[Techs]]*(WorkOrders2710[[#This Row],[PartsCost]]*WorkOrders2710[[#This Row],[LbrHrs]])</f>
        <v>87.99</v>
      </c>
      <c r="Q2405" s="10">
        <f t="shared" si="221"/>
        <v>87.99</v>
      </c>
      <c r="R2405" s="10">
        <f t="shared" si="222"/>
        <v>29.33</v>
      </c>
      <c r="S2405" s="10">
        <f t="shared" si="223"/>
        <v>117.32</v>
      </c>
      <c r="T2405" s="10">
        <f t="shared" si="224"/>
        <v>117.32</v>
      </c>
      <c r="U2405" s="8" t="str">
        <f t="shared" si="225"/>
        <v>Wed</v>
      </c>
      <c r="V2405" s="8" t="str">
        <f t="shared" si="226"/>
        <v>Wed</v>
      </c>
    </row>
    <row r="2406" spans="1:22" hidden="1" x14ac:dyDescent="0.25">
      <c r="A2406" t="s">
        <v>444</v>
      </c>
      <c r="B2406" t="s">
        <v>37</v>
      </c>
      <c r="C2406" t="s">
        <v>9</v>
      </c>
      <c r="D2406" t="s">
        <v>12</v>
      </c>
      <c r="E2406" t="s">
        <v>3</v>
      </c>
      <c r="F2406" s="5">
        <v>44265</v>
      </c>
      <c r="G2406" s="5">
        <v>44272</v>
      </c>
      <c r="H2406" s="2">
        <v>1</v>
      </c>
      <c r="I2406" s="6"/>
      <c r="J2406" s="6" t="s">
        <v>3</v>
      </c>
      <c r="K2406" s="7">
        <v>0.25</v>
      </c>
      <c r="L2406" s="7">
        <v>19.196999999999999</v>
      </c>
      <c r="M2406" t="s">
        <v>18</v>
      </c>
      <c r="N2406" s="16">
        <f>POWER(SQRT(WorkOrders2710[[#This Row],[WorkDate]]-WorkOrders2710[[#This Row],[ReqDate]]),2)</f>
        <v>7.0000000000000009</v>
      </c>
      <c r="O2406" s="8">
        <f t="array" ref="O2406">INDEX(TechRate,MATCH(H2406,TechNum,0))</f>
        <v>80</v>
      </c>
      <c r="P2406" s="10">
        <f>WorkOrders2710[[#This Row],[Techs]]*(WorkOrders2710[[#This Row],[PartsCost]]*WorkOrders2710[[#This Row],[LbrHrs]])</f>
        <v>4.7992499999999998</v>
      </c>
      <c r="Q2406" s="10">
        <f t="shared" si="221"/>
        <v>4.7992499999999998</v>
      </c>
      <c r="R2406" s="10">
        <f t="shared" si="222"/>
        <v>0</v>
      </c>
      <c r="S2406" s="10">
        <f t="shared" si="223"/>
        <v>23.99625</v>
      </c>
      <c r="T2406" s="10">
        <f t="shared" si="224"/>
        <v>4.7992499999999998</v>
      </c>
      <c r="U2406" s="8" t="str">
        <f t="shared" si="225"/>
        <v>Wed</v>
      </c>
      <c r="V2406" s="8" t="str">
        <f t="shared" si="226"/>
        <v>Wed</v>
      </c>
    </row>
    <row r="2407" spans="1:22" hidden="1" x14ac:dyDescent="0.25">
      <c r="A2407" t="s">
        <v>445</v>
      </c>
      <c r="B2407" t="s">
        <v>38</v>
      </c>
      <c r="C2407" t="s">
        <v>8</v>
      </c>
      <c r="D2407" t="s">
        <v>13</v>
      </c>
      <c r="F2407" s="5">
        <v>44265</v>
      </c>
      <c r="G2407" s="5">
        <v>44272</v>
      </c>
      <c r="H2407" s="2">
        <v>2</v>
      </c>
      <c r="I2407" s="6"/>
      <c r="J2407" s="6"/>
      <c r="K2407" s="7">
        <v>0.5</v>
      </c>
      <c r="L2407" s="7">
        <v>24.186499999999999</v>
      </c>
      <c r="M2407" t="s">
        <v>18</v>
      </c>
      <c r="N2407" s="16">
        <f>POWER(SQRT(WorkOrders2710[[#This Row],[WorkDate]]-WorkOrders2710[[#This Row],[ReqDate]]),2)</f>
        <v>7.0000000000000009</v>
      </c>
      <c r="O2407" s="8">
        <f t="array" ref="O2407">INDEX(TechRate,MATCH(H2407,TechNum,0))</f>
        <v>140</v>
      </c>
      <c r="P2407" s="10">
        <f>WorkOrders2710[[#This Row],[Techs]]*(WorkOrders2710[[#This Row],[PartsCost]]*WorkOrders2710[[#This Row],[LbrHrs]])</f>
        <v>24.186499999999999</v>
      </c>
      <c r="Q2407" s="10">
        <f t="shared" si="221"/>
        <v>24.186499999999999</v>
      </c>
      <c r="R2407" s="10">
        <f t="shared" si="222"/>
        <v>24.186499999999999</v>
      </c>
      <c r="S2407" s="10">
        <f t="shared" si="223"/>
        <v>48.372999999999998</v>
      </c>
      <c r="T2407" s="10">
        <f t="shared" si="224"/>
        <v>48.372999999999998</v>
      </c>
      <c r="U2407" s="8" t="str">
        <f t="shared" si="225"/>
        <v>Wed</v>
      </c>
      <c r="V2407" s="8" t="str">
        <f t="shared" si="226"/>
        <v>Wed</v>
      </c>
    </row>
    <row r="2408" spans="1:22" hidden="1" x14ac:dyDescent="0.25">
      <c r="A2408" t="s">
        <v>446</v>
      </c>
      <c r="B2408" t="s">
        <v>40</v>
      </c>
      <c r="C2408" t="s">
        <v>7</v>
      </c>
      <c r="D2408" t="s">
        <v>12</v>
      </c>
      <c r="F2408" s="5">
        <v>44265</v>
      </c>
      <c r="G2408" s="5">
        <v>44273</v>
      </c>
      <c r="H2408" s="2">
        <v>2</v>
      </c>
      <c r="I2408" s="6"/>
      <c r="J2408" s="6"/>
      <c r="K2408" s="7">
        <v>0.5</v>
      </c>
      <c r="L2408" s="7">
        <v>159</v>
      </c>
      <c r="M2408" t="s">
        <v>17</v>
      </c>
      <c r="N2408" s="16">
        <f>POWER(SQRT(WorkOrders2710[[#This Row],[WorkDate]]-WorkOrders2710[[#This Row],[ReqDate]]),2)</f>
        <v>8.0000000000000018</v>
      </c>
      <c r="O2408" s="8">
        <f t="array" ref="O2408">INDEX(TechRate,MATCH(H2408,TechNum,0))</f>
        <v>140</v>
      </c>
      <c r="P2408" s="10">
        <f>WorkOrders2710[[#This Row],[Techs]]*(WorkOrders2710[[#This Row],[PartsCost]]*WorkOrders2710[[#This Row],[LbrHrs]])</f>
        <v>159</v>
      </c>
      <c r="Q2408" s="10">
        <f t="shared" si="221"/>
        <v>159</v>
      </c>
      <c r="R2408" s="10">
        <f t="shared" si="222"/>
        <v>159</v>
      </c>
      <c r="S2408" s="10">
        <f t="shared" si="223"/>
        <v>318</v>
      </c>
      <c r="T2408" s="10">
        <f t="shared" si="224"/>
        <v>318</v>
      </c>
      <c r="U2408" s="8" t="str">
        <f t="shared" si="225"/>
        <v>Wed</v>
      </c>
      <c r="V2408" s="8" t="str">
        <f t="shared" si="226"/>
        <v>Thu</v>
      </c>
    </row>
    <row r="2409" spans="1:22" hidden="1" x14ac:dyDescent="0.25">
      <c r="A2409" t="s">
        <v>447</v>
      </c>
      <c r="B2409" t="s">
        <v>39</v>
      </c>
      <c r="C2409" t="s">
        <v>9</v>
      </c>
      <c r="D2409" t="s">
        <v>12</v>
      </c>
      <c r="F2409" s="5">
        <v>44265</v>
      </c>
      <c r="G2409" s="5">
        <v>44279</v>
      </c>
      <c r="H2409" s="2">
        <v>2</v>
      </c>
      <c r="I2409" s="6"/>
      <c r="J2409" s="6" t="s">
        <v>3</v>
      </c>
      <c r="K2409" s="7">
        <v>0.5</v>
      </c>
      <c r="L2409" s="7">
        <v>411.09530000000001</v>
      </c>
      <c r="M2409" t="s">
        <v>18</v>
      </c>
      <c r="N2409" s="16">
        <f>POWER(SQRT(WorkOrders2710[[#This Row],[WorkDate]]-WorkOrders2710[[#This Row],[ReqDate]]),2)</f>
        <v>14</v>
      </c>
      <c r="O2409" s="8">
        <f t="array" ref="O2409">INDEX(TechRate,MATCH(H2409,TechNum,0))</f>
        <v>140</v>
      </c>
      <c r="P2409" s="10">
        <f>WorkOrders2710[[#This Row],[Techs]]*(WorkOrders2710[[#This Row],[PartsCost]]*WorkOrders2710[[#This Row],[LbrHrs]])</f>
        <v>411.09530000000001</v>
      </c>
      <c r="Q2409" s="10">
        <f t="shared" si="221"/>
        <v>411.09530000000001</v>
      </c>
      <c r="R2409" s="10">
        <f t="shared" si="222"/>
        <v>0</v>
      </c>
      <c r="S2409" s="10">
        <f t="shared" si="223"/>
        <v>822.19060000000002</v>
      </c>
      <c r="T2409" s="10">
        <f t="shared" si="224"/>
        <v>411.09530000000001</v>
      </c>
      <c r="U2409" s="8" t="str">
        <f t="shared" si="225"/>
        <v>Wed</v>
      </c>
      <c r="V2409" s="8" t="str">
        <f t="shared" si="226"/>
        <v>Wed</v>
      </c>
    </row>
    <row r="2410" spans="1:22" hidden="1" x14ac:dyDescent="0.25">
      <c r="A2410" t="s">
        <v>448</v>
      </c>
      <c r="B2410" t="s">
        <v>36</v>
      </c>
      <c r="C2410" t="s">
        <v>7</v>
      </c>
      <c r="D2410" t="s">
        <v>12</v>
      </c>
      <c r="F2410" s="5">
        <v>44265</v>
      </c>
      <c r="G2410" s="5">
        <v>44294</v>
      </c>
      <c r="H2410" s="2">
        <v>1</v>
      </c>
      <c r="I2410" s="6"/>
      <c r="J2410" s="6"/>
      <c r="K2410" s="7">
        <v>0.75</v>
      </c>
      <c r="L2410" s="7">
        <v>58.361699999999999</v>
      </c>
      <c r="M2410" t="s">
        <v>17</v>
      </c>
      <c r="N2410" s="16">
        <f>POWER(SQRT(WorkOrders2710[[#This Row],[WorkDate]]-WorkOrders2710[[#This Row],[ReqDate]]),2)</f>
        <v>28.999999999999996</v>
      </c>
      <c r="O2410" s="8">
        <f t="array" ref="O2410">INDEX(TechRate,MATCH(H2410,TechNum,0))</f>
        <v>80</v>
      </c>
      <c r="P2410" s="10">
        <f>WorkOrders2710[[#This Row],[Techs]]*(WorkOrders2710[[#This Row],[PartsCost]]*WorkOrders2710[[#This Row],[LbrHrs]])</f>
        <v>43.771275000000003</v>
      </c>
      <c r="Q2410" s="10">
        <f t="shared" si="221"/>
        <v>43.771275000000003</v>
      </c>
      <c r="R2410" s="10">
        <f t="shared" si="222"/>
        <v>58.361699999999999</v>
      </c>
      <c r="S2410" s="10">
        <f t="shared" si="223"/>
        <v>102.132975</v>
      </c>
      <c r="T2410" s="10">
        <f t="shared" si="224"/>
        <v>102.132975</v>
      </c>
      <c r="U2410" s="8" t="str">
        <f t="shared" si="225"/>
        <v>Wed</v>
      </c>
      <c r="V2410" s="8" t="str">
        <f t="shared" si="226"/>
        <v>Thu</v>
      </c>
    </row>
    <row r="2411" spans="1:22" hidden="1" x14ac:dyDescent="0.25">
      <c r="A2411" t="s">
        <v>449</v>
      </c>
      <c r="B2411" t="s">
        <v>39</v>
      </c>
      <c r="C2411" t="s">
        <v>9</v>
      </c>
      <c r="D2411" t="s">
        <v>2</v>
      </c>
      <c r="F2411" s="5">
        <v>44265</v>
      </c>
      <c r="G2411" s="5">
        <v>44306</v>
      </c>
      <c r="H2411" s="2">
        <v>1</v>
      </c>
      <c r="I2411" s="6"/>
      <c r="J2411" s="6" t="s">
        <v>3</v>
      </c>
      <c r="K2411" s="7">
        <v>1.75</v>
      </c>
      <c r="L2411" s="7">
        <v>98.547600000000003</v>
      </c>
      <c r="M2411" t="s">
        <v>18</v>
      </c>
      <c r="N2411" s="16">
        <f>POWER(SQRT(WorkOrders2710[[#This Row],[WorkDate]]-WorkOrders2710[[#This Row],[ReqDate]]),2)</f>
        <v>41</v>
      </c>
      <c r="O2411" s="8">
        <f t="array" ref="O2411">INDEX(TechRate,MATCH(H2411,TechNum,0))</f>
        <v>80</v>
      </c>
      <c r="P2411" s="10">
        <f>WorkOrders2710[[#This Row],[Techs]]*(WorkOrders2710[[#This Row],[PartsCost]]*WorkOrders2710[[#This Row],[LbrHrs]])</f>
        <v>172.45830000000001</v>
      </c>
      <c r="Q2411" s="10">
        <f t="shared" si="221"/>
        <v>172.45830000000001</v>
      </c>
      <c r="R2411" s="10">
        <f t="shared" si="222"/>
        <v>0</v>
      </c>
      <c r="S2411" s="10">
        <f t="shared" si="223"/>
        <v>271.0059</v>
      </c>
      <c r="T2411" s="10">
        <f t="shared" si="224"/>
        <v>172.45830000000001</v>
      </c>
      <c r="U2411" s="8" t="str">
        <f t="shared" si="225"/>
        <v>Wed</v>
      </c>
      <c r="V2411" s="8" t="str">
        <f t="shared" si="226"/>
        <v>Tue</v>
      </c>
    </row>
    <row r="2412" spans="1:22" hidden="1" x14ac:dyDescent="0.25">
      <c r="A2412" t="s">
        <v>450</v>
      </c>
      <c r="B2412" t="s">
        <v>40</v>
      </c>
      <c r="C2412" t="s">
        <v>7</v>
      </c>
      <c r="D2412" t="s">
        <v>2</v>
      </c>
      <c r="F2412" s="5">
        <v>44265</v>
      </c>
      <c r="G2412" s="5">
        <v>44307</v>
      </c>
      <c r="H2412" s="2">
        <v>2</v>
      </c>
      <c r="I2412" s="6" t="s">
        <v>3</v>
      </c>
      <c r="J2412" s="6" t="s">
        <v>3</v>
      </c>
      <c r="K2412" s="7">
        <v>2</v>
      </c>
      <c r="L2412" s="7">
        <v>145.14920000000001</v>
      </c>
      <c r="M2412" t="s">
        <v>20</v>
      </c>
      <c r="N2412" s="16">
        <f>POWER(SQRT(WorkOrders2710[[#This Row],[WorkDate]]-WorkOrders2710[[#This Row],[ReqDate]]),2)</f>
        <v>42</v>
      </c>
      <c r="O2412" s="8">
        <f t="array" ref="O2412">INDEX(TechRate,MATCH(H2412,TechNum,0))</f>
        <v>140</v>
      </c>
      <c r="P2412" s="10">
        <f>WorkOrders2710[[#This Row],[Techs]]*(WorkOrders2710[[#This Row],[PartsCost]]*WorkOrders2710[[#This Row],[LbrHrs]])</f>
        <v>580.59680000000003</v>
      </c>
      <c r="Q2412" s="10">
        <f t="shared" si="221"/>
        <v>0</v>
      </c>
      <c r="R2412" s="10">
        <f t="shared" si="222"/>
        <v>0</v>
      </c>
      <c r="S2412" s="10">
        <f t="shared" si="223"/>
        <v>725.74600000000009</v>
      </c>
      <c r="T2412" s="10">
        <f t="shared" si="224"/>
        <v>0</v>
      </c>
      <c r="U2412" s="8" t="str">
        <f t="shared" si="225"/>
        <v>Wed</v>
      </c>
      <c r="V2412" s="8" t="str">
        <f t="shared" si="226"/>
        <v>Wed</v>
      </c>
    </row>
    <row r="2413" spans="1:22" hidden="1" x14ac:dyDescent="0.25">
      <c r="A2413" t="s">
        <v>451</v>
      </c>
      <c r="B2413" t="s">
        <v>39</v>
      </c>
      <c r="C2413" t="s">
        <v>9</v>
      </c>
      <c r="D2413" t="s">
        <v>13</v>
      </c>
      <c r="F2413" s="5">
        <v>44266</v>
      </c>
      <c r="G2413" s="5">
        <v>44266</v>
      </c>
      <c r="H2413" s="2">
        <v>2</v>
      </c>
      <c r="I2413" s="6"/>
      <c r="J2413" s="6"/>
      <c r="K2413" s="7">
        <v>0.75</v>
      </c>
      <c r="L2413" s="7">
        <v>125.7273</v>
      </c>
      <c r="M2413" t="s">
        <v>17</v>
      </c>
      <c r="N2413" s="16">
        <f>POWER(SQRT(WorkOrders2710[[#This Row],[WorkDate]]-WorkOrders2710[[#This Row],[ReqDate]]),2)</f>
        <v>0</v>
      </c>
      <c r="O2413" s="8">
        <f t="array" ref="O2413">INDEX(TechRate,MATCH(H2413,TechNum,0))</f>
        <v>140</v>
      </c>
      <c r="P2413" s="10">
        <f>WorkOrders2710[[#This Row],[Techs]]*(WorkOrders2710[[#This Row],[PartsCost]]*WorkOrders2710[[#This Row],[LbrHrs]])</f>
        <v>188.59094999999999</v>
      </c>
      <c r="Q2413" s="10">
        <f t="shared" si="221"/>
        <v>188.59094999999999</v>
      </c>
      <c r="R2413" s="10">
        <f t="shared" si="222"/>
        <v>125.7273</v>
      </c>
      <c r="S2413" s="10">
        <f t="shared" si="223"/>
        <v>314.31824999999998</v>
      </c>
      <c r="T2413" s="10">
        <f t="shared" si="224"/>
        <v>314.31824999999998</v>
      </c>
      <c r="U2413" s="8" t="str">
        <f t="shared" si="225"/>
        <v>Thu</v>
      </c>
      <c r="V2413" s="8" t="str">
        <f t="shared" si="226"/>
        <v>Thu</v>
      </c>
    </row>
    <row r="2414" spans="1:22" hidden="1" x14ac:dyDescent="0.25">
      <c r="A2414" t="s">
        <v>452</v>
      </c>
      <c r="B2414" t="s">
        <v>35</v>
      </c>
      <c r="C2414" t="s">
        <v>8</v>
      </c>
      <c r="D2414" t="s">
        <v>12</v>
      </c>
      <c r="E2414" t="s">
        <v>3</v>
      </c>
      <c r="F2414" s="5">
        <v>44266</v>
      </c>
      <c r="G2414" s="5">
        <v>44348</v>
      </c>
      <c r="H2414" s="2">
        <v>1</v>
      </c>
      <c r="I2414" s="6"/>
      <c r="J2414" s="6"/>
      <c r="K2414" s="7">
        <v>0.25</v>
      </c>
      <c r="L2414" s="7">
        <v>204.28399999999999</v>
      </c>
      <c r="M2414" t="s">
        <v>18</v>
      </c>
      <c r="N2414" s="16">
        <f>POWER(SQRT(WorkOrders2710[[#This Row],[WorkDate]]-WorkOrders2710[[#This Row],[ReqDate]]),2)</f>
        <v>82.000000000000014</v>
      </c>
      <c r="O2414" s="8">
        <f t="array" ref="O2414">INDEX(TechRate,MATCH(H2414,TechNum,0))</f>
        <v>80</v>
      </c>
      <c r="P2414" s="10">
        <f>WorkOrders2710[[#This Row],[Techs]]*(WorkOrders2710[[#This Row],[PartsCost]]*WorkOrders2710[[#This Row],[LbrHrs]])</f>
        <v>51.070999999999998</v>
      </c>
      <c r="Q2414" s="10">
        <f t="shared" si="221"/>
        <v>51.070999999999998</v>
      </c>
      <c r="R2414" s="10">
        <f t="shared" si="222"/>
        <v>204.28399999999999</v>
      </c>
      <c r="S2414" s="10">
        <f t="shared" si="223"/>
        <v>255.35499999999999</v>
      </c>
      <c r="T2414" s="10">
        <f t="shared" si="224"/>
        <v>255.35499999999999</v>
      </c>
      <c r="U2414" s="8" t="str">
        <f t="shared" si="225"/>
        <v>Thu</v>
      </c>
      <c r="V2414" s="8" t="str">
        <f t="shared" si="226"/>
        <v>Tue</v>
      </c>
    </row>
    <row r="2415" spans="1:22" hidden="1" x14ac:dyDescent="0.25">
      <c r="A2415" t="s">
        <v>453</v>
      </c>
      <c r="B2415" t="s">
        <v>34</v>
      </c>
      <c r="C2415" t="s">
        <v>44</v>
      </c>
      <c r="D2415" t="s">
        <v>11</v>
      </c>
      <c r="F2415" s="5">
        <v>44266</v>
      </c>
      <c r="G2415" s="5">
        <v>44394</v>
      </c>
      <c r="H2415" s="2">
        <v>1</v>
      </c>
      <c r="I2415" s="6"/>
      <c r="J2415" s="6"/>
      <c r="K2415" s="7">
        <v>0.25</v>
      </c>
      <c r="L2415" s="7">
        <v>120</v>
      </c>
      <c r="M2415" t="s">
        <v>17</v>
      </c>
      <c r="N2415" s="16">
        <f>POWER(SQRT(WorkOrders2710[[#This Row],[WorkDate]]-WorkOrders2710[[#This Row],[ReqDate]]),2)</f>
        <v>128.00000000000003</v>
      </c>
      <c r="O2415" s="8">
        <f t="array" ref="O2415">INDEX(TechRate,MATCH(H2415,TechNum,0))</f>
        <v>80</v>
      </c>
      <c r="P2415" s="10">
        <f>WorkOrders2710[[#This Row],[Techs]]*(WorkOrders2710[[#This Row],[PartsCost]]*WorkOrders2710[[#This Row],[LbrHrs]])</f>
        <v>30</v>
      </c>
      <c r="Q2415" s="10">
        <f t="shared" si="221"/>
        <v>30</v>
      </c>
      <c r="R2415" s="10">
        <f t="shared" si="222"/>
        <v>120</v>
      </c>
      <c r="S2415" s="10">
        <f t="shared" si="223"/>
        <v>150</v>
      </c>
      <c r="T2415" s="10">
        <f t="shared" si="224"/>
        <v>150</v>
      </c>
      <c r="U2415" s="8" t="str">
        <f t="shared" si="225"/>
        <v>Thu</v>
      </c>
      <c r="V2415" s="8" t="str">
        <f t="shared" si="226"/>
        <v>Sat</v>
      </c>
    </row>
    <row r="2416" spans="1:22" hidden="1" x14ac:dyDescent="0.25">
      <c r="A2416" t="s">
        <v>454</v>
      </c>
      <c r="B2416" t="s">
        <v>36</v>
      </c>
      <c r="C2416" t="s">
        <v>7</v>
      </c>
      <c r="D2416" t="s">
        <v>12</v>
      </c>
      <c r="F2416" s="5">
        <v>44270</v>
      </c>
      <c r="G2416" s="5">
        <v>44282</v>
      </c>
      <c r="H2416" s="2">
        <v>2</v>
      </c>
      <c r="I2416" s="6"/>
      <c r="J2416" s="6"/>
      <c r="K2416" s="7">
        <v>1</v>
      </c>
      <c r="L2416" s="7">
        <v>203</v>
      </c>
      <c r="M2416" t="s">
        <v>17</v>
      </c>
      <c r="N2416" s="16">
        <f>POWER(SQRT(WorkOrders2710[[#This Row],[WorkDate]]-WorkOrders2710[[#This Row],[ReqDate]]),2)</f>
        <v>11.999999999999998</v>
      </c>
      <c r="O2416" s="8">
        <f t="array" ref="O2416">INDEX(TechRate,MATCH(H2416,TechNum,0))</f>
        <v>140</v>
      </c>
      <c r="P2416" s="10">
        <f>WorkOrders2710[[#This Row],[Techs]]*(WorkOrders2710[[#This Row],[PartsCost]]*WorkOrders2710[[#This Row],[LbrHrs]])</f>
        <v>406</v>
      </c>
      <c r="Q2416" s="10">
        <f t="shared" si="221"/>
        <v>406</v>
      </c>
      <c r="R2416" s="10">
        <f t="shared" si="222"/>
        <v>203</v>
      </c>
      <c r="S2416" s="10">
        <f t="shared" si="223"/>
        <v>609</v>
      </c>
      <c r="T2416" s="10">
        <f t="shared" si="224"/>
        <v>609</v>
      </c>
      <c r="U2416" s="8" t="str">
        <f t="shared" si="225"/>
        <v>Mon</v>
      </c>
      <c r="V2416" s="8" t="str">
        <f t="shared" si="226"/>
        <v>Sat</v>
      </c>
    </row>
    <row r="2417" spans="1:22" hidden="1" x14ac:dyDescent="0.25">
      <c r="A2417" t="s">
        <v>455</v>
      </c>
      <c r="B2417" t="s">
        <v>40</v>
      </c>
      <c r="C2417" t="s">
        <v>7</v>
      </c>
      <c r="D2417" t="s">
        <v>12</v>
      </c>
      <c r="F2417" s="5">
        <v>44270</v>
      </c>
      <c r="G2417" s="5">
        <v>44278</v>
      </c>
      <c r="H2417" s="2">
        <v>2</v>
      </c>
      <c r="I2417" s="6" t="s">
        <v>3</v>
      </c>
      <c r="J2417" s="6" t="s">
        <v>3</v>
      </c>
      <c r="K2417" s="7">
        <v>0.75</v>
      </c>
      <c r="L2417" s="7">
        <v>222.33</v>
      </c>
      <c r="M2417" t="s">
        <v>20</v>
      </c>
      <c r="N2417" s="16">
        <f>POWER(SQRT(WorkOrders2710[[#This Row],[WorkDate]]-WorkOrders2710[[#This Row],[ReqDate]]),2)</f>
        <v>8.0000000000000018</v>
      </c>
      <c r="O2417" s="8">
        <f t="array" ref="O2417">INDEX(TechRate,MATCH(H2417,TechNum,0))</f>
        <v>140</v>
      </c>
      <c r="P2417" s="10">
        <f>WorkOrders2710[[#This Row],[Techs]]*(WorkOrders2710[[#This Row],[PartsCost]]*WorkOrders2710[[#This Row],[LbrHrs]])</f>
        <v>333.495</v>
      </c>
      <c r="Q2417" s="10">
        <f t="shared" si="221"/>
        <v>0</v>
      </c>
      <c r="R2417" s="10">
        <f t="shared" si="222"/>
        <v>0</v>
      </c>
      <c r="S2417" s="10">
        <f t="shared" si="223"/>
        <v>555.82500000000005</v>
      </c>
      <c r="T2417" s="10">
        <f t="shared" si="224"/>
        <v>0</v>
      </c>
      <c r="U2417" s="8" t="str">
        <f t="shared" si="225"/>
        <v>Mon</v>
      </c>
      <c r="V2417" s="8" t="str">
        <f t="shared" si="226"/>
        <v>Tue</v>
      </c>
    </row>
    <row r="2418" spans="1:22" hidden="1" x14ac:dyDescent="0.25">
      <c r="A2418" t="s">
        <v>456</v>
      </c>
      <c r="B2418" t="s">
        <v>35</v>
      </c>
      <c r="C2418" t="s">
        <v>44</v>
      </c>
      <c r="D2418" t="s">
        <v>1</v>
      </c>
      <c r="F2418" s="5">
        <v>44270</v>
      </c>
      <c r="G2418" s="5">
        <v>44279</v>
      </c>
      <c r="H2418" s="2">
        <v>2</v>
      </c>
      <c r="I2418" s="6"/>
      <c r="J2418" s="6"/>
      <c r="K2418" s="7">
        <v>4.75</v>
      </c>
      <c r="L2418" s="7">
        <v>56.4</v>
      </c>
      <c r="M2418" t="s">
        <v>17</v>
      </c>
      <c r="N2418" s="16">
        <f>POWER(SQRT(WorkOrders2710[[#This Row],[WorkDate]]-WorkOrders2710[[#This Row],[ReqDate]]),2)</f>
        <v>9</v>
      </c>
      <c r="O2418" s="8">
        <f t="array" ref="O2418">INDEX(TechRate,MATCH(H2418,TechNum,0))</f>
        <v>140</v>
      </c>
      <c r="P2418" s="10">
        <f>WorkOrders2710[[#This Row],[Techs]]*(WorkOrders2710[[#This Row],[PartsCost]]*WorkOrders2710[[#This Row],[LbrHrs]])</f>
        <v>535.79999999999995</v>
      </c>
      <c r="Q2418" s="10">
        <f t="shared" si="221"/>
        <v>535.79999999999995</v>
      </c>
      <c r="R2418" s="10">
        <f t="shared" si="222"/>
        <v>56.4</v>
      </c>
      <c r="S2418" s="10">
        <f t="shared" si="223"/>
        <v>592.19999999999993</v>
      </c>
      <c r="T2418" s="10">
        <f t="shared" si="224"/>
        <v>592.19999999999993</v>
      </c>
      <c r="U2418" s="8" t="str">
        <f t="shared" si="225"/>
        <v>Mon</v>
      </c>
      <c r="V2418" s="8" t="str">
        <f t="shared" si="226"/>
        <v>Wed</v>
      </c>
    </row>
    <row r="2419" spans="1:22" hidden="1" x14ac:dyDescent="0.25">
      <c r="A2419" t="s">
        <v>457</v>
      </c>
      <c r="B2419" t="s">
        <v>36</v>
      </c>
      <c r="C2419" t="s">
        <v>7</v>
      </c>
      <c r="D2419" t="s">
        <v>1</v>
      </c>
      <c r="F2419" s="5">
        <v>44270</v>
      </c>
      <c r="G2419" s="5">
        <v>44284</v>
      </c>
      <c r="H2419" s="2">
        <v>2</v>
      </c>
      <c r="I2419" s="6"/>
      <c r="J2419" s="6" t="s">
        <v>3</v>
      </c>
      <c r="K2419" s="7">
        <v>1</v>
      </c>
      <c r="L2419" s="7">
        <v>60</v>
      </c>
      <c r="M2419" t="s">
        <v>18</v>
      </c>
      <c r="N2419" s="16">
        <f>POWER(SQRT(WorkOrders2710[[#This Row],[WorkDate]]-WorkOrders2710[[#This Row],[ReqDate]]),2)</f>
        <v>14</v>
      </c>
      <c r="O2419" s="8">
        <f t="array" ref="O2419">INDEX(TechRate,MATCH(H2419,TechNum,0))</f>
        <v>140</v>
      </c>
      <c r="P2419" s="10">
        <f>WorkOrders2710[[#This Row],[Techs]]*(WorkOrders2710[[#This Row],[PartsCost]]*WorkOrders2710[[#This Row],[LbrHrs]])</f>
        <v>120</v>
      </c>
      <c r="Q2419" s="10">
        <f t="shared" si="221"/>
        <v>120</v>
      </c>
      <c r="R2419" s="10">
        <f t="shared" si="222"/>
        <v>0</v>
      </c>
      <c r="S2419" s="10">
        <f t="shared" si="223"/>
        <v>180</v>
      </c>
      <c r="T2419" s="10">
        <f t="shared" si="224"/>
        <v>120</v>
      </c>
      <c r="U2419" s="8" t="str">
        <f t="shared" si="225"/>
        <v>Mon</v>
      </c>
      <c r="V2419" s="8" t="str">
        <f t="shared" si="226"/>
        <v>Mon</v>
      </c>
    </row>
    <row r="2420" spans="1:22" hidden="1" x14ac:dyDescent="0.25">
      <c r="A2420" t="s">
        <v>458</v>
      </c>
      <c r="B2420" t="s">
        <v>36</v>
      </c>
      <c r="C2420" t="s">
        <v>7</v>
      </c>
      <c r="D2420" t="s">
        <v>12</v>
      </c>
      <c r="F2420" s="5">
        <v>44270</v>
      </c>
      <c r="G2420" s="5">
        <v>44286</v>
      </c>
      <c r="H2420" s="2">
        <v>1</v>
      </c>
      <c r="I2420" s="6"/>
      <c r="J2420" s="6"/>
      <c r="K2420" s="7">
        <v>0.75</v>
      </c>
      <c r="L2420" s="7">
        <v>21.33</v>
      </c>
      <c r="M2420" t="s">
        <v>17</v>
      </c>
      <c r="N2420" s="16">
        <f>POWER(SQRT(WorkOrders2710[[#This Row],[WorkDate]]-WorkOrders2710[[#This Row],[ReqDate]]),2)</f>
        <v>16</v>
      </c>
      <c r="O2420" s="8">
        <f t="array" ref="O2420">INDEX(TechRate,MATCH(H2420,TechNum,0))</f>
        <v>80</v>
      </c>
      <c r="P2420" s="10">
        <f>WorkOrders2710[[#This Row],[Techs]]*(WorkOrders2710[[#This Row],[PartsCost]]*WorkOrders2710[[#This Row],[LbrHrs]])</f>
        <v>15.997499999999999</v>
      </c>
      <c r="Q2420" s="10">
        <f t="shared" si="221"/>
        <v>15.997499999999999</v>
      </c>
      <c r="R2420" s="10">
        <f t="shared" si="222"/>
        <v>21.33</v>
      </c>
      <c r="S2420" s="10">
        <f t="shared" si="223"/>
        <v>37.327500000000001</v>
      </c>
      <c r="T2420" s="10">
        <f t="shared" si="224"/>
        <v>37.327500000000001</v>
      </c>
      <c r="U2420" s="8" t="str">
        <f t="shared" si="225"/>
        <v>Mon</v>
      </c>
      <c r="V2420" s="8" t="str">
        <f t="shared" si="226"/>
        <v>Wed</v>
      </c>
    </row>
    <row r="2421" spans="1:22" hidden="1" x14ac:dyDescent="0.25">
      <c r="A2421" t="s">
        <v>459</v>
      </c>
      <c r="B2421" t="s">
        <v>36</v>
      </c>
      <c r="C2421" t="s">
        <v>7</v>
      </c>
      <c r="D2421" t="s">
        <v>11</v>
      </c>
      <c r="F2421" s="5">
        <v>44270</v>
      </c>
      <c r="G2421" s="5">
        <v>44285</v>
      </c>
      <c r="H2421" s="2">
        <v>1</v>
      </c>
      <c r="I2421" s="6"/>
      <c r="J2421" s="6"/>
      <c r="K2421" s="7">
        <v>0.25</v>
      </c>
      <c r="L2421" s="7">
        <v>204.28399999999999</v>
      </c>
      <c r="M2421" t="s">
        <v>17</v>
      </c>
      <c r="N2421" s="16">
        <f>POWER(SQRT(WorkOrders2710[[#This Row],[WorkDate]]-WorkOrders2710[[#This Row],[ReqDate]]),2)</f>
        <v>15.000000000000002</v>
      </c>
      <c r="O2421" s="8">
        <f t="array" ref="O2421">INDEX(TechRate,MATCH(H2421,TechNum,0))</f>
        <v>80</v>
      </c>
      <c r="P2421" s="10">
        <f>WorkOrders2710[[#This Row],[Techs]]*(WorkOrders2710[[#This Row],[PartsCost]]*WorkOrders2710[[#This Row],[LbrHrs]])</f>
        <v>51.070999999999998</v>
      </c>
      <c r="Q2421" s="10">
        <f t="shared" si="221"/>
        <v>51.070999999999998</v>
      </c>
      <c r="R2421" s="10">
        <f t="shared" si="222"/>
        <v>204.28399999999999</v>
      </c>
      <c r="S2421" s="10">
        <f t="shared" si="223"/>
        <v>255.35499999999999</v>
      </c>
      <c r="T2421" s="10">
        <f t="shared" si="224"/>
        <v>255.35499999999999</v>
      </c>
      <c r="U2421" s="8" t="str">
        <f t="shared" si="225"/>
        <v>Mon</v>
      </c>
      <c r="V2421" s="8" t="str">
        <f t="shared" si="226"/>
        <v>Tue</v>
      </c>
    </row>
    <row r="2422" spans="1:22" hidden="1" x14ac:dyDescent="0.25">
      <c r="A2422" t="s">
        <v>460</v>
      </c>
      <c r="B2422" t="s">
        <v>34</v>
      </c>
      <c r="C2422" t="s">
        <v>9</v>
      </c>
      <c r="D2422" t="s">
        <v>2</v>
      </c>
      <c r="F2422" s="5">
        <v>44270</v>
      </c>
      <c r="G2422" s="5">
        <v>44293</v>
      </c>
      <c r="H2422" s="2">
        <v>1</v>
      </c>
      <c r="I2422" s="6"/>
      <c r="J2422" s="6" t="s">
        <v>3</v>
      </c>
      <c r="K2422" s="7">
        <v>1.5</v>
      </c>
      <c r="L2422" s="7">
        <v>95.042900000000003</v>
      </c>
      <c r="M2422" t="s">
        <v>18</v>
      </c>
      <c r="N2422" s="16">
        <f>POWER(SQRT(WorkOrders2710[[#This Row],[WorkDate]]-WorkOrders2710[[#This Row],[ReqDate]]),2)</f>
        <v>22.999999999999996</v>
      </c>
      <c r="O2422" s="8">
        <f t="array" ref="O2422">INDEX(TechRate,MATCH(H2422,TechNum,0))</f>
        <v>80</v>
      </c>
      <c r="P2422" s="10">
        <f>WorkOrders2710[[#This Row],[Techs]]*(WorkOrders2710[[#This Row],[PartsCost]]*WorkOrders2710[[#This Row],[LbrHrs]])</f>
        <v>142.56434999999999</v>
      </c>
      <c r="Q2422" s="10">
        <f t="shared" si="221"/>
        <v>142.56434999999999</v>
      </c>
      <c r="R2422" s="10">
        <f t="shared" si="222"/>
        <v>0</v>
      </c>
      <c r="S2422" s="10">
        <f t="shared" si="223"/>
        <v>237.60724999999999</v>
      </c>
      <c r="T2422" s="10">
        <f t="shared" si="224"/>
        <v>142.56434999999999</v>
      </c>
      <c r="U2422" s="8" t="str">
        <f t="shared" si="225"/>
        <v>Mon</v>
      </c>
      <c r="V2422" s="8" t="str">
        <f t="shared" si="226"/>
        <v>Wed</v>
      </c>
    </row>
    <row r="2423" spans="1:22" hidden="1" x14ac:dyDescent="0.25">
      <c r="A2423" t="s">
        <v>461</v>
      </c>
      <c r="B2423" t="s">
        <v>35</v>
      </c>
      <c r="C2423" t="s">
        <v>44</v>
      </c>
      <c r="D2423" t="s">
        <v>11</v>
      </c>
      <c r="E2423" t="s">
        <v>3</v>
      </c>
      <c r="F2423" s="5">
        <v>44270</v>
      </c>
      <c r="G2423" s="5">
        <v>44305</v>
      </c>
      <c r="H2423" s="2">
        <v>1</v>
      </c>
      <c r="I2423" s="6"/>
      <c r="J2423" s="6"/>
      <c r="K2423" s="7">
        <v>0.25</v>
      </c>
      <c r="L2423" s="7">
        <v>23.401</v>
      </c>
      <c r="M2423" t="s">
        <v>17</v>
      </c>
      <c r="N2423" s="16">
        <f>POWER(SQRT(WorkOrders2710[[#This Row],[WorkDate]]-WorkOrders2710[[#This Row],[ReqDate]]),2)</f>
        <v>35</v>
      </c>
      <c r="O2423" s="8">
        <f t="array" ref="O2423">INDEX(TechRate,MATCH(H2423,TechNum,0))</f>
        <v>80</v>
      </c>
      <c r="P2423" s="10">
        <f>WorkOrders2710[[#This Row],[Techs]]*(WorkOrders2710[[#This Row],[PartsCost]]*WorkOrders2710[[#This Row],[LbrHrs]])</f>
        <v>5.85025</v>
      </c>
      <c r="Q2423" s="10">
        <f t="shared" si="221"/>
        <v>5.85025</v>
      </c>
      <c r="R2423" s="10">
        <f t="shared" si="222"/>
        <v>23.401</v>
      </c>
      <c r="S2423" s="10">
        <f t="shared" si="223"/>
        <v>29.251249999999999</v>
      </c>
      <c r="T2423" s="10">
        <f t="shared" si="224"/>
        <v>29.251249999999999</v>
      </c>
      <c r="U2423" s="8" t="str">
        <f t="shared" si="225"/>
        <v>Mon</v>
      </c>
      <c r="V2423" s="8" t="str">
        <f t="shared" si="226"/>
        <v>Mon</v>
      </c>
    </row>
    <row r="2424" spans="1:22" hidden="1" x14ac:dyDescent="0.25">
      <c r="A2424" t="s">
        <v>462</v>
      </c>
      <c r="B2424" t="s">
        <v>34</v>
      </c>
      <c r="C2424" t="s">
        <v>7</v>
      </c>
      <c r="D2424" t="s">
        <v>2</v>
      </c>
      <c r="F2424" s="5">
        <v>44270</v>
      </c>
      <c r="G2424" s="5">
        <v>44324</v>
      </c>
      <c r="H2424" s="2">
        <v>2</v>
      </c>
      <c r="I2424" s="6" t="s">
        <v>3</v>
      </c>
      <c r="J2424" s="6" t="s">
        <v>3</v>
      </c>
      <c r="K2424" s="7">
        <v>2.25</v>
      </c>
      <c r="L2424" s="7">
        <v>934.45389999999998</v>
      </c>
      <c r="M2424" t="s">
        <v>20</v>
      </c>
      <c r="N2424" s="16">
        <f>POWER(SQRT(WorkOrders2710[[#This Row],[WorkDate]]-WorkOrders2710[[#This Row],[ReqDate]]),2)</f>
        <v>54</v>
      </c>
      <c r="O2424" s="8">
        <f t="array" ref="O2424">INDEX(TechRate,MATCH(H2424,TechNum,0))</f>
        <v>140</v>
      </c>
      <c r="P2424" s="10">
        <f>WorkOrders2710[[#This Row],[Techs]]*(WorkOrders2710[[#This Row],[PartsCost]]*WorkOrders2710[[#This Row],[LbrHrs]])</f>
        <v>4205.0425500000001</v>
      </c>
      <c r="Q2424" s="10">
        <f t="shared" si="221"/>
        <v>0</v>
      </c>
      <c r="R2424" s="10">
        <f t="shared" si="222"/>
        <v>0</v>
      </c>
      <c r="S2424" s="10">
        <f t="shared" si="223"/>
        <v>5139.4964500000006</v>
      </c>
      <c r="T2424" s="10">
        <f t="shared" si="224"/>
        <v>0</v>
      </c>
      <c r="U2424" s="8" t="str">
        <f t="shared" si="225"/>
        <v>Mon</v>
      </c>
      <c r="V2424" s="8" t="str">
        <f t="shared" si="226"/>
        <v>Sat</v>
      </c>
    </row>
    <row r="2425" spans="1:22" hidden="1" x14ac:dyDescent="0.25">
      <c r="A2425" t="s">
        <v>463</v>
      </c>
      <c r="B2425" t="s">
        <v>38</v>
      </c>
      <c r="C2425" t="s">
        <v>8</v>
      </c>
      <c r="D2425" t="s">
        <v>13</v>
      </c>
      <c r="F2425" s="5">
        <v>44271</v>
      </c>
      <c r="G2425" s="5">
        <v>44272</v>
      </c>
      <c r="H2425" s="2">
        <v>1</v>
      </c>
      <c r="I2425" s="6"/>
      <c r="J2425" s="6"/>
      <c r="K2425" s="7">
        <v>0.5</v>
      </c>
      <c r="L2425" s="7">
        <v>18</v>
      </c>
      <c r="M2425" t="s">
        <v>19</v>
      </c>
      <c r="N2425" s="16">
        <f>POWER(SQRT(WorkOrders2710[[#This Row],[WorkDate]]-WorkOrders2710[[#This Row],[ReqDate]]),2)</f>
        <v>1</v>
      </c>
      <c r="O2425" s="8">
        <f t="array" ref="O2425">INDEX(TechRate,MATCH(H2425,TechNum,0))</f>
        <v>80</v>
      </c>
      <c r="P2425" s="10">
        <f>WorkOrders2710[[#This Row],[Techs]]*(WorkOrders2710[[#This Row],[PartsCost]]*WorkOrders2710[[#This Row],[LbrHrs]])</f>
        <v>9</v>
      </c>
      <c r="Q2425" s="10">
        <f t="shared" si="221"/>
        <v>9</v>
      </c>
      <c r="R2425" s="10">
        <f t="shared" si="222"/>
        <v>18</v>
      </c>
      <c r="S2425" s="10">
        <f t="shared" si="223"/>
        <v>27</v>
      </c>
      <c r="T2425" s="10">
        <f t="shared" si="224"/>
        <v>27</v>
      </c>
      <c r="U2425" s="8" t="str">
        <f t="shared" si="225"/>
        <v>Tue</v>
      </c>
      <c r="V2425" s="8" t="str">
        <f t="shared" si="226"/>
        <v>Wed</v>
      </c>
    </row>
    <row r="2426" spans="1:22" hidden="1" x14ac:dyDescent="0.25">
      <c r="A2426" t="s">
        <v>464</v>
      </c>
      <c r="B2426" t="s">
        <v>39</v>
      </c>
      <c r="C2426" t="s">
        <v>44</v>
      </c>
      <c r="D2426" t="s">
        <v>12</v>
      </c>
      <c r="E2426" t="s">
        <v>3</v>
      </c>
      <c r="F2426" s="5">
        <v>44271</v>
      </c>
      <c r="G2426" s="5">
        <v>44280</v>
      </c>
      <c r="H2426" s="2">
        <v>1</v>
      </c>
      <c r="I2426" s="6"/>
      <c r="J2426" s="6"/>
      <c r="K2426" s="7">
        <v>0.25</v>
      </c>
      <c r="L2426" s="7">
        <v>134.84690000000001</v>
      </c>
      <c r="M2426" t="s">
        <v>18</v>
      </c>
      <c r="N2426" s="16">
        <f>POWER(SQRT(WorkOrders2710[[#This Row],[WorkDate]]-WorkOrders2710[[#This Row],[ReqDate]]),2)</f>
        <v>9</v>
      </c>
      <c r="O2426" s="8">
        <f t="array" ref="O2426">INDEX(TechRate,MATCH(H2426,TechNum,0))</f>
        <v>80</v>
      </c>
      <c r="P2426" s="10">
        <f>WorkOrders2710[[#This Row],[Techs]]*(WorkOrders2710[[#This Row],[PartsCost]]*WorkOrders2710[[#This Row],[LbrHrs]])</f>
        <v>33.711725000000001</v>
      </c>
      <c r="Q2426" s="10">
        <f t="shared" si="221"/>
        <v>33.711725000000001</v>
      </c>
      <c r="R2426" s="10">
        <f t="shared" si="222"/>
        <v>134.84690000000001</v>
      </c>
      <c r="S2426" s="10">
        <f t="shared" si="223"/>
        <v>168.55862500000001</v>
      </c>
      <c r="T2426" s="10">
        <f t="shared" si="224"/>
        <v>168.55862500000001</v>
      </c>
      <c r="U2426" s="8" t="str">
        <f t="shared" si="225"/>
        <v>Tue</v>
      </c>
      <c r="V2426" s="8" t="str">
        <f t="shared" si="226"/>
        <v>Thu</v>
      </c>
    </row>
    <row r="2427" spans="1:22" hidden="1" x14ac:dyDescent="0.25">
      <c r="A2427" t="s">
        <v>465</v>
      </c>
      <c r="B2427" t="s">
        <v>35</v>
      </c>
      <c r="C2427" t="s">
        <v>44</v>
      </c>
      <c r="D2427" t="s">
        <v>12</v>
      </c>
      <c r="E2427" t="s">
        <v>3</v>
      </c>
      <c r="F2427" s="5">
        <v>44271</v>
      </c>
      <c r="G2427" s="5">
        <v>44278</v>
      </c>
      <c r="H2427" s="2">
        <v>1</v>
      </c>
      <c r="I2427" s="6"/>
      <c r="J2427" s="6"/>
      <c r="K2427" s="7">
        <v>0.5</v>
      </c>
      <c r="L2427" s="7">
        <v>61.259</v>
      </c>
      <c r="M2427" t="s">
        <v>17</v>
      </c>
      <c r="N2427" s="16">
        <f>POWER(SQRT(WorkOrders2710[[#This Row],[WorkDate]]-WorkOrders2710[[#This Row],[ReqDate]]),2)</f>
        <v>7.0000000000000009</v>
      </c>
      <c r="O2427" s="8">
        <f t="array" ref="O2427">INDEX(TechRate,MATCH(H2427,TechNum,0))</f>
        <v>80</v>
      </c>
      <c r="P2427" s="10">
        <f>WorkOrders2710[[#This Row],[Techs]]*(WorkOrders2710[[#This Row],[PartsCost]]*WorkOrders2710[[#This Row],[LbrHrs]])</f>
        <v>30.6295</v>
      </c>
      <c r="Q2427" s="10">
        <f t="shared" si="221"/>
        <v>30.6295</v>
      </c>
      <c r="R2427" s="10">
        <f t="shared" si="222"/>
        <v>61.259</v>
      </c>
      <c r="S2427" s="10">
        <f t="shared" si="223"/>
        <v>91.888499999999993</v>
      </c>
      <c r="T2427" s="10">
        <f t="shared" si="224"/>
        <v>91.888499999999993</v>
      </c>
      <c r="U2427" s="8" t="str">
        <f t="shared" si="225"/>
        <v>Tue</v>
      </c>
      <c r="V2427" s="8" t="str">
        <f t="shared" si="226"/>
        <v>Tue</v>
      </c>
    </row>
    <row r="2428" spans="1:22" hidden="1" x14ac:dyDescent="0.25">
      <c r="A2428" t="s">
        <v>466</v>
      </c>
      <c r="B2428" t="s">
        <v>34</v>
      </c>
      <c r="C2428" t="s">
        <v>9</v>
      </c>
      <c r="D2428" t="s">
        <v>13</v>
      </c>
      <c r="F2428" s="5">
        <v>44271</v>
      </c>
      <c r="G2428" s="5">
        <v>44288</v>
      </c>
      <c r="H2428" s="2">
        <v>2</v>
      </c>
      <c r="I2428" s="6"/>
      <c r="J2428" s="6"/>
      <c r="K2428" s="7">
        <v>4.5</v>
      </c>
      <c r="L2428" s="7">
        <v>658.67510000000004</v>
      </c>
      <c r="M2428" t="s">
        <v>17</v>
      </c>
      <c r="N2428" s="16">
        <f>POWER(SQRT(WorkOrders2710[[#This Row],[WorkDate]]-WorkOrders2710[[#This Row],[ReqDate]]),2)</f>
        <v>17</v>
      </c>
      <c r="O2428" s="8">
        <f t="array" ref="O2428">INDEX(TechRate,MATCH(H2428,TechNum,0))</f>
        <v>140</v>
      </c>
      <c r="P2428" s="10">
        <f>WorkOrders2710[[#This Row],[Techs]]*(WorkOrders2710[[#This Row],[PartsCost]]*WorkOrders2710[[#This Row],[LbrHrs]])</f>
        <v>5928.0759000000007</v>
      </c>
      <c r="Q2428" s="10">
        <f t="shared" si="221"/>
        <v>5928.0759000000007</v>
      </c>
      <c r="R2428" s="10">
        <f t="shared" si="222"/>
        <v>658.67510000000004</v>
      </c>
      <c r="S2428" s="10">
        <f t="shared" si="223"/>
        <v>6586.7510000000011</v>
      </c>
      <c r="T2428" s="10">
        <f t="shared" si="224"/>
        <v>6586.7510000000011</v>
      </c>
      <c r="U2428" s="8" t="str">
        <f t="shared" si="225"/>
        <v>Tue</v>
      </c>
      <c r="V2428" s="8" t="str">
        <f t="shared" si="226"/>
        <v>Fri</v>
      </c>
    </row>
    <row r="2429" spans="1:22" hidden="1" x14ac:dyDescent="0.25">
      <c r="A2429" t="s">
        <v>467</v>
      </c>
      <c r="B2429" t="s">
        <v>34</v>
      </c>
      <c r="C2429" t="s">
        <v>9</v>
      </c>
      <c r="D2429" t="s">
        <v>2</v>
      </c>
      <c r="F2429" s="5">
        <v>44271</v>
      </c>
      <c r="G2429" s="5">
        <v>44289</v>
      </c>
      <c r="H2429" s="2">
        <v>2</v>
      </c>
      <c r="I2429" s="6"/>
      <c r="J2429" s="6"/>
      <c r="K2429" s="7">
        <v>8</v>
      </c>
      <c r="L2429" s="7">
        <v>1468.5196000000001</v>
      </c>
      <c r="M2429" t="s">
        <v>17</v>
      </c>
      <c r="N2429" s="16">
        <f>POWER(SQRT(WorkOrders2710[[#This Row],[WorkDate]]-WorkOrders2710[[#This Row],[ReqDate]]),2)</f>
        <v>17.999999999999996</v>
      </c>
      <c r="O2429" s="8">
        <f t="array" ref="O2429">INDEX(TechRate,MATCH(H2429,TechNum,0))</f>
        <v>140</v>
      </c>
      <c r="P2429" s="10">
        <f>WorkOrders2710[[#This Row],[Techs]]*(WorkOrders2710[[#This Row],[PartsCost]]*WorkOrders2710[[#This Row],[LbrHrs]])</f>
        <v>23496.313600000001</v>
      </c>
      <c r="Q2429" s="10">
        <f t="shared" si="221"/>
        <v>23496.313600000001</v>
      </c>
      <c r="R2429" s="10">
        <f t="shared" si="222"/>
        <v>1468.5196000000001</v>
      </c>
      <c r="S2429" s="10">
        <f t="shared" si="223"/>
        <v>24964.833200000001</v>
      </c>
      <c r="T2429" s="10">
        <f t="shared" si="224"/>
        <v>24964.833200000001</v>
      </c>
      <c r="U2429" s="8" t="str">
        <f t="shared" si="225"/>
        <v>Tue</v>
      </c>
      <c r="V2429" s="8" t="str">
        <f t="shared" si="226"/>
        <v>Sat</v>
      </c>
    </row>
    <row r="2430" spans="1:22" hidden="1" x14ac:dyDescent="0.25">
      <c r="A2430" t="s">
        <v>468</v>
      </c>
      <c r="B2430" t="s">
        <v>37</v>
      </c>
      <c r="C2430" t="s">
        <v>43</v>
      </c>
      <c r="D2430" t="s">
        <v>13</v>
      </c>
      <c r="F2430" s="5">
        <v>44271</v>
      </c>
      <c r="G2430" s="5">
        <v>44286</v>
      </c>
      <c r="H2430" s="2">
        <v>1</v>
      </c>
      <c r="I2430" s="6"/>
      <c r="J2430" s="6"/>
      <c r="K2430" s="7">
        <v>0.75</v>
      </c>
      <c r="L2430" s="7">
        <v>82.586500000000001</v>
      </c>
      <c r="M2430" t="s">
        <v>17</v>
      </c>
      <c r="N2430" s="16">
        <f>POWER(SQRT(WorkOrders2710[[#This Row],[WorkDate]]-WorkOrders2710[[#This Row],[ReqDate]]),2)</f>
        <v>15.000000000000002</v>
      </c>
      <c r="O2430" s="8">
        <f t="array" ref="O2430">INDEX(TechRate,MATCH(H2430,TechNum,0))</f>
        <v>80</v>
      </c>
      <c r="P2430" s="10">
        <f>WorkOrders2710[[#This Row],[Techs]]*(WorkOrders2710[[#This Row],[PartsCost]]*WorkOrders2710[[#This Row],[LbrHrs]])</f>
        <v>61.939875000000001</v>
      </c>
      <c r="Q2430" s="10">
        <f t="shared" si="221"/>
        <v>61.939875000000001</v>
      </c>
      <c r="R2430" s="10">
        <f t="shared" si="222"/>
        <v>82.586500000000001</v>
      </c>
      <c r="S2430" s="10">
        <f t="shared" si="223"/>
        <v>144.526375</v>
      </c>
      <c r="T2430" s="10">
        <f t="shared" si="224"/>
        <v>144.526375</v>
      </c>
      <c r="U2430" s="8" t="str">
        <f t="shared" si="225"/>
        <v>Tue</v>
      </c>
      <c r="V2430" s="8" t="str">
        <f t="shared" si="226"/>
        <v>Wed</v>
      </c>
    </row>
    <row r="2431" spans="1:22" hidden="1" x14ac:dyDescent="0.25">
      <c r="A2431" t="s">
        <v>469</v>
      </c>
      <c r="B2431" t="s">
        <v>41</v>
      </c>
      <c r="C2431" t="s">
        <v>7</v>
      </c>
      <c r="D2431" t="s">
        <v>1</v>
      </c>
      <c r="F2431" s="5">
        <v>44271</v>
      </c>
      <c r="G2431" s="5">
        <v>44302</v>
      </c>
      <c r="H2431" s="2">
        <v>2</v>
      </c>
      <c r="I2431" s="6"/>
      <c r="J2431" s="6" t="s">
        <v>3</v>
      </c>
      <c r="K2431" s="7">
        <v>2.75</v>
      </c>
      <c r="L2431" s="7">
        <v>340.54520000000002</v>
      </c>
      <c r="M2431" t="s">
        <v>18</v>
      </c>
      <c r="N2431" s="16">
        <f>POWER(SQRT(WorkOrders2710[[#This Row],[WorkDate]]-WorkOrders2710[[#This Row],[ReqDate]]),2)</f>
        <v>30.999999999999996</v>
      </c>
      <c r="O2431" s="8">
        <f t="array" ref="O2431">INDEX(TechRate,MATCH(H2431,TechNum,0))</f>
        <v>140</v>
      </c>
      <c r="P2431" s="10">
        <f>WorkOrders2710[[#This Row],[Techs]]*(WorkOrders2710[[#This Row],[PartsCost]]*WorkOrders2710[[#This Row],[LbrHrs]])</f>
        <v>1872.9986000000001</v>
      </c>
      <c r="Q2431" s="10">
        <f t="shared" si="221"/>
        <v>1872.9986000000001</v>
      </c>
      <c r="R2431" s="10">
        <f t="shared" si="222"/>
        <v>0</v>
      </c>
      <c r="S2431" s="10">
        <f t="shared" si="223"/>
        <v>2213.5438000000004</v>
      </c>
      <c r="T2431" s="10">
        <f t="shared" si="224"/>
        <v>1872.9986000000001</v>
      </c>
      <c r="U2431" s="8" t="str">
        <f t="shared" si="225"/>
        <v>Tue</v>
      </c>
      <c r="V2431" s="8" t="str">
        <f t="shared" si="226"/>
        <v>Fri</v>
      </c>
    </row>
    <row r="2432" spans="1:22" hidden="1" x14ac:dyDescent="0.25">
      <c r="A2432" t="s">
        <v>470</v>
      </c>
      <c r="B2432" t="s">
        <v>39</v>
      </c>
      <c r="C2432" t="s">
        <v>8</v>
      </c>
      <c r="D2432" t="s">
        <v>12</v>
      </c>
      <c r="F2432" s="5">
        <v>44271</v>
      </c>
      <c r="G2432" s="5">
        <v>44322</v>
      </c>
      <c r="H2432" s="2">
        <v>1</v>
      </c>
      <c r="I2432" s="6"/>
      <c r="J2432" s="6"/>
      <c r="K2432" s="7">
        <v>0.25</v>
      </c>
      <c r="L2432" s="7">
        <v>72.061000000000007</v>
      </c>
      <c r="M2432" t="s">
        <v>18</v>
      </c>
      <c r="N2432" s="16">
        <f>POWER(SQRT(WorkOrders2710[[#This Row],[WorkDate]]-WorkOrders2710[[#This Row],[ReqDate]]),2)</f>
        <v>51.000000000000007</v>
      </c>
      <c r="O2432" s="8">
        <f t="array" ref="O2432">INDEX(TechRate,MATCH(H2432,TechNum,0))</f>
        <v>80</v>
      </c>
      <c r="P2432" s="10">
        <f>WorkOrders2710[[#This Row],[Techs]]*(WorkOrders2710[[#This Row],[PartsCost]]*WorkOrders2710[[#This Row],[LbrHrs]])</f>
        <v>18.015250000000002</v>
      </c>
      <c r="Q2432" s="10">
        <f t="shared" si="221"/>
        <v>18.015250000000002</v>
      </c>
      <c r="R2432" s="10">
        <f t="shared" si="222"/>
        <v>72.061000000000007</v>
      </c>
      <c r="S2432" s="10">
        <f t="shared" si="223"/>
        <v>90.076250000000016</v>
      </c>
      <c r="T2432" s="10">
        <f t="shared" si="224"/>
        <v>90.076250000000016</v>
      </c>
      <c r="U2432" s="8" t="str">
        <f t="shared" si="225"/>
        <v>Tue</v>
      </c>
      <c r="V2432" s="8" t="str">
        <f t="shared" si="226"/>
        <v>Thu</v>
      </c>
    </row>
    <row r="2433" spans="1:22" hidden="1" x14ac:dyDescent="0.25">
      <c r="A2433" t="s">
        <v>471</v>
      </c>
      <c r="B2433" t="s">
        <v>41</v>
      </c>
      <c r="C2433" t="s">
        <v>9</v>
      </c>
      <c r="D2433" t="s">
        <v>12</v>
      </c>
      <c r="F2433" s="5">
        <v>44272</v>
      </c>
      <c r="G2433" s="5">
        <v>44296</v>
      </c>
      <c r="H2433" s="2">
        <v>1</v>
      </c>
      <c r="I2433" s="6"/>
      <c r="J2433" s="6"/>
      <c r="K2433" s="7">
        <v>0.5</v>
      </c>
      <c r="L2433" s="7">
        <v>48.990699999999997</v>
      </c>
      <c r="M2433" t="s">
        <v>17</v>
      </c>
      <c r="N2433" s="16">
        <f>POWER(SQRT(WorkOrders2710[[#This Row],[WorkDate]]-WorkOrders2710[[#This Row],[ReqDate]]),2)</f>
        <v>23.999999999999996</v>
      </c>
      <c r="O2433" s="8">
        <f t="array" ref="O2433">INDEX(TechRate,MATCH(H2433,TechNum,0))</f>
        <v>80</v>
      </c>
      <c r="P2433" s="10">
        <f>WorkOrders2710[[#This Row],[Techs]]*(WorkOrders2710[[#This Row],[PartsCost]]*WorkOrders2710[[#This Row],[LbrHrs]])</f>
        <v>24.495349999999998</v>
      </c>
      <c r="Q2433" s="10">
        <f t="shared" si="221"/>
        <v>24.495349999999998</v>
      </c>
      <c r="R2433" s="10">
        <f t="shared" si="222"/>
        <v>48.990699999999997</v>
      </c>
      <c r="S2433" s="10">
        <f t="shared" si="223"/>
        <v>73.486049999999992</v>
      </c>
      <c r="T2433" s="10">
        <f t="shared" si="224"/>
        <v>73.486049999999992</v>
      </c>
      <c r="U2433" s="8" t="str">
        <f t="shared" si="225"/>
        <v>Wed</v>
      </c>
      <c r="V2433" s="8" t="str">
        <f t="shared" si="226"/>
        <v>Sat</v>
      </c>
    </row>
    <row r="2434" spans="1:22" hidden="1" x14ac:dyDescent="0.25">
      <c r="A2434" t="s">
        <v>472</v>
      </c>
      <c r="B2434" t="s">
        <v>36</v>
      </c>
      <c r="C2434" t="s">
        <v>7</v>
      </c>
      <c r="D2434" t="s">
        <v>11</v>
      </c>
      <c r="F2434" s="5">
        <v>44272</v>
      </c>
      <c r="G2434" s="5">
        <v>44296</v>
      </c>
      <c r="H2434" s="2">
        <v>1</v>
      </c>
      <c r="I2434" s="6"/>
      <c r="J2434" s="6"/>
      <c r="K2434" s="7">
        <v>0.25</v>
      </c>
      <c r="L2434" s="7">
        <v>15.401</v>
      </c>
      <c r="M2434" t="s">
        <v>17</v>
      </c>
      <c r="N2434" s="16">
        <f>POWER(SQRT(WorkOrders2710[[#This Row],[WorkDate]]-WorkOrders2710[[#This Row],[ReqDate]]),2)</f>
        <v>23.999999999999996</v>
      </c>
      <c r="O2434" s="8">
        <f t="array" ref="O2434">INDEX(TechRate,MATCH(H2434,TechNum,0))</f>
        <v>80</v>
      </c>
      <c r="P2434" s="10">
        <f>WorkOrders2710[[#This Row],[Techs]]*(WorkOrders2710[[#This Row],[PartsCost]]*WorkOrders2710[[#This Row],[LbrHrs]])</f>
        <v>3.85025</v>
      </c>
      <c r="Q2434" s="10">
        <f t="shared" si="221"/>
        <v>3.85025</v>
      </c>
      <c r="R2434" s="10">
        <f t="shared" si="222"/>
        <v>15.401</v>
      </c>
      <c r="S2434" s="10">
        <f t="shared" si="223"/>
        <v>19.251249999999999</v>
      </c>
      <c r="T2434" s="10">
        <f t="shared" si="224"/>
        <v>19.251249999999999</v>
      </c>
      <c r="U2434" s="8" t="str">
        <f t="shared" si="225"/>
        <v>Wed</v>
      </c>
      <c r="V2434" s="8" t="str">
        <f t="shared" si="226"/>
        <v>Sat</v>
      </c>
    </row>
    <row r="2435" spans="1:22" hidden="1" x14ac:dyDescent="0.25">
      <c r="A2435" t="s">
        <v>473</v>
      </c>
      <c r="B2435" t="s">
        <v>40</v>
      </c>
      <c r="C2435" t="s">
        <v>8</v>
      </c>
      <c r="D2435" t="s">
        <v>13</v>
      </c>
      <c r="F2435" s="5">
        <v>44274</v>
      </c>
      <c r="G2435" s="5">
        <v>44322</v>
      </c>
      <c r="H2435" s="2">
        <v>1</v>
      </c>
      <c r="I2435" s="6"/>
      <c r="J2435" s="6"/>
      <c r="K2435" s="7">
        <v>0.75</v>
      </c>
      <c r="L2435" s="7">
        <v>204.10079999999999</v>
      </c>
      <c r="M2435" t="s">
        <v>18</v>
      </c>
      <c r="N2435" s="16">
        <f>POWER(SQRT(WorkOrders2710[[#This Row],[WorkDate]]-WorkOrders2710[[#This Row],[ReqDate]]),2)</f>
        <v>47.999999999999993</v>
      </c>
      <c r="O2435" s="8">
        <f t="array" ref="O2435">INDEX(TechRate,MATCH(H2435,TechNum,0))</f>
        <v>80</v>
      </c>
      <c r="P2435" s="10">
        <f>WorkOrders2710[[#This Row],[Techs]]*(WorkOrders2710[[#This Row],[PartsCost]]*WorkOrders2710[[#This Row],[LbrHrs]])</f>
        <v>153.07560000000001</v>
      </c>
      <c r="Q2435" s="10">
        <f t="shared" si="221"/>
        <v>153.07560000000001</v>
      </c>
      <c r="R2435" s="10">
        <f t="shared" si="222"/>
        <v>204.10079999999999</v>
      </c>
      <c r="S2435" s="10">
        <f t="shared" si="223"/>
        <v>357.1764</v>
      </c>
      <c r="T2435" s="10">
        <f t="shared" si="224"/>
        <v>357.1764</v>
      </c>
      <c r="U2435" s="8" t="str">
        <f t="shared" si="225"/>
        <v>Fri</v>
      </c>
      <c r="V2435" s="8" t="str">
        <f t="shared" si="226"/>
        <v>Thu</v>
      </c>
    </row>
    <row r="2436" spans="1:22" hidden="1" x14ac:dyDescent="0.25">
      <c r="A2436" t="s">
        <v>474</v>
      </c>
      <c r="B2436" t="s">
        <v>36</v>
      </c>
      <c r="C2436" t="s">
        <v>7</v>
      </c>
      <c r="D2436" t="s">
        <v>12</v>
      </c>
      <c r="F2436" s="5">
        <v>44275</v>
      </c>
      <c r="G2436" s="5">
        <v>44296</v>
      </c>
      <c r="H2436" s="2">
        <v>1</v>
      </c>
      <c r="I2436" s="6"/>
      <c r="J2436" s="6"/>
      <c r="K2436" s="7">
        <v>0.25</v>
      </c>
      <c r="L2436" s="7">
        <v>12.63</v>
      </c>
      <c r="M2436" t="s">
        <v>17</v>
      </c>
      <c r="N2436" s="16">
        <f>POWER(SQRT(WorkOrders2710[[#This Row],[WorkDate]]-WorkOrders2710[[#This Row],[ReqDate]]),2)</f>
        <v>21</v>
      </c>
      <c r="O2436" s="8">
        <f t="array" ref="O2436">INDEX(TechRate,MATCH(H2436,TechNum,0))</f>
        <v>80</v>
      </c>
      <c r="P2436" s="10">
        <f>WorkOrders2710[[#This Row],[Techs]]*(WorkOrders2710[[#This Row],[PartsCost]]*WorkOrders2710[[#This Row],[LbrHrs]])</f>
        <v>3.1575000000000002</v>
      </c>
      <c r="Q2436" s="10">
        <f t="shared" si="221"/>
        <v>3.1575000000000002</v>
      </c>
      <c r="R2436" s="10">
        <f t="shared" si="222"/>
        <v>12.63</v>
      </c>
      <c r="S2436" s="10">
        <f t="shared" si="223"/>
        <v>15.787500000000001</v>
      </c>
      <c r="T2436" s="10">
        <f t="shared" si="224"/>
        <v>15.787500000000001</v>
      </c>
      <c r="U2436" s="8" t="str">
        <f t="shared" si="225"/>
        <v>Sat</v>
      </c>
      <c r="V2436" s="8" t="str">
        <f t="shared" si="226"/>
        <v>Sat</v>
      </c>
    </row>
    <row r="2437" spans="1:22" hidden="1" x14ac:dyDescent="0.25">
      <c r="A2437" t="s">
        <v>475</v>
      </c>
      <c r="B2437" t="s">
        <v>41</v>
      </c>
      <c r="C2437" t="s">
        <v>7</v>
      </c>
      <c r="D2437" t="s">
        <v>12</v>
      </c>
      <c r="F2437" s="5">
        <v>44275</v>
      </c>
      <c r="G2437" s="5">
        <v>44299</v>
      </c>
      <c r="H2437" s="2">
        <v>1</v>
      </c>
      <c r="I2437" s="6"/>
      <c r="J2437" s="6"/>
      <c r="K2437" s="7">
        <v>0.25</v>
      </c>
      <c r="L2437" s="7">
        <v>15.24</v>
      </c>
      <c r="M2437" t="s">
        <v>19</v>
      </c>
      <c r="N2437" s="16">
        <f>POWER(SQRT(WorkOrders2710[[#This Row],[WorkDate]]-WorkOrders2710[[#This Row],[ReqDate]]),2)</f>
        <v>23.999999999999996</v>
      </c>
      <c r="O2437" s="8">
        <f t="array" ref="O2437">INDEX(TechRate,MATCH(H2437,TechNum,0))</f>
        <v>80</v>
      </c>
      <c r="P2437" s="10">
        <f>WorkOrders2710[[#This Row],[Techs]]*(WorkOrders2710[[#This Row],[PartsCost]]*WorkOrders2710[[#This Row],[LbrHrs]])</f>
        <v>3.81</v>
      </c>
      <c r="Q2437" s="10">
        <f t="shared" si="221"/>
        <v>3.81</v>
      </c>
      <c r="R2437" s="10">
        <f t="shared" si="222"/>
        <v>15.24</v>
      </c>
      <c r="S2437" s="10">
        <f t="shared" si="223"/>
        <v>19.05</v>
      </c>
      <c r="T2437" s="10">
        <f t="shared" si="224"/>
        <v>19.05</v>
      </c>
      <c r="U2437" s="8" t="str">
        <f t="shared" si="225"/>
        <v>Sat</v>
      </c>
      <c r="V2437" s="8" t="str">
        <f t="shared" si="226"/>
        <v>Tue</v>
      </c>
    </row>
    <row r="2438" spans="1:22" hidden="1" x14ac:dyDescent="0.25">
      <c r="A2438" t="s">
        <v>476</v>
      </c>
      <c r="B2438" t="s">
        <v>38</v>
      </c>
      <c r="C2438" t="s">
        <v>8</v>
      </c>
      <c r="D2438" t="s">
        <v>12</v>
      </c>
      <c r="F2438" s="5">
        <v>44277</v>
      </c>
      <c r="G2438" s="5">
        <v>44286</v>
      </c>
      <c r="H2438" s="2">
        <v>1</v>
      </c>
      <c r="I2438" s="6" t="s">
        <v>3</v>
      </c>
      <c r="J2438" s="6" t="s">
        <v>3</v>
      </c>
      <c r="K2438" s="7">
        <v>0.5</v>
      </c>
      <c r="L2438" s="7">
        <v>50</v>
      </c>
      <c r="M2438" t="s">
        <v>20</v>
      </c>
      <c r="N2438" s="16">
        <f>POWER(SQRT(WorkOrders2710[[#This Row],[WorkDate]]-WorkOrders2710[[#This Row],[ReqDate]]),2)</f>
        <v>9</v>
      </c>
      <c r="O2438" s="8">
        <f t="array" ref="O2438">INDEX(TechRate,MATCH(H2438,TechNum,0))</f>
        <v>80</v>
      </c>
      <c r="P2438" s="10">
        <f>WorkOrders2710[[#This Row],[Techs]]*(WorkOrders2710[[#This Row],[PartsCost]]*WorkOrders2710[[#This Row],[LbrHrs]])</f>
        <v>25</v>
      </c>
      <c r="Q2438" s="10">
        <f t="shared" si="221"/>
        <v>0</v>
      </c>
      <c r="R2438" s="10">
        <f t="shared" si="222"/>
        <v>0</v>
      </c>
      <c r="S2438" s="10">
        <f t="shared" si="223"/>
        <v>75</v>
      </c>
      <c r="T2438" s="10">
        <f t="shared" si="224"/>
        <v>0</v>
      </c>
      <c r="U2438" s="8" t="str">
        <f t="shared" si="225"/>
        <v>Mon</v>
      </c>
      <c r="V2438" s="8" t="str">
        <f t="shared" si="226"/>
        <v>Wed</v>
      </c>
    </row>
    <row r="2439" spans="1:22" hidden="1" x14ac:dyDescent="0.25">
      <c r="A2439" t="s">
        <v>477</v>
      </c>
      <c r="B2439" t="s">
        <v>37</v>
      </c>
      <c r="C2439" t="s">
        <v>9</v>
      </c>
      <c r="D2439" t="s">
        <v>2</v>
      </c>
      <c r="F2439" s="5">
        <v>44277</v>
      </c>
      <c r="G2439" s="5">
        <v>44306</v>
      </c>
      <c r="H2439" s="2">
        <v>1</v>
      </c>
      <c r="I2439" s="6"/>
      <c r="J2439" s="6" t="s">
        <v>3</v>
      </c>
      <c r="K2439" s="7">
        <v>1.5</v>
      </c>
      <c r="L2439" s="7">
        <v>272.55329999999998</v>
      </c>
      <c r="M2439" t="s">
        <v>18</v>
      </c>
      <c r="N2439" s="16">
        <f>POWER(SQRT(WorkOrders2710[[#This Row],[WorkDate]]-WorkOrders2710[[#This Row],[ReqDate]]),2)</f>
        <v>28.999999999999996</v>
      </c>
      <c r="O2439" s="8">
        <f t="array" ref="O2439">INDEX(TechRate,MATCH(H2439,TechNum,0))</f>
        <v>80</v>
      </c>
      <c r="P2439" s="10">
        <f>WorkOrders2710[[#This Row],[Techs]]*(WorkOrders2710[[#This Row],[PartsCost]]*WorkOrders2710[[#This Row],[LbrHrs]])</f>
        <v>408.82994999999994</v>
      </c>
      <c r="Q2439" s="10">
        <f t="shared" si="221"/>
        <v>408.82994999999994</v>
      </c>
      <c r="R2439" s="10">
        <f t="shared" si="222"/>
        <v>0</v>
      </c>
      <c r="S2439" s="10">
        <f t="shared" si="223"/>
        <v>681.38324999999986</v>
      </c>
      <c r="T2439" s="10">
        <f t="shared" si="224"/>
        <v>408.82994999999994</v>
      </c>
      <c r="U2439" s="8" t="str">
        <f t="shared" si="225"/>
        <v>Mon</v>
      </c>
      <c r="V2439" s="8" t="str">
        <f t="shared" si="226"/>
        <v>Tue</v>
      </c>
    </row>
    <row r="2440" spans="1:22" hidden="1" x14ac:dyDescent="0.25">
      <c r="A2440" t="s">
        <v>478</v>
      </c>
      <c r="B2440" t="s">
        <v>35</v>
      </c>
      <c r="C2440" t="s">
        <v>44</v>
      </c>
      <c r="D2440" t="s">
        <v>13</v>
      </c>
      <c r="F2440" s="5">
        <v>44277</v>
      </c>
      <c r="G2440" s="5">
        <v>44306</v>
      </c>
      <c r="H2440" s="2">
        <v>2</v>
      </c>
      <c r="I2440" s="6"/>
      <c r="J2440" s="6"/>
      <c r="K2440" s="7">
        <v>6.25</v>
      </c>
      <c r="L2440" s="7">
        <v>27</v>
      </c>
      <c r="M2440" t="s">
        <v>18</v>
      </c>
      <c r="N2440" s="16">
        <f>POWER(SQRT(WorkOrders2710[[#This Row],[WorkDate]]-WorkOrders2710[[#This Row],[ReqDate]]),2)</f>
        <v>28.999999999999996</v>
      </c>
      <c r="O2440" s="8">
        <f t="array" ref="O2440">INDEX(TechRate,MATCH(H2440,TechNum,0))</f>
        <v>140</v>
      </c>
      <c r="P2440" s="10">
        <f>WorkOrders2710[[#This Row],[Techs]]*(WorkOrders2710[[#This Row],[PartsCost]]*WorkOrders2710[[#This Row],[LbrHrs]])</f>
        <v>337.5</v>
      </c>
      <c r="Q2440" s="10">
        <f t="shared" si="221"/>
        <v>337.5</v>
      </c>
      <c r="R2440" s="10">
        <f t="shared" si="222"/>
        <v>27</v>
      </c>
      <c r="S2440" s="10">
        <f t="shared" si="223"/>
        <v>364.5</v>
      </c>
      <c r="T2440" s="10">
        <f t="shared" si="224"/>
        <v>364.5</v>
      </c>
      <c r="U2440" s="8" t="str">
        <f t="shared" si="225"/>
        <v>Mon</v>
      </c>
      <c r="V2440" s="8" t="str">
        <f t="shared" si="226"/>
        <v>Tue</v>
      </c>
    </row>
    <row r="2441" spans="1:22" hidden="1" x14ac:dyDescent="0.25">
      <c r="A2441" t="s">
        <v>479</v>
      </c>
      <c r="B2441" t="s">
        <v>39</v>
      </c>
      <c r="C2441" t="s">
        <v>8</v>
      </c>
      <c r="D2441" t="s">
        <v>12</v>
      </c>
      <c r="F2441" s="5">
        <v>44277</v>
      </c>
      <c r="G2441" s="5">
        <v>44308</v>
      </c>
      <c r="H2441" s="2">
        <v>1</v>
      </c>
      <c r="I2441" s="6" t="s">
        <v>3</v>
      </c>
      <c r="J2441" s="6" t="s">
        <v>3</v>
      </c>
      <c r="K2441" s="7">
        <v>0.25</v>
      </c>
      <c r="L2441" s="7">
        <v>65.428799999999995</v>
      </c>
      <c r="M2441" t="s">
        <v>20</v>
      </c>
      <c r="N2441" s="16">
        <f>POWER(SQRT(WorkOrders2710[[#This Row],[WorkDate]]-WorkOrders2710[[#This Row],[ReqDate]]),2)</f>
        <v>30.999999999999996</v>
      </c>
      <c r="O2441" s="8">
        <f t="array" ref="O2441">INDEX(TechRate,MATCH(H2441,TechNum,0))</f>
        <v>80</v>
      </c>
      <c r="P2441" s="10">
        <f>WorkOrders2710[[#This Row],[Techs]]*(WorkOrders2710[[#This Row],[PartsCost]]*WorkOrders2710[[#This Row],[LbrHrs]])</f>
        <v>16.357199999999999</v>
      </c>
      <c r="Q2441" s="10">
        <f t="shared" si="221"/>
        <v>0</v>
      </c>
      <c r="R2441" s="10">
        <f t="shared" si="222"/>
        <v>0</v>
      </c>
      <c r="S2441" s="10">
        <f t="shared" si="223"/>
        <v>81.786000000000001</v>
      </c>
      <c r="T2441" s="10">
        <f t="shared" si="224"/>
        <v>0</v>
      </c>
      <c r="U2441" s="8" t="str">
        <f t="shared" si="225"/>
        <v>Mon</v>
      </c>
      <c r="V2441" s="8" t="str">
        <f t="shared" si="226"/>
        <v>Thu</v>
      </c>
    </row>
    <row r="2442" spans="1:22" hidden="1" x14ac:dyDescent="0.25">
      <c r="A2442" t="s">
        <v>480</v>
      </c>
      <c r="B2442" t="s">
        <v>36</v>
      </c>
      <c r="C2442" t="s">
        <v>7</v>
      </c>
      <c r="D2442" t="s">
        <v>12</v>
      </c>
      <c r="F2442" s="5">
        <v>44277</v>
      </c>
      <c r="G2442" s="5">
        <v>44322</v>
      </c>
      <c r="H2442" s="2">
        <v>2</v>
      </c>
      <c r="I2442" s="6"/>
      <c r="J2442" s="6"/>
      <c r="K2442" s="7">
        <v>0.5</v>
      </c>
      <c r="L2442" s="7">
        <v>85.32</v>
      </c>
      <c r="M2442" t="s">
        <v>17</v>
      </c>
      <c r="N2442" s="16">
        <f>POWER(SQRT(WorkOrders2710[[#This Row],[WorkDate]]-WorkOrders2710[[#This Row],[ReqDate]]),2)</f>
        <v>45.000000000000007</v>
      </c>
      <c r="O2442" s="8">
        <f t="array" ref="O2442">INDEX(TechRate,MATCH(H2442,TechNum,0))</f>
        <v>140</v>
      </c>
      <c r="P2442" s="10">
        <f>WorkOrders2710[[#This Row],[Techs]]*(WorkOrders2710[[#This Row],[PartsCost]]*WorkOrders2710[[#This Row],[LbrHrs]])</f>
        <v>85.32</v>
      </c>
      <c r="Q2442" s="10">
        <f t="shared" si="221"/>
        <v>85.32</v>
      </c>
      <c r="R2442" s="10">
        <f t="shared" si="222"/>
        <v>85.32</v>
      </c>
      <c r="S2442" s="10">
        <f t="shared" si="223"/>
        <v>170.64</v>
      </c>
      <c r="T2442" s="10">
        <f t="shared" si="224"/>
        <v>170.64</v>
      </c>
      <c r="U2442" s="8" t="str">
        <f t="shared" si="225"/>
        <v>Mon</v>
      </c>
      <c r="V2442" s="8" t="str">
        <f t="shared" si="226"/>
        <v>Thu</v>
      </c>
    </row>
    <row r="2443" spans="1:22" hidden="1" x14ac:dyDescent="0.25">
      <c r="A2443" t="s">
        <v>481</v>
      </c>
      <c r="B2443" t="s">
        <v>37</v>
      </c>
      <c r="C2443" t="s">
        <v>9</v>
      </c>
      <c r="D2443" t="s">
        <v>1</v>
      </c>
      <c r="F2443" s="5">
        <v>44277</v>
      </c>
      <c r="G2443" s="5">
        <v>44326</v>
      </c>
      <c r="H2443" s="2">
        <v>2</v>
      </c>
      <c r="I2443" s="6"/>
      <c r="J2443" s="6" t="s">
        <v>3</v>
      </c>
      <c r="K2443" s="7">
        <v>1.5</v>
      </c>
      <c r="L2443" s="7">
        <v>572.1671</v>
      </c>
      <c r="M2443" t="s">
        <v>18</v>
      </c>
      <c r="N2443" s="16">
        <f>POWER(SQRT(WorkOrders2710[[#This Row],[WorkDate]]-WorkOrders2710[[#This Row],[ReqDate]]),2)</f>
        <v>49</v>
      </c>
      <c r="O2443" s="8">
        <f t="array" ref="O2443">INDEX(TechRate,MATCH(H2443,TechNum,0))</f>
        <v>140</v>
      </c>
      <c r="P2443" s="10">
        <f>WorkOrders2710[[#This Row],[Techs]]*(WorkOrders2710[[#This Row],[PartsCost]]*WorkOrders2710[[#This Row],[LbrHrs]])</f>
        <v>1716.5012999999999</v>
      </c>
      <c r="Q2443" s="10">
        <f t="shared" si="221"/>
        <v>1716.5012999999999</v>
      </c>
      <c r="R2443" s="10">
        <f t="shared" si="222"/>
        <v>0</v>
      </c>
      <c r="S2443" s="10">
        <f t="shared" si="223"/>
        <v>2288.6684</v>
      </c>
      <c r="T2443" s="10">
        <f t="shared" si="224"/>
        <v>1716.5012999999999</v>
      </c>
      <c r="U2443" s="8" t="str">
        <f t="shared" si="225"/>
        <v>Mon</v>
      </c>
      <c r="V2443" s="8" t="str">
        <f t="shared" si="226"/>
        <v>Mon</v>
      </c>
    </row>
    <row r="2444" spans="1:22" hidden="1" x14ac:dyDescent="0.25">
      <c r="A2444" t="s">
        <v>482</v>
      </c>
      <c r="B2444" t="s">
        <v>37</v>
      </c>
      <c r="C2444" t="s">
        <v>9</v>
      </c>
      <c r="D2444" t="s">
        <v>2</v>
      </c>
      <c r="F2444" s="5">
        <v>44277</v>
      </c>
      <c r="G2444" s="5">
        <v>44326</v>
      </c>
      <c r="H2444" s="2">
        <v>2</v>
      </c>
      <c r="I2444" s="6"/>
      <c r="J2444" s="6" t="s">
        <v>3</v>
      </c>
      <c r="K2444" s="7">
        <v>4.5</v>
      </c>
      <c r="L2444" s="7">
        <v>937.97670000000005</v>
      </c>
      <c r="M2444" t="s">
        <v>18</v>
      </c>
      <c r="N2444" s="16">
        <f>POWER(SQRT(WorkOrders2710[[#This Row],[WorkDate]]-WorkOrders2710[[#This Row],[ReqDate]]),2)</f>
        <v>49</v>
      </c>
      <c r="O2444" s="8">
        <f t="array" ref="O2444">INDEX(TechRate,MATCH(H2444,TechNum,0))</f>
        <v>140</v>
      </c>
      <c r="P2444" s="10">
        <f>WorkOrders2710[[#This Row],[Techs]]*(WorkOrders2710[[#This Row],[PartsCost]]*WorkOrders2710[[#This Row],[LbrHrs]])</f>
        <v>8441.7903000000006</v>
      </c>
      <c r="Q2444" s="10">
        <f t="shared" si="221"/>
        <v>8441.7903000000006</v>
      </c>
      <c r="R2444" s="10">
        <f t="shared" si="222"/>
        <v>0</v>
      </c>
      <c r="S2444" s="10">
        <f t="shared" si="223"/>
        <v>9379.7669999999998</v>
      </c>
      <c r="T2444" s="10">
        <f t="shared" si="224"/>
        <v>8441.7903000000006</v>
      </c>
      <c r="U2444" s="8" t="str">
        <f t="shared" si="225"/>
        <v>Mon</v>
      </c>
      <c r="V2444" s="8" t="str">
        <f t="shared" si="226"/>
        <v>Mon</v>
      </c>
    </row>
    <row r="2445" spans="1:22" hidden="1" x14ac:dyDescent="0.25">
      <c r="A2445" t="s">
        <v>483</v>
      </c>
      <c r="B2445" t="s">
        <v>34</v>
      </c>
      <c r="C2445" t="s">
        <v>9</v>
      </c>
      <c r="D2445" t="s">
        <v>13</v>
      </c>
      <c r="F2445" s="5">
        <v>44278</v>
      </c>
      <c r="G2445" s="5">
        <v>44278</v>
      </c>
      <c r="H2445" s="2">
        <v>1</v>
      </c>
      <c r="I2445" s="6" t="s">
        <v>3</v>
      </c>
      <c r="J2445" s="6" t="s">
        <v>3</v>
      </c>
      <c r="K2445" s="7">
        <v>0.5</v>
      </c>
      <c r="L2445" s="7">
        <v>165</v>
      </c>
      <c r="M2445" t="s">
        <v>20</v>
      </c>
      <c r="N2445" s="16">
        <f>POWER(SQRT(WorkOrders2710[[#This Row],[WorkDate]]-WorkOrders2710[[#This Row],[ReqDate]]),2)</f>
        <v>0</v>
      </c>
      <c r="O2445" s="8">
        <f t="array" ref="O2445">INDEX(TechRate,MATCH(H2445,TechNum,0))</f>
        <v>80</v>
      </c>
      <c r="P2445" s="10">
        <f>WorkOrders2710[[#This Row],[Techs]]*(WorkOrders2710[[#This Row],[PartsCost]]*WorkOrders2710[[#This Row],[LbrHrs]])</f>
        <v>82.5</v>
      </c>
      <c r="Q2445" s="10">
        <f t="shared" si="221"/>
        <v>0</v>
      </c>
      <c r="R2445" s="10">
        <f t="shared" si="222"/>
        <v>0</v>
      </c>
      <c r="S2445" s="10">
        <f t="shared" si="223"/>
        <v>247.5</v>
      </c>
      <c r="T2445" s="10">
        <f t="shared" si="224"/>
        <v>0</v>
      </c>
      <c r="U2445" s="8" t="str">
        <f t="shared" si="225"/>
        <v>Tue</v>
      </c>
      <c r="V2445" s="8" t="str">
        <f t="shared" si="226"/>
        <v>Tue</v>
      </c>
    </row>
    <row r="2446" spans="1:22" hidden="1" x14ac:dyDescent="0.25">
      <c r="A2446" t="s">
        <v>484</v>
      </c>
      <c r="B2446" t="s">
        <v>36</v>
      </c>
      <c r="C2446" t="s">
        <v>7</v>
      </c>
      <c r="D2446" t="s">
        <v>12</v>
      </c>
      <c r="F2446" s="5">
        <v>44278</v>
      </c>
      <c r="G2446" s="5">
        <v>44289</v>
      </c>
      <c r="H2446" s="2">
        <v>2</v>
      </c>
      <c r="I2446" s="6" t="s">
        <v>3</v>
      </c>
      <c r="J2446" s="6" t="s">
        <v>3</v>
      </c>
      <c r="K2446" s="7">
        <v>0.25</v>
      </c>
      <c r="L2446" s="7">
        <v>55.295499999999997</v>
      </c>
      <c r="M2446" t="s">
        <v>20</v>
      </c>
      <c r="N2446" s="16">
        <f>POWER(SQRT(WorkOrders2710[[#This Row],[WorkDate]]-WorkOrders2710[[#This Row],[ReqDate]]),2)</f>
        <v>11</v>
      </c>
      <c r="O2446" s="8">
        <f t="array" ref="O2446">INDEX(TechRate,MATCH(H2446,TechNum,0))</f>
        <v>140</v>
      </c>
      <c r="P2446" s="10">
        <f>WorkOrders2710[[#This Row],[Techs]]*(WorkOrders2710[[#This Row],[PartsCost]]*WorkOrders2710[[#This Row],[LbrHrs]])</f>
        <v>27.647749999999998</v>
      </c>
      <c r="Q2446" s="10">
        <f t="shared" si="221"/>
        <v>0</v>
      </c>
      <c r="R2446" s="10">
        <f t="shared" si="222"/>
        <v>0</v>
      </c>
      <c r="S2446" s="10">
        <f t="shared" si="223"/>
        <v>82.943249999999992</v>
      </c>
      <c r="T2446" s="10">
        <f t="shared" si="224"/>
        <v>0</v>
      </c>
      <c r="U2446" s="8" t="str">
        <f t="shared" si="225"/>
        <v>Tue</v>
      </c>
      <c r="V2446" s="8" t="str">
        <f t="shared" si="226"/>
        <v>Sat</v>
      </c>
    </row>
    <row r="2447" spans="1:22" hidden="1" x14ac:dyDescent="0.25">
      <c r="A2447" t="s">
        <v>485</v>
      </c>
      <c r="B2447" t="s">
        <v>39</v>
      </c>
      <c r="C2447" t="s">
        <v>44</v>
      </c>
      <c r="D2447" t="s">
        <v>13</v>
      </c>
      <c r="F2447" s="5">
        <v>44278</v>
      </c>
      <c r="G2447" s="5">
        <v>44296</v>
      </c>
      <c r="H2447" s="2">
        <v>1</v>
      </c>
      <c r="I2447" s="6"/>
      <c r="J2447" s="6" t="s">
        <v>3</v>
      </c>
      <c r="K2447" s="7">
        <v>2.75</v>
      </c>
      <c r="L2447" s="7">
        <v>534.56600000000003</v>
      </c>
      <c r="M2447" t="s">
        <v>18</v>
      </c>
      <c r="N2447" s="16">
        <f>POWER(SQRT(WorkOrders2710[[#This Row],[WorkDate]]-WorkOrders2710[[#This Row],[ReqDate]]),2)</f>
        <v>17.999999999999996</v>
      </c>
      <c r="O2447" s="8">
        <f t="array" ref="O2447">INDEX(TechRate,MATCH(H2447,TechNum,0))</f>
        <v>80</v>
      </c>
      <c r="P2447" s="10">
        <f>WorkOrders2710[[#This Row],[Techs]]*(WorkOrders2710[[#This Row],[PartsCost]]*WorkOrders2710[[#This Row],[LbrHrs]])</f>
        <v>1470.0565000000001</v>
      </c>
      <c r="Q2447" s="10">
        <f t="shared" si="221"/>
        <v>1470.0565000000001</v>
      </c>
      <c r="R2447" s="10">
        <f t="shared" si="222"/>
        <v>0</v>
      </c>
      <c r="S2447" s="10">
        <f t="shared" si="223"/>
        <v>2004.6225000000002</v>
      </c>
      <c r="T2447" s="10">
        <f t="shared" si="224"/>
        <v>1470.0565000000001</v>
      </c>
      <c r="U2447" s="8" t="str">
        <f t="shared" si="225"/>
        <v>Tue</v>
      </c>
      <c r="V2447" s="8" t="str">
        <f t="shared" si="226"/>
        <v>Sat</v>
      </c>
    </row>
    <row r="2448" spans="1:22" hidden="1" x14ac:dyDescent="0.25">
      <c r="A2448" t="s">
        <v>486</v>
      </c>
      <c r="B2448" t="s">
        <v>34</v>
      </c>
      <c r="C2448" t="s">
        <v>9</v>
      </c>
      <c r="D2448" t="s">
        <v>12</v>
      </c>
      <c r="F2448" s="5">
        <v>44278</v>
      </c>
      <c r="G2448" s="5">
        <v>44294</v>
      </c>
      <c r="H2448" s="2">
        <v>1</v>
      </c>
      <c r="I2448" s="6"/>
      <c r="J2448" s="6" t="s">
        <v>3</v>
      </c>
      <c r="K2448" s="7">
        <v>1</v>
      </c>
      <c r="L2448" s="7">
        <v>448.26</v>
      </c>
      <c r="M2448" t="s">
        <v>18</v>
      </c>
      <c r="N2448" s="16">
        <f>POWER(SQRT(WorkOrders2710[[#This Row],[WorkDate]]-WorkOrders2710[[#This Row],[ReqDate]]),2)</f>
        <v>16</v>
      </c>
      <c r="O2448" s="8">
        <f t="array" ref="O2448">INDEX(TechRate,MATCH(H2448,TechNum,0))</f>
        <v>80</v>
      </c>
      <c r="P2448" s="10">
        <f>WorkOrders2710[[#This Row],[Techs]]*(WorkOrders2710[[#This Row],[PartsCost]]*WorkOrders2710[[#This Row],[LbrHrs]])</f>
        <v>448.26</v>
      </c>
      <c r="Q2448" s="10">
        <f t="shared" si="221"/>
        <v>448.26</v>
      </c>
      <c r="R2448" s="10">
        <f t="shared" si="222"/>
        <v>0</v>
      </c>
      <c r="S2448" s="10">
        <f t="shared" si="223"/>
        <v>896.52</v>
      </c>
      <c r="T2448" s="10">
        <f t="shared" si="224"/>
        <v>448.26</v>
      </c>
      <c r="U2448" s="8" t="str">
        <f t="shared" si="225"/>
        <v>Tue</v>
      </c>
      <c r="V2448" s="8" t="str">
        <f t="shared" si="226"/>
        <v>Thu</v>
      </c>
    </row>
    <row r="2449" spans="1:22" hidden="1" x14ac:dyDescent="0.25">
      <c r="A2449" t="s">
        <v>487</v>
      </c>
      <c r="B2449" t="s">
        <v>42</v>
      </c>
      <c r="C2449" t="s">
        <v>9</v>
      </c>
      <c r="D2449" t="s">
        <v>12</v>
      </c>
      <c r="F2449" s="5">
        <v>44278</v>
      </c>
      <c r="G2449" s="5">
        <v>44300</v>
      </c>
      <c r="H2449" s="2">
        <v>2</v>
      </c>
      <c r="I2449" s="6"/>
      <c r="J2449" s="6"/>
      <c r="K2449" s="7">
        <v>1</v>
      </c>
      <c r="L2449" s="7">
        <v>123.208</v>
      </c>
      <c r="M2449" t="s">
        <v>18</v>
      </c>
      <c r="N2449" s="16">
        <f>POWER(SQRT(WorkOrders2710[[#This Row],[WorkDate]]-WorkOrders2710[[#This Row],[ReqDate]]),2)</f>
        <v>22</v>
      </c>
      <c r="O2449" s="8">
        <f t="array" ref="O2449">INDEX(TechRate,MATCH(H2449,TechNum,0))</f>
        <v>140</v>
      </c>
      <c r="P2449" s="10">
        <f>WorkOrders2710[[#This Row],[Techs]]*(WorkOrders2710[[#This Row],[PartsCost]]*WorkOrders2710[[#This Row],[LbrHrs]])</f>
        <v>246.416</v>
      </c>
      <c r="Q2449" s="10">
        <f t="shared" si="221"/>
        <v>246.416</v>
      </c>
      <c r="R2449" s="10">
        <f t="shared" si="222"/>
        <v>123.208</v>
      </c>
      <c r="S2449" s="10">
        <f t="shared" si="223"/>
        <v>369.62400000000002</v>
      </c>
      <c r="T2449" s="10">
        <f t="shared" si="224"/>
        <v>369.62400000000002</v>
      </c>
      <c r="U2449" s="8" t="str">
        <f t="shared" si="225"/>
        <v>Tue</v>
      </c>
      <c r="V2449" s="8" t="str">
        <f t="shared" si="226"/>
        <v>Wed</v>
      </c>
    </row>
    <row r="2450" spans="1:22" hidden="1" x14ac:dyDescent="0.25">
      <c r="A2450" t="s">
        <v>488</v>
      </c>
      <c r="B2450" t="s">
        <v>34</v>
      </c>
      <c r="C2450" t="s">
        <v>8</v>
      </c>
      <c r="D2450" t="s">
        <v>11</v>
      </c>
      <c r="F2450" s="5">
        <v>44278</v>
      </c>
      <c r="G2450" s="5">
        <v>44298</v>
      </c>
      <c r="H2450" s="2">
        <v>1</v>
      </c>
      <c r="I2450" s="6"/>
      <c r="J2450" s="6"/>
      <c r="K2450" s="7">
        <v>0.25</v>
      </c>
      <c r="L2450" s="7">
        <v>77.290000000000006</v>
      </c>
      <c r="M2450" t="s">
        <v>18</v>
      </c>
      <c r="N2450" s="16">
        <f>POWER(SQRT(WorkOrders2710[[#This Row],[WorkDate]]-WorkOrders2710[[#This Row],[ReqDate]]),2)</f>
        <v>20.000000000000004</v>
      </c>
      <c r="O2450" s="8">
        <f t="array" ref="O2450">INDEX(TechRate,MATCH(H2450,TechNum,0))</f>
        <v>80</v>
      </c>
      <c r="P2450" s="10">
        <f>WorkOrders2710[[#This Row],[Techs]]*(WorkOrders2710[[#This Row],[PartsCost]]*WorkOrders2710[[#This Row],[LbrHrs]])</f>
        <v>19.322500000000002</v>
      </c>
      <c r="Q2450" s="10">
        <f t="shared" si="221"/>
        <v>19.322500000000002</v>
      </c>
      <c r="R2450" s="10">
        <f t="shared" si="222"/>
        <v>77.290000000000006</v>
      </c>
      <c r="S2450" s="10">
        <f t="shared" si="223"/>
        <v>96.612500000000011</v>
      </c>
      <c r="T2450" s="10">
        <f t="shared" si="224"/>
        <v>96.612500000000011</v>
      </c>
      <c r="U2450" s="8" t="str">
        <f t="shared" si="225"/>
        <v>Tue</v>
      </c>
      <c r="V2450" s="8" t="str">
        <f t="shared" si="226"/>
        <v>Mon</v>
      </c>
    </row>
    <row r="2451" spans="1:22" hidden="1" x14ac:dyDescent="0.25">
      <c r="A2451" t="s">
        <v>489</v>
      </c>
      <c r="B2451" t="s">
        <v>36</v>
      </c>
      <c r="C2451" t="s">
        <v>7</v>
      </c>
      <c r="D2451" t="s">
        <v>1</v>
      </c>
      <c r="F2451" s="5">
        <v>44278</v>
      </c>
      <c r="G2451" s="5">
        <v>44298</v>
      </c>
      <c r="H2451" s="2">
        <v>2</v>
      </c>
      <c r="I2451" s="6" t="s">
        <v>3</v>
      </c>
      <c r="J2451" s="6" t="s">
        <v>3</v>
      </c>
      <c r="K2451" s="7">
        <v>1</v>
      </c>
      <c r="L2451" s="7">
        <v>360</v>
      </c>
      <c r="M2451" t="s">
        <v>20</v>
      </c>
      <c r="N2451" s="16">
        <f>POWER(SQRT(WorkOrders2710[[#This Row],[WorkDate]]-WorkOrders2710[[#This Row],[ReqDate]]),2)</f>
        <v>20.000000000000004</v>
      </c>
      <c r="O2451" s="8">
        <f t="array" ref="O2451">INDEX(TechRate,MATCH(H2451,TechNum,0))</f>
        <v>140</v>
      </c>
      <c r="P2451" s="10">
        <f>WorkOrders2710[[#This Row],[Techs]]*(WorkOrders2710[[#This Row],[PartsCost]]*WorkOrders2710[[#This Row],[LbrHrs]])</f>
        <v>720</v>
      </c>
      <c r="Q2451" s="10">
        <f t="shared" si="221"/>
        <v>0</v>
      </c>
      <c r="R2451" s="10">
        <f t="shared" si="222"/>
        <v>0</v>
      </c>
      <c r="S2451" s="10">
        <f t="shared" si="223"/>
        <v>1080</v>
      </c>
      <c r="T2451" s="10">
        <f t="shared" si="224"/>
        <v>0</v>
      </c>
      <c r="U2451" s="8" t="str">
        <f t="shared" si="225"/>
        <v>Tue</v>
      </c>
      <c r="V2451" s="8" t="str">
        <f t="shared" si="226"/>
        <v>Mon</v>
      </c>
    </row>
    <row r="2452" spans="1:22" hidden="1" x14ac:dyDescent="0.25">
      <c r="A2452" t="s">
        <v>490</v>
      </c>
      <c r="B2452" t="s">
        <v>35</v>
      </c>
      <c r="C2452" t="s">
        <v>9</v>
      </c>
      <c r="D2452" t="s">
        <v>2</v>
      </c>
      <c r="F2452" s="5">
        <v>44278</v>
      </c>
      <c r="G2452" s="5">
        <v>44329</v>
      </c>
      <c r="H2452" s="2">
        <v>2</v>
      </c>
      <c r="I2452" s="6"/>
      <c r="J2452" s="6"/>
      <c r="K2452" s="7">
        <v>3.5</v>
      </c>
      <c r="L2452" s="7">
        <v>653.00080000000003</v>
      </c>
      <c r="M2452" t="s">
        <v>18</v>
      </c>
      <c r="N2452" s="16">
        <f>POWER(SQRT(WorkOrders2710[[#This Row],[WorkDate]]-WorkOrders2710[[#This Row],[ReqDate]]),2)</f>
        <v>51.000000000000007</v>
      </c>
      <c r="O2452" s="8">
        <f t="array" ref="O2452">INDEX(TechRate,MATCH(H2452,TechNum,0))</f>
        <v>140</v>
      </c>
      <c r="P2452" s="10">
        <f>WorkOrders2710[[#This Row],[Techs]]*(WorkOrders2710[[#This Row],[PartsCost]]*WorkOrders2710[[#This Row],[LbrHrs]])</f>
        <v>4571.0056000000004</v>
      </c>
      <c r="Q2452" s="10">
        <f t="shared" si="221"/>
        <v>4571.0056000000004</v>
      </c>
      <c r="R2452" s="10">
        <f t="shared" si="222"/>
        <v>653.00080000000003</v>
      </c>
      <c r="S2452" s="10">
        <f t="shared" si="223"/>
        <v>5224.0064000000002</v>
      </c>
      <c r="T2452" s="10">
        <f t="shared" si="224"/>
        <v>5224.0064000000002</v>
      </c>
      <c r="U2452" s="8" t="str">
        <f t="shared" si="225"/>
        <v>Tue</v>
      </c>
      <c r="V2452" s="8" t="str">
        <f t="shared" si="226"/>
        <v>Thu</v>
      </c>
    </row>
    <row r="2453" spans="1:22" hidden="1" x14ac:dyDescent="0.25">
      <c r="A2453" t="s">
        <v>491</v>
      </c>
      <c r="B2453" t="s">
        <v>37</v>
      </c>
      <c r="C2453" t="s">
        <v>43</v>
      </c>
      <c r="D2453" t="s">
        <v>1</v>
      </c>
      <c r="F2453" s="5">
        <v>44279</v>
      </c>
      <c r="G2453" s="5">
        <v>44292</v>
      </c>
      <c r="H2453" s="2">
        <v>1</v>
      </c>
      <c r="I2453" s="6"/>
      <c r="J2453" s="6"/>
      <c r="K2453" s="7">
        <v>1.5</v>
      </c>
      <c r="L2453" s="7">
        <v>118.3</v>
      </c>
      <c r="M2453" t="s">
        <v>17</v>
      </c>
      <c r="N2453" s="16">
        <f>POWER(SQRT(WorkOrders2710[[#This Row],[WorkDate]]-WorkOrders2710[[#This Row],[ReqDate]]),2)</f>
        <v>12.999999999999998</v>
      </c>
      <c r="O2453" s="8">
        <f t="array" ref="O2453">INDEX(TechRate,MATCH(H2453,TechNum,0))</f>
        <v>80</v>
      </c>
      <c r="P2453" s="10">
        <f>WorkOrders2710[[#This Row],[Techs]]*(WorkOrders2710[[#This Row],[PartsCost]]*WorkOrders2710[[#This Row],[LbrHrs]])</f>
        <v>177.45</v>
      </c>
      <c r="Q2453" s="10">
        <f t="shared" si="221"/>
        <v>177.45</v>
      </c>
      <c r="R2453" s="10">
        <f t="shared" si="222"/>
        <v>118.3</v>
      </c>
      <c r="S2453" s="10">
        <f t="shared" si="223"/>
        <v>295.75</v>
      </c>
      <c r="T2453" s="10">
        <f t="shared" si="224"/>
        <v>295.75</v>
      </c>
      <c r="U2453" s="8" t="str">
        <f t="shared" si="225"/>
        <v>Wed</v>
      </c>
      <c r="V2453" s="8" t="str">
        <f t="shared" si="226"/>
        <v>Tue</v>
      </c>
    </row>
    <row r="2454" spans="1:22" hidden="1" x14ac:dyDescent="0.25">
      <c r="A2454" t="s">
        <v>492</v>
      </c>
      <c r="B2454" t="s">
        <v>42</v>
      </c>
      <c r="C2454" t="s">
        <v>7</v>
      </c>
      <c r="D2454" t="s">
        <v>2</v>
      </c>
      <c r="F2454" s="5">
        <v>44279</v>
      </c>
      <c r="G2454" s="5">
        <v>44358</v>
      </c>
      <c r="H2454" s="2">
        <v>2</v>
      </c>
      <c r="I2454" s="6"/>
      <c r="J2454" s="6" t="s">
        <v>3</v>
      </c>
      <c r="K2454" s="7">
        <v>2.5</v>
      </c>
      <c r="L2454" s="7">
        <v>1480.3623</v>
      </c>
      <c r="M2454" t="s">
        <v>18</v>
      </c>
      <c r="N2454" s="16">
        <f>POWER(SQRT(WorkOrders2710[[#This Row],[WorkDate]]-WorkOrders2710[[#This Row],[ReqDate]]),2)</f>
        <v>79</v>
      </c>
      <c r="O2454" s="8">
        <f t="array" ref="O2454">INDEX(TechRate,MATCH(H2454,TechNum,0))</f>
        <v>140</v>
      </c>
      <c r="P2454" s="10">
        <f>WorkOrders2710[[#This Row],[Techs]]*(WorkOrders2710[[#This Row],[PartsCost]]*WorkOrders2710[[#This Row],[LbrHrs]])</f>
        <v>7401.8114999999998</v>
      </c>
      <c r="Q2454" s="10">
        <f t="shared" si="221"/>
        <v>7401.8114999999998</v>
      </c>
      <c r="R2454" s="10">
        <f t="shared" si="222"/>
        <v>0</v>
      </c>
      <c r="S2454" s="10">
        <f t="shared" si="223"/>
        <v>8882.1738000000005</v>
      </c>
      <c r="T2454" s="10">
        <f t="shared" si="224"/>
        <v>7401.8114999999998</v>
      </c>
      <c r="U2454" s="8" t="str">
        <f t="shared" si="225"/>
        <v>Wed</v>
      </c>
      <c r="V2454" s="8" t="str">
        <f t="shared" si="226"/>
        <v>Fri</v>
      </c>
    </row>
    <row r="2455" spans="1:22" hidden="1" x14ac:dyDescent="0.25">
      <c r="A2455" t="s">
        <v>493</v>
      </c>
      <c r="B2455" t="s">
        <v>40</v>
      </c>
      <c r="C2455" t="s">
        <v>7</v>
      </c>
      <c r="D2455" t="s">
        <v>2</v>
      </c>
      <c r="F2455" s="5">
        <v>44280</v>
      </c>
      <c r="G2455" s="5">
        <v>44327</v>
      </c>
      <c r="H2455" s="2">
        <v>2</v>
      </c>
      <c r="I2455" s="6"/>
      <c r="J2455" s="6"/>
      <c r="K2455" s="7">
        <v>2.5</v>
      </c>
      <c r="L2455" s="7">
        <v>837.1567</v>
      </c>
      <c r="M2455" t="s">
        <v>18</v>
      </c>
      <c r="N2455" s="16">
        <f>POWER(SQRT(WorkOrders2710[[#This Row],[WorkDate]]-WorkOrders2710[[#This Row],[ReqDate]]),2)</f>
        <v>47</v>
      </c>
      <c r="O2455" s="8">
        <f t="array" ref="O2455">INDEX(TechRate,MATCH(H2455,TechNum,0))</f>
        <v>140</v>
      </c>
      <c r="P2455" s="10">
        <f>WorkOrders2710[[#This Row],[Techs]]*(WorkOrders2710[[#This Row],[PartsCost]]*WorkOrders2710[[#This Row],[LbrHrs]])</f>
        <v>4185.7834999999995</v>
      </c>
      <c r="Q2455" s="10">
        <f t="shared" si="221"/>
        <v>4185.7834999999995</v>
      </c>
      <c r="R2455" s="10">
        <f t="shared" si="222"/>
        <v>837.1567</v>
      </c>
      <c r="S2455" s="10">
        <f t="shared" si="223"/>
        <v>5022.9401999999991</v>
      </c>
      <c r="T2455" s="10">
        <f t="shared" si="224"/>
        <v>5022.9401999999991</v>
      </c>
      <c r="U2455" s="8" t="str">
        <f t="shared" si="225"/>
        <v>Thu</v>
      </c>
      <c r="V2455" s="8" t="str">
        <f t="shared" si="226"/>
        <v>Tue</v>
      </c>
    </row>
    <row r="2456" spans="1:22" hidden="1" x14ac:dyDescent="0.25">
      <c r="A2456" t="s">
        <v>494</v>
      </c>
      <c r="B2456" t="s">
        <v>36</v>
      </c>
      <c r="C2456" t="s">
        <v>7</v>
      </c>
      <c r="D2456" t="s">
        <v>2</v>
      </c>
      <c r="F2456" s="5">
        <v>44282</v>
      </c>
      <c r="G2456" s="5">
        <v>44377</v>
      </c>
      <c r="H2456" s="2">
        <v>2</v>
      </c>
      <c r="I2456" s="6"/>
      <c r="J2456" s="6"/>
      <c r="K2456" s="7">
        <v>1.75</v>
      </c>
      <c r="L2456" s="7">
        <v>242.6396</v>
      </c>
      <c r="M2456" t="s">
        <v>18</v>
      </c>
      <c r="N2456" s="16">
        <f>POWER(SQRT(WorkOrders2710[[#This Row],[WorkDate]]-WorkOrders2710[[#This Row],[ReqDate]]),2)</f>
        <v>94.999999999999986</v>
      </c>
      <c r="O2456" s="8">
        <f t="array" ref="O2456">INDEX(TechRate,MATCH(H2456,TechNum,0))</f>
        <v>140</v>
      </c>
      <c r="P2456" s="10">
        <f>WorkOrders2710[[#This Row],[Techs]]*(WorkOrders2710[[#This Row],[PartsCost]]*WorkOrders2710[[#This Row],[LbrHrs]])</f>
        <v>849.23860000000002</v>
      </c>
      <c r="Q2456" s="10">
        <f t="shared" si="221"/>
        <v>849.23860000000002</v>
      </c>
      <c r="R2456" s="10">
        <f t="shared" si="222"/>
        <v>242.6396</v>
      </c>
      <c r="S2456" s="10">
        <f t="shared" si="223"/>
        <v>1091.8782000000001</v>
      </c>
      <c r="T2456" s="10">
        <f t="shared" si="224"/>
        <v>1091.8782000000001</v>
      </c>
      <c r="U2456" s="8" t="str">
        <f t="shared" si="225"/>
        <v>Sat</v>
      </c>
      <c r="V2456" s="8" t="str">
        <f t="shared" si="226"/>
        <v>Wed</v>
      </c>
    </row>
    <row r="2457" spans="1:22" hidden="1" x14ac:dyDescent="0.25">
      <c r="A2457" t="s">
        <v>495</v>
      </c>
      <c r="B2457" t="s">
        <v>39</v>
      </c>
      <c r="C2457" t="s">
        <v>44</v>
      </c>
      <c r="D2457" t="s">
        <v>2</v>
      </c>
      <c r="F2457" s="5">
        <v>44284</v>
      </c>
      <c r="G2457" s="5">
        <v>44293</v>
      </c>
      <c r="H2457" s="2">
        <v>1</v>
      </c>
      <c r="I2457" s="6"/>
      <c r="J2457" s="6" t="s">
        <v>3</v>
      </c>
      <c r="K2457" s="7">
        <v>2</v>
      </c>
      <c r="L2457" s="7">
        <v>262.02800000000002</v>
      </c>
      <c r="M2457" t="s">
        <v>18</v>
      </c>
      <c r="N2457" s="16">
        <f>POWER(SQRT(WorkOrders2710[[#This Row],[WorkDate]]-WorkOrders2710[[#This Row],[ReqDate]]),2)</f>
        <v>9</v>
      </c>
      <c r="O2457" s="8">
        <f t="array" ref="O2457">INDEX(TechRate,MATCH(H2457,TechNum,0))</f>
        <v>80</v>
      </c>
      <c r="P2457" s="10">
        <f>WorkOrders2710[[#This Row],[Techs]]*(WorkOrders2710[[#This Row],[PartsCost]]*WorkOrders2710[[#This Row],[LbrHrs]])</f>
        <v>524.05600000000004</v>
      </c>
      <c r="Q2457" s="10">
        <f t="shared" ref="Q2457:Q2507" si="227">IF(I2457="Yes",0,P2457)</f>
        <v>524.05600000000004</v>
      </c>
      <c r="R2457" s="10">
        <f t="shared" ref="R2457:R2507" si="228">IF(J2457="Yes",0,L2457)</f>
        <v>0</v>
      </c>
      <c r="S2457" s="10">
        <f t="shared" ref="S2457:S2507" si="229">SUM(L2457,P2457)</f>
        <v>786.08400000000006</v>
      </c>
      <c r="T2457" s="10">
        <f t="shared" ref="T2457:T2507" si="230">SUM(Q2457,R2457)</f>
        <v>524.05600000000004</v>
      </c>
      <c r="U2457" s="8" t="str">
        <f t="shared" ref="U2457:U2507" si="231">TEXT(F2457,"ddd")</f>
        <v>Mon</v>
      </c>
      <c r="V2457" s="8" t="str">
        <f t="shared" ref="V2457:V2507" si="232">TEXT(G2457,"ddd")</f>
        <v>Wed</v>
      </c>
    </row>
    <row r="2458" spans="1:22" hidden="1" x14ac:dyDescent="0.25">
      <c r="A2458" t="s">
        <v>496</v>
      </c>
      <c r="B2458" t="s">
        <v>39</v>
      </c>
      <c r="C2458" t="s">
        <v>8</v>
      </c>
      <c r="D2458" t="s">
        <v>1</v>
      </c>
      <c r="F2458" s="5">
        <v>44284</v>
      </c>
      <c r="G2458" s="5">
        <v>44375</v>
      </c>
      <c r="H2458" s="2">
        <v>1</v>
      </c>
      <c r="I2458" s="6"/>
      <c r="J2458" s="6"/>
      <c r="K2458" s="7">
        <v>1.75</v>
      </c>
      <c r="L2458" s="7">
        <v>473.60329999999999</v>
      </c>
      <c r="M2458" t="s">
        <v>18</v>
      </c>
      <c r="N2458" s="16">
        <f>POWER(SQRT(WorkOrders2710[[#This Row],[WorkDate]]-WorkOrders2710[[#This Row],[ReqDate]]),2)</f>
        <v>91</v>
      </c>
      <c r="O2458" s="8">
        <f t="array" ref="O2458">INDEX(TechRate,MATCH(H2458,TechNum,0))</f>
        <v>80</v>
      </c>
      <c r="P2458" s="10">
        <f>WorkOrders2710[[#This Row],[Techs]]*(WorkOrders2710[[#This Row],[PartsCost]]*WorkOrders2710[[#This Row],[LbrHrs]])</f>
        <v>828.80577500000004</v>
      </c>
      <c r="Q2458" s="10">
        <f t="shared" si="227"/>
        <v>828.80577500000004</v>
      </c>
      <c r="R2458" s="10">
        <f t="shared" si="228"/>
        <v>473.60329999999999</v>
      </c>
      <c r="S2458" s="10">
        <f t="shared" si="229"/>
        <v>1302.409075</v>
      </c>
      <c r="T2458" s="10">
        <f t="shared" si="230"/>
        <v>1302.409075</v>
      </c>
      <c r="U2458" s="8" t="str">
        <f t="shared" si="231"/>
        <v>Mon</v>
      </c>
      <c r="V2458" s="8" t="str">
        <f t="shared" si="232"/>
        <v>Mon</v>
      </c>
    </row>
    <row r="2459" spans="1:22" hidden="1" x14ac:dyDescent="0.25">
      <c r="A2459" t="s">
        <v>497</v>
      </c>
      <c r="B2459" t="s">
        <v>34</v>
      </c>
      <c r="C2459" t="s">
        <v>8</v>
      </c>
      <c r="D2459" t="s">
        <v>2</v>
      </c>
      <c r="F2459" s="5">
        <v>44285</v>
      </c>
      <c r="G2459" s="5">
        <v>44328</v>
      </c>
      <c r="H2459" s="2">
        <v>1</v>
      </c>
      <c r="I2459" s="6"/>
      <c r="J2459" s="6"/>
      <c r="K2459" s="7">
        <v>2.75</v>
      </c>
      <c r="L2459" s="7">
        <v>708.02269999999999</v>
      </c>
      <c r="M2459" t="s">
        <v>18</v>
      </c>
      <c r="N2459" s="16">
        <f>POWER(SQRT(WorkOrders2710[[#This Row],[WorkDate]]-WorkOrders2710[[#This Row],[ReqDate]]),2)</f>
        <v>42.999999999999993</v>
      </c>
      <c r="O2459" s="8">
        <f t="array" ref="O2459">INDEX(TechRate,MATCH(H2459,TechNum,0))</f>
        <v>80</v>
      </c>
      <c r="P2459" s="10">
        <f>WorkOrders2710[[#This Row],[Techs]]*(WorkOrders2710[[#This Row],[PartsCost]]*WorkOrders2710[[#This Row],[LbrHrs]])</f>
        <v>1947.0624250000001</v>
      </c>
      <c r="Q2459" s="10">
        <f t="shared" si="227"/>
        <v>1947.0624250000001</v>
      </c>
      <c r="R2459" s="10">
        <f t="shared" si="228"/>
        <v>708.02269999999999</v>
      </c>
      <c r="S2459" s="10">
        <f t="shared" si="229"/>
        <v>2655.0851250000001</v>
      </c>
      <c r="T2459" s="10">
        <f t="shared" si="230"/>
        <v>2655.0851250000001</v>
      </c>
      <c r="U2459" s="8" t="str">
        <f t="shared" si="231"/>
        <v>Tue</v>
      </c>
      <c r="V2459" s="8" t="str">
        <f t="shared" si="232"/>
        <v>Wed</v>
      </c>
    </row>
    <row r="2460" spans="1:22" hidden="1" x14ac:dyDescent="0.25">
      <c r="A2460" t="s">
        <v>498</v>
      </c>
      <c r="B2460" t="s">
        <v>34</v>
      </c>
      <c r="C2460" t="s">
        <v>9</v>
      </c>
      <c r="D2460" t="s">
        <v>13</v>
      </c>
      <c r="F2460" s="5">
        <v>44286</v>
      </c>
      <c r="G2460" s="5">
        <v>44292</v>
      </c>
      <c r="H2460" s="2">
        <v>1</v>
      </c>
      <c r="I2460" s="6"/>
      <c r="J2460" s="6"/>
      <c r="K2460" s="7">
        <v>0.5</v>
      </c>
      <c r="L2460" s="7">
        <v>13.321400000000001</v>
      </c>
      <c r="M2460" t="s">
        <v>18</v>
      </c>
      <c r="N2460" s="16">
        <f>POWER(SQRT(WorkOrders2710[[#This Row],[WorkDate]]-WorkOrders2710[[#This Row],[ReqDate]]),2)</f>
        <v>5.9999999999999991</v>
      </c>
      <c r="O2460" s="8">
        <f t="array" ref="O2460">INDEX(TechRate,MATCH(H2460,TechNum,0))</f>
        <v>80</v>
      </c>
      <c r="P2460" s="10">
        <f>WorkOrders2710[[#This Row],[Techs]]*(WorkOrders2710[[#This Row],[PartsCost]]*WorkOrders2710[[#This Row],[LbrHrs]])</f>
        <v>6.6607000000000003</v>
      </c>
      <c r="Q2460" s="10">
        <f t="shared" si="227"/>
        <v>6.6607000000000003</v>
      </c>
      <c r="R2460" s="10">
        <f t="shared" si="228"/>
        <v>13.321400000000001</v>
      </c>
      <c r="S2460" s="10">
        <f t="shared" si="229"/>
        <v>19.982100000000003</v>
      </c>
      <c r="T2460" s="10">
        <f t="shared" si="230"/>
        <v>19.982100000000003</v>
      </c>
      <c r="U2460" s="8" t="str">
        <f t="shared" si="231"/>
        <v>Wed</v>
      </c>
      <c r="V2460" s="8" t="str">
        <f t="shared" si="232"/>
        <v>Tue</v>
      </c>
    </row>
    <row r="2461" spans="1:22" hidden="1" x14ac:dyDescent="0.25">
      <c r="A2461" t="s">
        <v>499</v>
      </c>
      <c r="B2461" t="s">
        <v>42</v>
      </c>
      <c r="C2461" t="s">
        <v>9</v>
      </c>
      <c r="D2461" t="s">
        <v>13</v>
      </c>
      <c r="E2461" t="s">
        <v>3</v>
      </c>
      <c r="F2461" s="5">
        <v>44286</v>
      </c>
      <c r="G2461" s="5">
        <v>44307</v>
      </c>
      <c r="H2461" s="2">
        <v>1</v>
      </c>
      <c r="I2461" s="6"/>
      <c r="J2461" s="6"/>
      <c r="K2461" s="7">
        <v>0.75</v>
      </c>
      <c r="L2461" s="7">
        <v>51.29</v>
      </c>
      <c r="M2461" t="s">
        <v>18</v>
      </c>
      <c r="N2461" s="16">
        <f>POWER(SQRT(WorkOrders2710[[#This Row],[WorkDate]]-WorkOrders2710[[#This Row],[ReqDate]]),2)</f>
        <v>21</v>
      </c>
      <c r="O2461" s="8">
        <f t="array" ref="O2461">INDEX(TechRate,MATCH(H2461,TechNum,0))</f>
        <v>80</v>
      </c>
      <c r="P2461" s="10">
        <f>WorkOrders2710[[#This Row],[Techs]]*(WorkOrders2710[[#This Row],[PartsCost]]*WorkOrders2710[[#This Row],[LbrHrs]])</f>
        <v>38.467500000000001</v>
      </c>
      <c r="Q2461" s="10">
        <f t="shared" si="227"/>
        <v>38.467500000000001</v>
      </c>
      <c r="R2461" s="10">
        <f t="shared" si="228"/>
        <v>51.29</v>
      </c>
      <c r="S2461" s="10">
        <f t="shared" si="229"/>
        <v>89.757499999999993</v>
      </c>
      <c r="T2461" s="10">
        <f t="shared" si="230"/>
        <v>89.757499999999993</v>
      </c>
      <c r="U2461" s="8" t="str">
        <f t="shared" si="231"/>
        <v>Wed</v>
      </c>
      <c r="V2461" s="8" t="str">
        <f t="shared" si="232"/>
        <v>Wed</v>
      </c>
    </row>
    <row r="2462" spans="1:22" hidden="1" x14ac:dyDescent="0.25">
      <c r="A2462" t="s">
        <v>500</v>
      </c>
      <c r="B2462" t="s">
        <v>36</v>
      </c>
      <c r="C2462" t="s">
        <v>7</v>
      </c>
      <c r="D2462" t="s">
        <v>11</v>
      </c>
      <c r="F2462" s="5">
        <v>44287</v>
      </c>
      <c r="G2462" s="5">
        <v>44302</v>
      </c>
      <c r="H2462" s="2">
        <v>1</v>
      </c>
      <c r="I2462" s="6"/>
      <c r="J2462" s="6"/>
      <c r="K2462" s="7">
        <v>0.25</v>
      </c>
      <c r="L2462" s="7">
        <v>89.5</v>
      </c>
      <c r="M2462" t="s">
        <v>17</v>
      </c>
      <c r="N2462" s="16">
        <f>POWER(SQRT(WorkOrders2710[[#This Row],[WorkDate]]-WorkOrders2710[[#This Row],[ReqDate]]),2)</f>
        <v>15.000000000000002</v>
      </c>
      <c r="O2462" s="8">
        <f t="array" ref="O2462">INDEX(TechRate,MATCH(H2462,TechNum,0))</f>
        <v>80</v>
      </c>
      <c r="P2462" s="10">
        <f>WorkOrders2710[[#This Row],[Techs]]*(WorkOrders2710[[#This Row],[PartsCost]]*WorkOrders2710[[#This Row],[LbrHrs]])</f>
        <v>22.375</v>
      </c>
      <c r="Q2462" s="10">
        <f t="shared" si="227"/>
        <v>22.375</v>
      </c>
      <c r="R2462" s="10">
        <f t="shared" si="228"/>
        <v>89.5</v>
      </c>
      <c r="S2462" s="10">
        <f t="shared" si="229"/>
        <v>111.875</v>
      </c>
      <c r="T2462" s="10">
        <f t="shared" si="230"/>
        <v>111.875</v>
      </c>
      <c r="U2462" s="8" t="str">
        <f t="shared" si="231"/>
        <v>Thu</v>
      </c>
      <c r="V2462" s="8" t="str">
        <f t="shared" si="232"/>
        <v>Fri</v>
      </c>
    </row>
    <row r="2463" spans="1:22" hidden="1" x14ac:dyDescent="0.25">
      <c r="A2463" t="s">
        <v>501</v>
      </c>
      <c r="B2463" t="s">
        <v>35</v>
      </c>
      <c r="C2463" t="s">
        <v>9</v>
      </c>
      <c r="D2463" t="s">
        <v>12</v>
      </c>
      <c r="F2463" s="5">
        <v>44287</v>
      </c>
      <c r="G2463" s="5">
        <v>44298</v>
      </c>
      <c r="H2463" s="2">
        <v>1</v>
      </c>
      <c r="I2463" s="6"/>
      <c r="J2463" s="6"/>
      <c r="K2463" s="7">
        <v>0.25</v>
      </c>
      <c r="L2463" s="7">
        <v>74.532399999999996</v>
      </c>
      <c r="M2463" t="s">
        <v>19</v>
      </c>
      <c r="N2463" s="16">
        <f>POWER(SQRT(WorkOrders2710[[#This Row],[WorkDate]]-WorkOrders2710[[#This Row],[ReqDate]]),2)</f>
        <v>11</v>
      </c>
      <c r="O2463" s="8">
        <f t="array" ref="O2463">INDEX(TechRate,MATCH(H2463,TechNum,0))</f>
        <v>80</v>
      </c>
      <c r="P2463" s="10">
        <f>WorkOrders2710[[#This Row],[Techs]]*(WorkOrders2710[[#This Row],[PartsCost]]*WorkOrders2710[[#This Row],[LbrHrs]])</f>
        <v>18.633099999999999</v>
      </c>
      <c r="Q2463" s="10">
        <f t="shared" si="227"/>
        <v>18.633099999999999</v>
      </c>
      <c r="R2463" s="10">
        <f t="shared" si="228"/>
        <v>74.532399999999996</v>
      </c>
      <c r="S2463" s="10">
        <f t="shared" si="229"/>
        <v>93.165499999999994</v>
      </c>
      <c r="T2463" s="10">
        <f t="shared" si="230"/>
        <v>93.165499999999994</v>
      </c>
      <c r="U2463" s="8" t="str">
        <f t="shared" si="231"/>
        <v>Thu</v>
      </c>
      <c r="V2463" s="8" t="str">
        <f t="shared" si="232"/>
        <v>Mon</v>
      </c>
    </row>
    <row r="2464" spans="1:22" hidden="1" x14ac:dyDescent="0.25">
      <c r="A2464" t="s">
        <v>502</v>
      </c>
      <c r="B2464" t="s">
        <v>36</v>
      </c>
      <c r="C2464" t="s">
        <v>7</v>
      </c>
      <c r="D2464" t="s">
        <v>2</v>
      </c>
      <c r="F2464" s="5">
        <v>44287</v>
      </c>
      <c r="G2464" s="5">
        <v>44298</v>
      </c>
      <c r="H2464" s="2">
        <v>2</v>
      </c>
      <c r="I2464" s="6"/>
      <c r="J2464" s="6"/>
      <c r="K2464" s="7">
        <v>1.5</v>
      </c>
      <c r="L2464" s="7">
        <v>64</v>
      </c>
      <c r="M2464" t="s">
        <v>17</v>
      </c>
      <c r="N2464" s="16">
        <f>POWER(SQRT(WorkOrders2710[[#This Row],[WorkDate]]-WorkOrders2710[[#This Row],[ReqDate]]),2)</f>
        <v>11</v>
      </c>
      <c r="O2464" s="8">
        <f t="array" ref="O2464">INDEX(TechRate,MATCH(H2464,TechNum,0))</f>
        <v>140</v>
      </c>
      <c r="P2464" s="10">
        <f>WorkOrders2710[[#This Row],[Techs]]*(WorkOrders2710[[#This Row],[PartsCost]]*WorkOrders2710[[#This Row],[LbrHrs]])</f>
        <v>192</v>
      </c>
      <c r="Q2464" s="10">
        <f t="shared" si="227"/>
        <v>192</v>
      </c>
      <c r="R2464" s="10">
        <f t="shared" si="228"/>
        <v>64</v>
      </c>
      <c r="S2464" s="10">
        <f t="shared" si="229"/>
        <v>256</v>
      </c>
      <c r="T2464" s="10">
        <f t="shared" si="230"/>
        <v>256</v>
      </c>
      <c r="U2464" s="8" t="str">
        <f t="shared" si="231"/>
        <v>Thu</v>
      </c>
      <c r="V2464" s="8" t="str">
        <f t="shared" si="232"/>
        <v>Mon</v>
      </c>
    </row>
    <row r="2465" spans="1:22" hidden="1" x14ac:dyDescent="0.25">
      <c r="A2465" t="s">
        <v>503</v>
      </c>
      <c r="B2465" t="s">
        <v>35</v>
      </c>
      <c r="C2465" t="s">
        <v>8</v>
      </c>
      <c r="D2465" t="s">
        <v>12</v>
      </c>
      <c r="E2465" t="s">
        <v>3</v>
      </c>
      <c r="F2465" s="5">
        <v>44287</v>
      </c>
      <c r="G2465" s="5">
        <v>44300</v>
      </c>
      <c r="H2465" s="2">
        <v>1</v>
      </c>
      <c r="I2465" s="6"/>
      <c r="J2465" s="6"/>
      <c r="K2465" s="7">
        <v>0.25</v>
      </c>
      <c r="L2465" s="7">
        <v>23.401</v>
      </c>
      <c r="M2465" t="s">
        <v>17</v>
      </c>
      <c r="N2465" s="16">
        <f>POWER(SQRT(WorkOrders2710[[#This Row],[WorkDate]]-WorkOrders2710[[#This Row],[ReqDate]]),2)</f>
        <v>12.999999999999998</v>
      </c>
      <c r="O2465" s="8">
        <f t="array" ref="O2465">INDEX(TechRate,MATCH(H2465,TechNum,0))</f>
        <v>80</v>
      </c>
      <c r="P2465" s="10">
        <f>WorkOrders2710[[#This Row],[Techs]]*(WorkOrders2710[[#This Row],[PartsCost]]*WorkOrders2710[[#This Row],[LbrHrs]])</f>
        <v>5.85025</v>
      </c>
      <c r="Q2465" s="10">
        <f t="shared" si="227"/>
        <v>5.85025</v>
      </c>
      <c r="R2465" s="10">
        <f t="shared" si="228"/>
        <v>23.401</v>
      </c>
      <c r="S2465" s="10">
        <f t="shared" si="229"/>
        <v>29.251249999999999</v>
      </c>
      <c r="T2465" s="10">
        <f t="shared" si="230"/>
        <v>29.251249999999999</v>
      </c>
      <c r="U2465" s="8" t="str">
        <f t="shared" si="231"/>
        <v>Thu</v>
      </c>
      <c r="V2465" s="8" t="str">
        <f t="shared" si="232"/>
        <v>Wed</v>
      </c>
    </row>
    <row r="2466" spans="1:22" hidden="1" x14ac:dyDescent="0.25">
      <c r="A2466" t="s">
        <v>504</v>
      </c>
      <c r="B2466" t="s">
        <v>40</v>
      </c>
      <c r="C2466" t="s">
        <v>7</v>
      </c>
      <c r="D2466" t="s">
        <v>12</v>
      </c>
      <c r="F2466" s="5">
        <v>44287</v>
      </c>
      <c r="G2466" s="5">
        <v>44312</v>
      </c>
      <c r="H2466" s="2">
        <v>2</v>
      </c>
      <c r="I2466" s="6"/>
      <c r="J2466" s="6"/>
      <c r="K2466" s="7">
        <v>0.25</v>
      </c>
      <c r="L2466" s="7">
        <v>17.13</v>
      </c>
      <c r="M2466" t="s">
        <v>17</v>
      </c>
      <c r="N2466" s="16">
        <f>POWER(SQRT(WorkOrders2710[[#This Row],[WorkDate]]-WorkOrders2710[[#This Row],[ReqDate]]),2)</f>
        <v>25</v>
      </c>
      <c r="O2466" s="8">
        <f t="array" ref="O2466">INDEX(TechRate,MATCH(H2466,TechNum,0))</f>
        <v>140</v>
      </c>
      <c r="P2466" s="10">
        <f>WorkOrders2710[[#This Row],[Techs]]*(WorkOrders2710[[#This Row],[PartsCost]]*WorkOrders2710[[#This Row],[LbrHrs]])</f>
        <v>8.5649999999999995</v>
      </c>
      <c r="Q2466" s="10">
        <f t="shared" si="227"/>
        <v>8.5649999999999995</v>
      </c>
      <c r="R2466" s="10">
        <f t="shared" si="228"/>
        <v>17.13</v>
      </c>
      <c r="S2466" s="10">
        <f t="shared" si="229"/>
        <v>25.695</v>
      </c>
      <c r="T2466" s="10">
        <f t="shared" si="230"/>
        <v>25.695</v>
      </c>
      <c r="U2466" s="8" t="str">
        <f t="shared" si="231"/>
        <v>Thu</v>
      </c>
      <c r="V2466" s="8" t="str">
        <f t="shared" si="232"/>
        <v>Mon</v>
      </c>
    </row>
    <row r="2467" spans="1:22" hidden="1" x14ac:dyDescent="0.25">
      <c r="A2467" t="s">
        <v>505</v>
      </c>
      <c r="B2467" t="s">
        <v>38</v>
      </c>
      <c r="C2467" t="s">
        <v>43</v>
      </c>
      <c r="D2467" t="s">
        <v>12</v>
      </c>
      <c r="F2467" s="5">
        <v>44287</v>
      </c>
      <c r="G2467" s="5">
        <v>44315</v>
      </c>
      <c r="H2467" s="2">
        <v>1</v>
      </c>
      <c r="I2467" s="6"/>
      <c r="J2467" s="6"/>
      <c r="K2467" s="7">
        <v>0.5</v>
      </c>
      <c r="L2467" s="7">
        <v>149.5</v>
      </c>
      <c r="M2467" t="s">
        <v>19</v>
      </c>
      <c r="N2467" s="16">
        <f>POWER(SQRT(WorkOrders2710[[#This Row],[WorkDate]]-WorkOrders2710[[#This Row],[ReqDate]]),2)</f>
        <v>28.000000000000004</v>
      </c>
      <c r="O2467" s="8">
        <f t="array" ref="O2467">INDEX(TechRate,MATCH(H2467,TechNum,0))</f>
        <v>80</v>
      </c>
      <c r="P2467" s="10">
        <f>WorkOrders2710[[#This Row],[Techs]]*(WorkOrders2710[[#This Row],[PartsCost]]*WorkOrders2710[[#This Row],[LbrHrs]])</f>
        <v>74.75</v>
      </c>
      <c r="Q2467" s="10">
        <f t="shared" si="227"/>
        <v>74.75</v>
      </c>
      <c r="R2467" s="10">
        <f t="shared" si="228"/>
        <v>149.5</v>
      </c>
      <c r="S2467" s="10">
        <f t="shared" si="229"/>
        <v>224.25</v>
      </c>
      <c r="T2467" s="10">
        <f t="shared" si="230"/>
        <v>224.25</v>
      </c>
      <c r="U2467" s="8" t="str">
        <f t="shared" si="231"/>
        <v>Thu</v>
      </c>
      <c r="V2467" s="8" t="str">
        <f t="shared" si="232"/>
        <v>Thu</v>
      </c>
    </row>
    <row r="2468" spans="1:22" hidden="1" x14ac:dyDescent="0.25">
      <c r="A2468" t="s">
        <v>506</v>
      </c>
      <c r="B2468" t="s">
        <v>35</v>
      </c>
      <c r="C2468" t="s">
        <v>9</v>
      </c>
      <c r="D2468" t="s">
        <v>12</v>
      </c>
      <c r="F2468" s="5">
        <v>44288</v>
      </c>
      <c r="G2468" s="5">
        <v>44312</v>
      </c>
      <c r="H2468" s="2">
        <v>1</v>
      </c>
      <c r="I2468" s="6"/>
      <c r="J2468" s="6"/>
      <c r="K2468" s="7">
        <v>0.5</v>
      </c>
      <c r="L2468" s="7">
        <v>163.197</v>
      </c>
      <c r="M2468" t="s">
        <v>19</v>
      </c>
      <c r="N2468" s="16">
        <f>POWER(SQRT(WorkOrders2710[[#This Row],[WorkDate]]-WorkOrders2710[[#This Row],[ReqDate]]),2)</f>
        <v>23.999999999999996</v>
      </c>
      <c r="O2468" s="8">
        <f t="array" ref="O2468">INDEX(TechRate,MATCH(H2468,TechNum,0))</f>
        <v>80</v>
      </c>
      <c r="P2468" s="10">
        <f>WorkOrders2710[[#This Row],[Techs]]*(WorkOrders2710[[#This Row],[PartsCost]]*WorkOrders2710[[#This Row],[LbrHrs]])</f>
        <v>81.598500000000001</v>
      </c>
      <c r="Q2468" s="10">
        <f t="shared" si="227"/>
        <v>81.598500000000001</v>
      </c>
      <c r="R2468" s="10">
        <f t="shared" si="228"/>
        <v>163.197</v>
      </c>
      <c r="S2468" s="10">
        <f t="shared" si="229"/>
        <v>244.7955</v>
      </c>
      <c r="T2468" s="10">
        <f t="shared" si="230"/>
        <v>244.7955</v>
      </c>
      <c r="U2468" s="8" t="str">
        <f t="shared" si="231"/>
        <v>Fri</v>
      </c>
      <c r="V2468" s="8" t="str">
        <f t="shared" si="232"/>
        <v>Mon</v>
      </c>
    </row>
    <row r="2469" spans="1:22" hidden="1" x14ac:dyDescent="0.25">
      <c r="A2469" t="s">
        <v>507</v>
      </c>
      <c r="B2469" t="s">
        <v>36</v>
      </c>
      <c r="C2469" t="s">
        <v>7</v>
      </c>
      <c r="D2469" t="s">
        <v>12</v>
      </c>
      <c r="F2469" s="5">
        <v>44289</v>
      </c>
      <c r="G2469" s="5">
        <v>44301</v>
      </c>
      <c r="H2469" s="2">
        <v>2</v>
      </c>
      <c r="I2469" s="6"/>
      <c r="J2469" s="6"/>
      <c r="K2469" s="7">
        <v>0.25</v>
      </c>
      <c r="L2469" s="7">
        <v>14.76</v>
      </c>
      <c r="M2469" t="s">
        <v>17</v>
      </c>
      <c r="N2469" s="16">
        <f>POWER(SQRT(WorkOrders2710[[#This Row],[WorkDate]]-WorkOrders2710[[#This Row],[ReqDate]]),2)</f>
        <v>11.999999999999998</v>
      </c>
      <c r="O2469" s="8">
        <f t="array" ref="O2469">INDEX(TechRate,MATCH(H2469,TechNum,0))</f>
        <v>140</v>
      </c>
      <c r="P2469" s="10">
        <f>WorkOrders2710[[#This Row],[Techs]]*(WorkOrders2710[[#This Row],[PartsCost]]*WorkOrders2710[[#This Row],[LbrHrs]])</f>
        <v>7.38</v>
      </c>
      <c r="Q2469" s="10">
        <f t="shared" si="227"/>
        <v>7.38</v>
      </c>
      <c r="R2469" s="10">
        <f t="shared" si="228"/>
        <v>14.76</v>
      </c>
      <c r="S2469" s="10">
        <f t="shared" si="229"/>
        <v>22.14</v>
      </c>
      <c r="T2469" s="10">
        <f t="shared" si="230"/>
        <v>22.14</v>
      </c>
      <c r="U2469" s="8" t="str">
        <f t="shared" si="231"/>
        <v>Sat</v>
      </c>
      <c r="V2469" s="8" t="str">
        <f t="shared" si="232"/>
        <v>Thu</v>
      </c>
    </row>
    <row r="2470" spans="1:22" hidden="1" x14ac:dyDescent="0.25">
      <c r="A2470" t="s">
        <v>508</v>
      </c>
      <c r="B2470" t="s">
        <v>39</v>
      </c>
      <c r="C2470" t="s">
        <v>44</v>
      </c>
      <c r="D2470" t="s">
        <v>12</v>
      </c>
      <c r="F2470" s="5">
        <v>44289</v>
      </c>
      <c r="G2470" s="5">
        <v>44313</v>
      </c>
      <c r="H2470" s="2">
        <v>1</v>
      </c>
      <c r="I2470" s="6"/>
      <c r="J2470" s="6"/>
      <c r="K2470" s="7">
        <v>0.75</v>
      </c>
      <c r="L2470" s="7">
        <v>21.33</v>
      </c>
      <c r="M2470" t="s">
        <v>17</v>
      </c>
      <c r="N2470" s="16">
        <f>POWER(SQRT(WorkOrders2710[[#This Row],[WorkDate]]-WorkOrders2710[[#This Row],[ReqDate]]),2)</f>
        <v>23.999999999999996</v>
      </c>
      <c r="O2470" s="8">
        <f t="array" ref="O2470">INDEX(TechRate,MATCH(H2470,TechNum,0))</f>
        <v>80</v>
      </c>
      <c r="P2470" s="10">
        <f>WorkOrders2710[[#This Row],[Techs]]*(WorkOrders2710[[#This Row],[PartsCost]]*WorkOrders2710[[#This Row],[LbrHrs]])</f>
        <v>15.997499999999999</v>
      </c>
      <c r="Q2470" s="10">
        <f t="shared" si="227"/>
        <v>15.997499999999999</v>
      </c>
      <c r="R2470" s="10">
        <f t="shared" si="228"/>
        <v>21.33</v>
      </c>
      <c r="S2470" s="10">
        <f t="shared" si="229"/>
        <v>37.327500000000001</v>
      </c>
      <c r="T2470" s="10">
        <f t="shared" si="230"/>
        <v>37.327500000000001</v>
      </c>
      <c r="U2470" s="8" t="str">
        <f t="shared" si="231"/>
        <v>Sat</v>
      </c>
      <c r="V2470" s="8" t="str">
        <f t="shared" si="232"/>
        <v>Tue</v>
      </c>
    </row>
    <row r="2471" spans="1:22" hidden="1" x14ac:dyDescent="0.25">
      <c r="A2471" t="s">
        <v>509</v>
      </c>
      <c r="B2471" t="s">
        <v>35</v>
      </c>
      <c r="C2471" t="s">
        <v>9</v>
      </c>
      <c r="D2471" t="s">
        <v>12</v>
      </c>
      <c r="F2471" s="5">
        <v>44289</v>
      </c>
      <c r="G2471" s="5">
        <v>44327</v>
      </c>
      <c r="H2471" s="2">
        <v>2</v>
      </c>
      <c r="I2471" s="6"/>
      <c r="J2471" s="6" t="s">
        <v>3</v>
      </c>
      <c r="K2471" s="7">
        <v>1</v>
      </c>
      <c r="L2471" s="7">
        <v>304.50729999999999</v>
      </c>
      <c r="M2471" t="s">
        <v>18</v>
      </c>
      <c r="N2471" s="16">
        <f>POWER(SQRT(WorkOrders2710[[#This Row],[WorkDate]]-WorkOrders2710[[#This Row],[ReqDate]]),2)</f>
        <v>37.999999999999993</v>
      </c>
      <c r="O2471" s="8">
        <f t="array" ref="O2471">INDEX(TechRate,MATCH(H2471,TechNum,0))</f>
        <v>140</v>
      </c>
      <c r="P2471" s="10">
        <f>WorkOrders2710[[#This Row],[Techs]]*(WorkOrders2710[[#This Row],[PartsCost]]*WorkOrders2710[[#This Row],[LbrHrs]])</f>
        <v>609.01459999999997</v>
      </c>
      <c r="Q2471" s="10">
        <f t="shared" si="227"/>
        <v>609.01459999999997</v>
      </c>
      <c r="R2471" s="10">
        <f t="shared" si="228"/>
        <v>0</v>
      </c>
      <c r="S2471" s="10">
        <f t="shared" si="229"/>
        <v>913.52189999999996</v>
      </c>
      <c r="T2471" s="10">
        <f t="shared" si="230"/>
        <v>609.01459999999997</v>
      </c>
      <c r="U2471" s="8" t="str">
        <f t="shared" si="231"/>
        <v>Sat</v>
      </c>
      <c r="V2471" s="8" t="str">
        <f t="shared" si="232"/>
        <v>Tue</v>
      </c>
    </row>
    <row r="2472" spans="1:22" hidden="1" x14ac:dyDescent="0.25">
      <c r="A2472" t="s">
        <v>510</v>
      </c>
      <c r="B2472" t="s">
        <v>41</v>
      </c>
      <c r="C2472" t="s">
        <v>8</v>
      </c>
      <c r="D2472" t="s">
        <v>12</v>
      </c>
      <c r="E2472" t="s">
        <v>3</v>
      </c>
      <c r="F2472" s="5">
        <v>44289</v>
      </c>
      <c r="G2472" s="5">
        <v>44327</v>
      </c>
      <c r="H2472" s="2">
        <v>1</v>
      </c>
      <c r="I2472" s="6"/>
      <c r="J2472" s="6"/>
      <c r="K2472" s="7">
        <v>0.5</v>
      </c>
      <c r="L2472" s="7">
        <v>36.3384</v>
      </c>
      <c r="M2472" t="s">
        <v>17</v>
      </c>
      <c r="N2472" s="16">
        <f>POWER(SQRT(WorkOrders2710[[#This Row],[WorkDate]]-WorkOrders2710[[#This Row],[ReqDate]]),2)</f>
        <v>37.999999999999993</v>
      </c>
      <c r="O2472" s="8">
        <f t="array" ref="O2472">INDEX(TechRate,MATCH(H2472,TechNum,0))</f>
        <v>80</v>
      </c>
      <c r="P2472" s="10">
        <f>WorkOrders2710[[#This Row],[Techs]]*(WorkOrders2710[[#This Row],[PartsCost]]*WorkOrders2710[[#This Row],[LbrHrs]])</f>
        <v>18.1692</v>
      </c>
      <c r="Q2472" s="10">
        <f t="shared" si="227"/>
        <v>18.1692</v>
      </c>
      <c r="R2472" s="10">
        <f t="shared" si="228"/>
        <v>36.3384</v>
      </c>
      <c r="S2472" s="10">
        <f t="shared" si="229"/>
        <v>54.507599999999996</v>
      </c>
      <c r="T2472" s="10">
        <f t="shared" si="230"/>
        <v>54.507599999999996</v>
      </c>
      <c r="U2472" s="8" t="str">
        <f t="shared" si="231"/>
        <v>Sat</v>
      </c>
      <c r="V2472" s="8" t="str">
        <f t="shared" si="232"/>
        <v>Tue</v>
      </c>
    </row>
    <row r="2473" spans="1:22" hidden="1" x14ac:dyDescent="0.25">
      <c r="A2473" t="s">
        <v>511</v>
      </c>
      <c r="B2473" t="s">
        <v>40</v>
      </c>
      <c r="C2473" t="s">
        <v>7</v>
      </c>
      <c r="D2473" t="s">
        <v>12</v>
      </c>
      <c r="F2473" s="5">
        <v>44291</v>
      </c>
      <c r="G2473" s="5">
        <v>44300</v>
      </c>
      <c r="H2473" s="2">
        <v>2</v>
      </c>
      <c r="I2473" s="6"/>
      <c r="J2473" s="6"/>
      <c r="K2473" s="7">
        <v>0.5</v>
      </c>
      <c r="L2473" s="7">
        <v>21.33</v>
      </c>
      <c r="M2473" t="s">
        <v>17</v>
      </c>
      <c r="N2473" s="16">
        <f>POWER(SQRT(WorkOrders2710[[#This Row],[WorkDate]]-WorkOrders2710[[#This Row],[ReqDate]]),2)</f>
        <v>9</v>
      </c>
      <c r="O2473" s="8">
        <f t="array" ref="O2473">INDEX(TechRate,MATCH(H2473,TechNum,0))</f>
        <v>140</v>
      </c>
      <c r="P2473" s="10">
        <f>WorkOrders2710[[#This Row],[Techs]]*(WorkOrders2710[[#This Row],[PartsCost]]*WorkOrders2710[[#This Row],[LbrHrs]])</f>
        <v>21.33</v>
      </c>
      <c r="Q2473" s="10">
        <f t="shared" si="227"/>
        <v>21.33</v>
      </c>
      <c r="R2473" s="10">
        <f t="shared" si="228"/>
        <v>21.33</v>
      </c>
      <c r="S2473" s="10">
        <f t="shared" si="229"/>
        <v>42.66</v>
      </c>
      <c r="T2473" s="10">
        <f t="shared" si="230"/>
        <v>42.66</v>
      </c>
      <c r="U2473" s="8" t="str">
        <f t="shared" si="231"/>
        <v>Mon</v>
      </c>
      <c r="V2473" s="8" t="str">
        <f t="shared" si="232"/>
        <v>Wed</v>
      </c>
    </row>
    <row r="2474" spans="1:22" hidden="1" x14ac:dyDescent="0.25">
      <c r="A2474" t="s">
        <v>512</v>
      </c>
      <c r="B2474" t="s">
        <v>36</v>
      </c>
      <c r="C2474" t="s">
        <v>7</v>
      </c>
      <c r="D2474" t="s">
        <v>13</v>
      </c>
      <c r="F2474" s="5">
        <v>44291</v>
      </c>
      <c r="G2474" s="5">
        <v>44309</v>
      </c>
      <c r="H2474" s="2">
        <v>2</v>
      </c>
      <c r="I2474" s="6"/>
      <c r="J2474" s="6"/>
      <c r="K2474" s="7">
        <v>0.5</v>
      </c>
      <c r="L2474" s="7">
        <v>392.02480000000003</v>
      </c>
      <c r="M2474" t="s">
        <v>18</v>
      </c>
      <c r="N2474" s="16">
        <f>POWER(SQRT(WorkOrders2710[[#This Row],[WorkDate]]-WorkOrders2710[[#This Row],[ReqDate]]),2)</f>
        <v>17.999999999999996</v>
      </c>
      <c r="O2474" s="8">
        <f t="array" ref="O2474">INDEX(TechRate,MATCH(H2474,TechNum,0))</f>
        <v>140</v>
      </c>
      <c r="P2474" s="10">
        <f>WorkOrders2710[[#This Row],[Techs]]*(WorkOrders2710[[#This Row],[PartsCost]]*WorkOrders2710[[#This Row],[LbrHrs]])</f>
        <v>392.02480000000003</v>
      </c>
      <c r="Q2474" s="10">
        <f t="shared" si="227"/>
        <v>392.02480000000003</v>
      </c>
      <c r="R2474" s="10">
        <f t="shared" si="228"/>
        <v>392.02480000000003</v>
      </c>
      <c r="S2474" s="10">
        <f t="shared" si="229"/>
        <v>784.04960000000005</v>
      </c>
      <c r="T2474" s="10">
        <f t="shared" si="230"/>
        <v>784.04960000000005</v>
      </c>
      <c r="U2474" s="8" t="str">
        <f t="shared" si="231"/>
        <v>Mon</v>
      </c>
      <c r="V2474" s="8" t="str">
        <f t="shared" si="232"/>
        <v>Fri</v>
      </c>
    </row>
    <row r="2475" spans="1:22" hidden="1" x14ac:dyDescent="0.25">
      <c r="A2475" t="s">
        <v>513</v>
      </c>
      <c r="B2475" t="s">
        <v>36</v>
      </c>
      <c r="C2475" t="s">
        <v>7</v>
      </c>
      <c r="D2475" t="s">
        <v>12</v>
      </c>
      <c r="F2475" s="5">
        <v>44291</v>
      </c>
      <c r="G2475" s="5">
        <v>44315</v>
      </c>
      <c r="H2475" s="2">
        <v>1</v>
      </c>
      <c r="I2475" s="6"/>
      <c r="J2475" s="6"/>
      <c r="K2475" s="7">
        <v>0.25</v>
      </c>
      <c r="L2475" s="7">
        <v>151.78790000000001</v>
      </c>
      <c r="M2475" t="s">
        <v>17</v>
      </c>
      <c r="N2475" s="16">
        <f>POWER(SQRT(WorkOrders2710[[#This Row],[WorkDate]]-WorkOrders2710[[#This Row],[ReqDate]]),2)</f>
        <v>23.999999999999996</v>
      </c>
      <c r="O2475" s="8">
        <f t="array" ref="O2475">INDEX(TechRate,MATCH(H2475,TechNum,0))</f>
        <v>80</v>
      </c>
      <c r="P2475" s="10">
        <f>WorkOrders2710[[#This Row],[Techs]]*(WorkOrders2710[[#This Row],[PartsCost]]*WorkOrders2710[[#This Row],[LbrHrs]])</f>
        <v>37.946975000000002</v>
      </c>
      <c r="Q2475" s="10">
        <f t="shared" si="227"/>
        <v>37.946975000000002</v>
      </c>
      <c r="R2475" s="10">
        <f t="shared" si="228"/>
        <v>151.78790000000001</v>
      </c>
      <c r="S2475" s="10">
        <f t="shared" si="229"/>
        <v>189.73487500000002</v>
      </c>
      <c r="T2475" s="10">
        <f t="shared" si="230"/>
        <v>189.73487500000002</v>
      </c>
      <c r="U2475" s="8" t="str">
        <f t="shared" si="231"/>
        <v>Mon</v>
      </c>
      <c r="V2475" s="8" t="str">
        <f t="shared" si="232"/>
        <v>Thu</v>
      </c>
    </row>
    <row r="2476" spans="1:22" hidden="1" x14ac:dyDescent="0.25">
      <c r="A2476" t="s">
        <v>514</v>
      </c>
      <c r="B2476" t="s">
        <v>35</v>
      </c>
      <c r="C2476" t="s">
        <v>44</v>
      </c>
      <c r="D2476" t="s">
        <v>12</v>
      </c>
      <c r="F2476" s="5">
        <v>44291</v>
      </c>
      <c r="G2476" s="5">
        <v>44328</v>
      </c>
      <c r="H2476" s="2">
        <v>1</v>
      </c>
      <c r="I2476" s="6"/>
      <c r="J2476" s="6"/>
      <c r="K2476" s="7">
        <v>0.25</v>
      </c>
      <c r="L2476" s="7">
        <v>30.1082</v>
      </c>
      <c r="M2476" t="s">
        <v>17</v>
      </c>
      <c r="N2476" s="16">
        <f>POWER(SQRT(WorkOrders2710[[#This Row],[WorkDate]]-WorkOrders2710[[#This Row],[ReqDate]]),2)</f>
        <v>36.999999999999993</v>
      </c>
      <c r="O2476" s="8">
        <f t="array" ref="O2476">INDEX(TechRate,MATCH(H2476,TechNum,0))</f>
        <v>80</v>
      </c>
      <c r="P2476" s="10">
        <f>WorkOrders2710[[#This Row],[Techs]]*(WorkOrders2710[[#This Row],[PartsCost]]*WorkOrders2710[[#This Row],[LbrHrs]])</f>
        <v>7.52705</v>
      </c>
      <c r="Q2476" s="10">
        <f t="shared" si="227"/>
        <v>7.52705</v>
      </c>
      <c r="R2476" s="10">
        <f t="shared" si="228"/>
        <v>30.1082</v>
      </c>
      <c r="S2476" s="10">
        <f t="shared" si="229"/>
        <v>37.635249999999999</v>
      </c>
      <c r="T2476" s="10">
        <f t="shared" si="230"/>
        <v>37.635249999999999</v>
      </c>
      <c r="U2476" s="8" t="str">
        <f t="shared" si="231"/>
        <v>Mon</v>
      </c>
      <c r="V2476" s="8" t="str">
        <f t="shared" si="232"/>
        <v>Wed</v>
      </c>
    </row>
    <row r="2477" spans="1:22" hidden="1" x14ac:dyDescent="0.25">
      <c r="A2477" t="s">
        <v>515</v>
      </c>
      <c r="B2477" t="s">
        <v>40</v>
      </c>
      <c r="C2477" t="s">
        <v>7</v>
      </c>
      <c r="D2477" t="s">
        <v>13</v>
      </c>
      <c r="F2477" s="5">
        <v>44291</v>
      </c>
      <c r="G2477" s="5">
        <v>44333</v>
      </c>
      <c r="H2477" s="2">
        <v>2</v>
      </c>
      <c r="I2477" s="6"/>
      <c r="J2477" s="6"/>
      <c r="K2477" s="7">
        <v>0.75</v>
      </c>
      <c r="L2477" s="7">
        <v>13.36</v>
      </c>
      <c r="M2477" t="s">
        <v>18</v>
      </c>
      <c r="N2477" s="16">
        <f>POWER(SQRT(WorkOrders2710[[#This Row],[WorkDate]]-WorkOrders2710[[#This Row],[ReqDate]]),2)</f>
        <v>42</v>
      </c>
      <c r="O2477" s="8">
        <f t="array" ref="O2477">INDEX(TechRate,MATCH(H2477,TechNum,0))</f>
        <v>140</v>
      </c>
      <c r="P2477" s="10">
        <f>WorkOrders2710[[#This Row],[Techs]]*(WorkOrders2710[[#This Row],[PartsCost]]*WorkOrders2710[[#This Row],[LbrHrs]])</f>
        <v>20.04</v>
      </c>
      <c r="Q2477" s="10">
        <f t="shared" si="227"/>
        <v>20.04</v>
      </c>
      <c r="R2477" s="10">
        <f t="shared" si="228"/>
        <v>13.36</v>
      </c>
      <c r="S2477" s="10">
        <f t="shared" si="229"/>
        <v>33.4</v>
      </c>
      <c r="T2477" s="10">
        <f t="shared" si="230"/>
        <v>33.4</v>
      </c>
      <c r="U2477" s="8" t="str">
        <f t="shared" si="231"/>
        <v>Mon</v>
      </c>
      <c r="V2477" s="8" t="str">
        <f t="shared" si="232"/>
        <v>Mon</v>
      </c>
    </row>
    <row r="2478" spans="1:22" hidden="1" x14ac:dyDescent="0.25">
      <c r="A2478" t="s">
        <v>516</v>
      </c>
      <c r="B2478" t="s">
        <v>34</v>
      </c>
      <c r="C2478" t="s">
        <v>44</v>
      </c>
      <c r="D2478" t="s">
        <v>2</v>
      </c>
      <c r="F2478" s="5">
        <v>44291</v>
      </c>
      <c r="G2478" s="5">
        <v>44362</v>
      </c>
      <c r="H2478" s="2">
        <v>1</v>
      </c>
      <c r="I2478" s="6"/>
      <c r="J2478" s="6"/>
      <c r="K2478" s="7">
        <v>4.25</v>
      </c>
      <c r="L2478" s="7">
        <v>21.33</v>
      </c>
      <c r="M2478" t="s">
        <v>17</v>
      </c>
      <c r="N2478" s="16">
        <f>POWER(SQRT(WorkOrders2710[[#This Row],[WorkDate]]-WorkOrders2710[[#This Row],[ReqDate]]),2)</f>
        <v>71</v>
      </c>
      <c r="O2478" s="8">
        <f t="array" ref="O2478">INDEX(TechRate,MATCH(H2478,TechNum,0))</f>
        <v>80</v>
      </c>
      <c r="P2478" s="10">
        <f>WorkOrders2710[[#This Row],[Techs]]*(WorkOrders2710[[#This Row],[PartsCost]]*WorkOrders2710[[#This Row],[LbrHrs]])</f>
        <v>90.652499999999989</v>
      </c>
      <c r="Q2478" s="10">
        <f t="shared" si="227"/>
        <v>90.652499999999989</v>
      </c>
      <c r="R2478" s="10">
        <f t="shared" si="228"/>
        <v>21.33</v>
      </c>
      <c r="S2478" s="10">
        <f t="shared" si="229"/>
        <v>111.98249999999999</v>
      </c>
      <c r="T2478" s="10">
        <f t="shared" si="230"/>
        <v>111.98249999999999</v>
      </c>
      <c r="U2478" s="8" t="str">
        <f t="shared" si="231"/>
        <v>Mon</v>
      </c>
      <c r="V2478" s="8" t="str">
        <f t="shared" si="232"/>
        <v>Tue</v>
      </c>
    </row>
    <row r="2479" spans="1:22" hidden="1" x14ac:dyDescent="0.25">
      <c r="A2479" t="s">
        <v>517</v>
      </c>
      <c r="B2479" t="s">
        <v>40</v>
      </c>
      <c r="C2479" t="s">
        <v>7</v>
      </c>
      <c r="D2479" t="s">
        <v>12</v>
      </c>
      <c r="E2479" t="s">
        <v>3</v>
      </c>
      <c r="F2479" s="5">
        <v>44292</v>
      </c>
      <c r="G2479" s="5">
        <v>44323</v>
      </c>
      <c r="H2479" s="2">
        <v>1</v>
      </c>
      <c r="I2479" s="6"/>
      <c r="J2479" s="6"/>
      <c r="K2479" s="7">
        <v>0.75</v>
      </c>
      <c r="L2479" s="7">
        <v>21.33</v>
      </c>
      <c r="M2479" t="s">
        <v>18</v>
      </c>
      <c r="N2479" s="16">
        <f>POWER(SQRT(WorkOrders2710[[#This Row],[WorkDate]]-WorkOrders2710[[#This Row],[ReqDate]]),2)</f>
        <v>30.999999999999996</v>
      </c>
      <c r="O2479" s="8">
        <f t="array" ref="O2479">INDEX(TechRate,MATCH(H2479,TechNum,0))</f>
        <v>80</v>
      </c>
      <c r="P2479" s="10">
        <f>WorkOrders2710[[#This Row],[Techs]]*(WorkOrders2710[[#This Row],[PartsCost]]*WorkOrders2710[[#This Row],[LbrHrs]])</f>
        <v>15.997499999999999</v>
      </c>
      <c r="Q2479" s="10">
        <f t="shared" si="227"/>
        <v>15.997499999999999</v>
      </c>
      <c r="R2479" s="10">
        <f t="shared" si="228"/>
        <v>21.33</v>
      </c>
      <c r="S2479" s="10">
        <f t="shared" si="229"/>
        <v>37.327500000000001</v>
      </c>
      <c r="T2479" s="10">
        <f t="shared" si="230"/>
        <v>37.327500000000001</v>
      </c>
      <c r="U2479" s="8" t="str">
        <f t="shared" si="231"/>
        <v>Tue</v>
      </c>
      <c r="V2479" s="8" t="str">
        <f t="shared" si="232"/>
        <v>Fri</v>
      </c>
    </row>
    <row r="2480" spans="1:22" hidden="1" x14ac:dyDescent="0.25">
      <c r="A2480" t="s">
        <v>518</v>
      </c>
      <c r="B2480" t="s">
        <v>40</v>
      </c>
      <c r="C2480" t="s">
        <v>7</v>
      </c>
      <c r="D2480" t="s">
        <v>11</v>
      </c>
      <c r="E2480" t="s">
        <v>3</v>
      </c>
      <c r="F2480" s="5">
        <v>44292</v>
      </c>
      <c r="G2480" s="5">
        <v>44326</v>
      </c>
      <c r="H2480" s="2">
        <v>1</v>
      </c>
      <c r="I2480" s="6"/>
      <c r="J2480" s="6"/>
      <c r="K2480" s="7">
        <v>0.25</v>
      </c>
      <c r="L2480" s="7">
        <v>21.6</v>
      </c>
      <c r="M2480" t="s">
        <v>17</v>
      </c>
      <c r="N2480" s="16">
        <f>POWER(SQRT(WorkOrders2710[[#This Row],[WorkDate]]-WorkOrders2710[[#This Row],[ReqDate]]),2)</f>
        <v>34</v>
      </c>
      <c r="O2480" s="8">
        <f t="array" ref="O2480">INDEX(TechRate,MATCH(H2480,TechNum,0))</f>
        <v>80</v>
      </c>
      <c r="P2480" s="10">
        <f>WorkOrders2710[[#This Row],[Techs]]*(WorkOrders2710[[#This Row],[PartsCost]]*WorkOrders2710[[#This Row],[LbrHrs]])</f>
        <v>5.4</v>
      </c>
      <c r="Q2480" s="10">
        <f t="shared" si="227"/>
        <v>5.4</v>
      </c>
      <c r="R2480" s="10">
        <f t="shared" si="228"/>
        <v>21.6</v>
      </c>
      <c r="S2480" s="10">
        <f t="shared" si="229"/>
        <v>27</v>
      </c>
      <c r="T2480" s="10">
        <f t="shared" si="230"/>
        <v>27</v>
      </c>
      <c r="U2480" s="8" t="str">
        <f t="shared" si="231"/>
        <v>Tue</v>
      </c>
      <c r="V2480" s="8" t="str">
        <f t="shared" si="232"/>
        <v>Mon</v>
      </c>
    </row>
    <row r="2481" spans="1:22" hidden="1" x14ac:dyDescent="0.25">
      <c r="A2481" t="s">
        <v>519</v>
      </c>
      <c r="B2481" t="s">
        <v>39</v>
      </c>
      <c r="C2481" t="s">
        <v>9</v>
      </c>
      <c r="D2481" t="s">
        <v>11</v>
      </c>
      <c r="E2481" t="s">
        <v>3</v>
      </c>
      <c r="F2481" s="5">
        <v>44292</v>
      </c>
      <c r="G2481" s="5">
        <v>44336</v>
      </c>
      <c r="H2481" s="2">
        <v>1</v>
      </c>
      <c r="I2481" s="6"/>
      <c r="J2481" s="6"/>
      <c r="K2481" s="7">
        <v>0.25</v>
      </c>
      <c r="L2481" s="7">
        <v>108.9568</v>
      </c>
      <c r="M2481" t="s">
        <v>18</v>
      </c>
      <c r="N2481" s="16">
        <f>POWER(SQRT(WorkOrders2710[[#This Row],[WorkDate]]-WorkOrders2710[[#This Row],[ReqDate]]),2)</f>
        <v>44</v>
      </c>
      <c r="O2481" s="8">
        <f t="array" ref="O2481">INDEX(TechRate,MATCH(H2481,TechNum,0))</f>
        <v>80</v>
      </c>
      <c r="P2481" s="10">
        <f>WorkOrders2710[[#This Row],[Techs]]*(WorkOrders2710[[#This Row],[PartsCost]]*WorkOrders2710[[#This Row],[LbrHrs]])</f>
        <v>27.2392</v>
      </c>
      <c r="Q2481" s="10">
        <f t="shared" si="227"/>
        <v>27.2392</v>
      </c>
      <c r="R2481" s="10">
        <f t="shared" si="228"/>
        <v>108.9568</v>
      </c>
      <c r="S2481" s="10">
        <f t="shared" si="229"/>
        <v>136.196</v>
      </c>
      <c r="T2481" s="10">
        <f t="shared" si="230"/>
        <v>136.196</v>
      </c>
      <c r="U2481" s="8" t="str">
        <f t="shared" si="231"/>
        <v>Tue</v>
      </c>
      <c r="V2481" s="8" t="str">
        <f t="shared" si="232"/>
        <v>Thu</v>
      </c>
    </row>
    <row r="2482" spans="1:22" hidden="1" x14ac:dyDescent="0.25">
      <c r="A2482" t="s">
        <v>520</v>
      </c>
      <c r="B2482" t="s">
        <v>38</v>
      </c>
      <c r="C2482" t="s">
        <v>8</v>
      </c>
      <c r="D2482" t="s">
        <v>11</v>
      </c>
      <c r="F2482" s="5">
        <v>44292</v>
      </c>
      <c r="G2482" s="5">
        <v>44341</v>
      </c>
      <c r="H2482" s="2">
        <v>1</v>
      </c>
      <c r="I2482" s="6"/>
      <c r="J2482" s="6"/>
      <c r="K2482" s="7">
        <v>0.25</v>
      </c>
      <c r="L2482" s="7">
        <v>42.66</v>
      </c>
      <c r="M2482" t="s">
        <v>19</v>
      </c>
      <c r="N2482" s="16">
        <f>POWER(SQRT(WorkOrders2710[[#This Row],[WorkDate]]-WorkOrders2710[[#This Row],[ReqDate]]),2)</f>
        <v>49</v>
      </c>
      <c r="O2482" s="8">
        <f t="array" ref="O2482">INDEX(TechRate,MATCH(H2482,TechNum,0))</f>
        <v>80</v>
      </c>
      <c r="P2482" s="10">
        <f>WorkOrders2710[[#This Row],[Techs]]*(WorkOrders2710[[#This Row],[PartsCost]]*WorkOrders2710[[#This Row],[LbrHrs]])</f>
        <v>10.664999999999999</v>
      </c>
      <c r="Q2482" s="10">
        <f t="shared" si="227"/>
        <v>10.664999999999999</v>
      </c>
      <c r="R2482" s="10">
        <f t="shared" si="228"/>
        <v>42.66</v>
      </c>
      <c r="S2482" s="10">
        <f t="shared" si="229"/>
        <v>53.324999999999996</v>
      </c>
      <c r="T2482" s="10">
        <f t="shared" si="230"/>
        <v>53.324999999999996</v>
      </c>
      <c r="U2482" s="8" t="str">
        <f t="shared" si="231"/>
        <v>Tue</v>
      </c>
      <c r="V2482" s="8" t="str">
        <f t="shared" si="232"/>
        <v>Tue</v>
      </c>
    </row>
    <row r="2483" spans="1:22" hidden="1" x14ac:dyDescent="0.25">
      <c r="A2483" t="s">
        <v>521</v>
      </c>
      <c r="B2483" t="s">
        <v>42</v>
      </c>
      <c r="C2483" t="s">
        <v>8</v>
      </c>
      <c r="D2483" t="s">
        <v>12</v>
      </c>
      <c r="F2483" s="5">
        <v>44292</v>
      </c>
      <c r="G2483" s="5">
        <v>44343</v>
      </c>
      <c r="H2483" s="2">
        <v>1</v>
      </c>
      <c r="I2483" s="6"/>
      <c r="J2483" s="6"/>
      <c r="K2483" s="7">
        <v>1.75</v>
      </c>
      <c r="L2483" s="7">
        <v>342.6</v>
      </c>
      <c r="M2483" t="s">
        <v>18</v>
      </c>
      <c r="N2483" s="16">
        <f>POWER(SQRT(WorkOrders2710[[#This Row],[WorkDate]]-WorkOrders2710[[#This Row],[ReqDate]]),2)</f>
        <v>51.000000000000007</v>
      </c>
      <c r="O2483" s="8">
        <f t="array" ref="O2483">INDEX(TechRate,MATCH(H2483,TechNum,0))</f>
        <v>80</v>
      </c>
      <c r="P2483" s="10">
        <f>WorkOrders2710[[#This Row],[Techs]]*(WorkOrders2710[[#This Row],[PartsCost]]*WorkOrders2710[[#This Row],[LbrHrs]])</f>
        <v>599.55000000000007</v>
      </c>
      <c r="Q2483" s="10">
        <f t="shared" si="227"/>
        <v>599.55000000000007</v>
      </c>
      <c r="R2483" s="10">
        <f t="shared" si="228"/>
        <v>342.6</v>
      </c>
      <c r="S2483" s="10">
        <f t="shared" si="229"/>
        <v>942.15000000000009</v>
      </c>
      <c r="T2483" s="10">
        <f t="shared" si="230"/>
        <v>942.15000000000009</v>
      </c>
      <c r="U2483" s="8" t="str">
        <f t="shared" si="231"/>
        <v>Tue</v>
      </c>
      <c r="V2483" s="8" t="str">
        <f t="shared" si="232"/>
        <v>Thu</v>
      </c>
    </row>
    <row r="2484" spans="1:22" hidden="1" x14ac:dyDescent="0.25">
      <c r="A2484" t="s">
        <v>522</v>
      </c>
      <c r="B2484" t="s">
        <v>41</v>
      </c>
      <c r="C2484" t="s">
        <v>8</v>
      </c>
      <c r="D2484" t="s">
        <v>13</v>
      </c>
      <c r="F2484" s="5">
        <v>44292</v>
      </c>
      <c r="G2484" s="5">
        <v>44376</v>
      </c>
      <c r="H2484" s="2">
        <v>2</v>
      </c>
      <c r="I2484" s="6"/>
      <c r="J2484" s="6"/>
      <c r="K2484" s="7">
        <v>0.75</v>
      </c>
      <c r="L2484" s="7">
        <v>40</v>
      </c>
      <c r="M2484" t="s">
        <v>19</v>
      </c>
      <c r="N2484" s="16">
        <f>POWER(SQRT(WorkOrders2710[[#This Row],[WorkDate]]-WorkOrders2710[[#This Row],[ReqDate]]),2)</f>
        <v>84</v>
      </c>
      <c r="O2484" s="8">
        <f t="array" ref="O2484">INDEX(TechRate,MATCH(H2484,TechNum,0))</f>
        <v>140</v>
      </c>
      <c r="P2484" s="10">
        <f>WorkOrders2710[[#This Row],[Techs]]*(WorkOrders2710[[#This Row],[PartsCost]]*WorkOrders2710[[#This Row],[LbrHrs]])</f>
        <v>60</v>
      </c>
      <c r="Q2484" s="10">
        <f t="shared" si="227"/>
        <v>60</v>
      </c>
      <c r="R2484" s="10">
        <f t="shared" si="228"/>
        <v>40</v>
      </c>
      <c r="S2484" s="10">
        <f t="shared" si="229"/>
        <v>100</v>
      </c>
      <c r="T2484" s="10">
        <f t="shared" si="230"/>
        <v>100</v>
      </c>
      <c r="U2484" s="8" t="str">
        <f t="shared" si="231"/>
        <v>Tue</v>
      </c>
      <c r="V2484" s="8" t="str">
        <f t="shared" si="232"/>
        <v>Tue</v>
      </c>
    </row>
    <row r="2485" spans="1:22" hidden="1" x14ac:dyDescent="0.25">
      <c r="A2485" t="s">
        <v>523</v>
      </c>
      <c r="B2485" t="s">
        <v>36</v>
      </c>
      <c r="C2485" t="s">
        <v>7</v>
      </c>
      <c r="D2485" t="s">
        <v>11</v>
      </c>
      <c r="E2485" t="s">
        <v>3</v>
      </c>
      <c r="F2485" s="5">
        <v>44293</v>
      </c>
      <c r="G2485" s="5">
        <v>44300</v>
      </c>
      <c r="H2485" s="2">
        <v>1</v>
      </c>
      <c r="I2485" s="6"/>
      <c r="J2485" s="6"/>
      <c r="K2485" s="7">
        <v>0.25</v>
      </c>
      <c r="L2485" s="7">
        <v>259.2</v>
      </c>
      <c r="M2485" t="s">
        <v>18</v>
      </c>
      <c r="N2485" s="16">
        <f>POWER(SQRT(WorkOrders2710[[#This Row],[WorkDate]]-WorkOrders2710[[#This Row],[ReqDate]]),2)</f>
        <v>7.0000000000000009</v>
      </c>
      <c r="O2485" s="8">
        <f t="array" ref="O2485">INDEX(TechRate,MATCH(H2485,TechNum,0))</f>
        <v>80</v>
      </c>
      <c r="P2485" s="10">
        <f>WorkOrders2710[[#This Row],[Techs]]*(WorkOrders2710[[#This Row],[PartsCost]]*WorkOrders2710[[#This Row],[LbrHrs]])</f>
        <v>64.8</v>
      </c>
      <c r="Q2485" s="10">
        <f t="shared" si="227"/>
        <v>64.8</v>
      </c>
      <c r="R2485" s="10">
        <f t="shared" si="228"/>
        <v>259.2</v>
      </c>
      <c r="S2485" s="10">
        <f t="shared" si="229"/>
        <v>324</v>
      </c>
      <c r="T2485" s="10">
        <f t="shared" si="230"/>
        <v>324</v>
      </c>
      <c r="U2485" s="8" t="str">
        <f t="shared" si="231"/>
        <v>Wed</v>
      </c>
      <c r="V2485" s="8" t="str">
        <f t="shared" si="232"/>
        <v>Wed</v>
      </c>
    </row>
    <row r="2486" spans="1:22" hidden="1" x14ac:dyDescent="0.25">
      <c r="A2486" t="s">
        <v>524</v>
      </c>
      <c r="B2486" t="s">
        <v>36</v>
      </c>
      <c r="C2486" t="s">
        <v>7</v>
      </c>
      <c r="D2486" t="s">
        <v>12</v>
      </c>
      <c r="F2486" s="5">
        <v>44293</v>
      </c>
      <c r="G2486" s="5">
        <v>44314</v>
      </c>
      <c r="H2486" s="2">
        <v>2</v>
      </c>
      <c r="I2486" s="6"/>
      <c r="J2486" s="6"/>
      <c r="K2486" s="7">
        <v>0.25</v>
      </c>
      <c r="L2486" s="7">
        <v>26.582599999999999</v>
      </c>
      <c r="M2486" t="s">
        <v>17</v>
      </c>
      <c r="N2486" s="16">
        <f>POWER(SQRT(WorkOrders2710[[#This Row],[WorkDate]]-WorkOrders2710[[#This Row],[ReqDate]]),2)</f>
        <v>21</v>
      </c>
      <c r="O2486" s="8">
        <f t="array" ref="O2486">INDEX(TechRate,MATCH(H2486,TechNum,0))</f>
        <v>140</v>
      </c>
      <c r="P2486" s="10">
        <f>WorkOrders2710[[#This Row],[Techs]]*(WorkOrders2710[[#This Row],[PartsCost]]*WorkOrders2710[[#This Row],[LbrHrs]])</f>
        <v>13.2913</v>
      </c>
      <c r="Q2486" s="10">
        <f t="shared" si="227"/>
        <v>13.2913</v>
      </c>
      <c r="R2486" s="10">
        <f t="shared" si="228"/>
        <v>26.582599999999999</v>
      </c>
      <c r="S2486" s="10">
        <f t="shared" si="229"/>
        <v>39.873899999999999</v>
      </c>
      <c r="T2486" s="10">
        <f t="shared" si="230"/>
        <v>39.873899999999999</v>
      </c>
      <c r="U2486" s="8" t="str">
        <f t="shared" si="231"/>
        <v>Wed</v>
      </c>
      <c r="V2486" s="8" t="str">
        <f t="shared" si="232"/>
        <v>Wed</v>
      </c>
    </row>
    <row r="2487" spans="1:22" hidden="1" x14ac:dyDescent="0.25">
      <c r="A2487" t="s">
        <v>525</v>
      </c>
      <c r="B2487" t="s">
        <v>37</v>
      </c>
      <c r="C2487" t="s">
        <v>44</v>
      </c>
      <c r="D2487" t="s">
        <v>12</v>
      </c>
      <c r="F2487" s="5">
        <v>44293</v>
      </c>
      <c r="G2487" s="5">
        <v>44315</v>
      </c>
      <c r="H2487" s="2">
        <v>1</v>
      </c>
      <c r="I2487" s="6"/>
      <c r="J2487" s="6"/>
      <c r="K2487" s="7">
        <v>0.25</v>
      </c>
      <c r="L2487" s="7">
        <v>52.019799999999996</v>
      </c>
      <c r="M2487" t="s">
        <v>17</v>
      </c>
      <c r="N2487" s="16">
        <f>POWER(SQRT(WorkOrders2710[[#This Row],[WorkDate]]-WorkOrders2710[[#This Row],[ReqDate]]),2)</f>
        <v>22</v>
      </c>
      <c r="O2487" s="8">
        <f t="array" ref="O2487">INDEX(TechRate,MATCH(H2487,TechNum,0))</f>
        <v>80</v>
      </c>
      <c r="P2487" s="10">
        <f>WorkOrders2710[[#This Row],[Techs]]*(WorkOrders2710[[#This Row],[PartsCost]]*WorkOrders2710[[#This Row],[LbrHrs]])</f>
        <v>13.004949999999999</v>
      </c>
      <c r="Q2487" s="10">
        <f t="shared" si="227"/>
        <v>13.004949999999999</v>
      </c>
      <c r="R2487" s="10">
        <f t="shared" si="228"/>
        <v>52.019799999999996</v>
      </c>
      <c r="S2487" s="10">
        <f t="shared" si="229"/>
        <v>65.024749999999997</v>
      </c>
      <c r="T2487" s="10">
        <f t="shared" si="230"/>
        <v>65.024749999999997</v>
      </c>
      <c r="U2487" s="8" t="str">
        <f t="shared" si="231"/>
        <v>Wed</v>
      </c>
      <c r="V2487" s="8" t="str">
        <f t="shared" si="232"/>
        <v>Thu</v>
      </c>
    </row>
    <row r="2488" spans="1:22" hidden="1" x14ac:dyDescent="0.25">
      <c r="A2488" t="s">
        <v>526</v>
      </c>
      <c r="B2488" t="s">
        <v>36</v>
      </c>
      <c r="C2488" t="s">
        <v>7</v>
      </c>
      <c r="D2488" t="s">
        <v>13</v>
      </c>
      <c r="F2488" s="5">
        <v>44293</v>
      </c>
      <c r="G2488" s="5">
        <v>44315</v>
      </c>
      <c r="H2488" s="2">
        <v>2</v>
      </c>
      <c r="I2488" s="6" t="s">
        <v>3</v>
      </c>
      <c r="J2488" s="6" t="s">
        <v>3</v>
      </c>
      <c r="K2488" s="7">
        <v>0.5</v>
      </c>
      <c r="L2488" s="7">
        <v>181.15710000000001</v>
      </c>
      <c r="M2488" t="s">
        <v>20</v>
      </c>
      <c r="N2488" s="16">
        <f>POWER(SQRT(WorkOrders2710[[#This Row],[WorkDate]]-WorkOrders2710[[#This Row],[ReqDate]]),2)</f>
        <v>22</v>
      </c>
      <c r="O2488" s="8">
        <f t="array" ref="O2488">INDEX(TechRate,MATCH(H2488,TechNum,0))</f>
        <v>140</v>
      </c>
      <c r="P2488" s="10">
        <f>WorkOrders2710[[#This Row],[Techs]]*(WorkOrders2710[[#This Row],[PartsCost]]*WorkOrders2710[[#This Row],[LbrHrs]])</f>
        <v>181.15710000000001</v>
      </c>
      <c r="Q2488" s="10">
        <f t="shared" si="227"/>
        <v>0</v>
      </c>
      <c r="R2488" s="10">
        <f t="shared" si="228"/>
        <v>0</v>
      </c>
      <c r="S2488" s="10">
        <f t="shared" si="229"/>
        <v>362.31420000000003</v>
      </c>
      <c r="T2488" s="10">
        <f t="shared" si="230"/>
        <v>0</v>
      </c>
      <c r="U2488" s="8" t="str">
        <f t="shared" si="231"/>
        <v>Wed</v>
      </c>
      <c r="V2488" s="8" t="str">
        <f t="shared" si="232"/>
        <v>Thu</v>
      </c>
    </row>
    <row r="2489" spans="1:22" hidden="1" x14ac:dyDescent="0.25">
      <c r="A2489" t="s">
        <v>527</v>
      </c>
      <c r="B2489" t="s">
        <v>34</v>
      </c>
      <c r="C2489" t="s">
        <v>8</v>
      </c>
      <c r="D2489" t="s">
        <v>2</v>
      </c>
      <c r="F2489" s="5">
        <v>44293</v>
      </c>
      <c r="G2489" s="5">
        <v>44327</v>
      </c>
      <c r="H2489" s="2">
        <v>2</v>
      </c>
      <c r="I2489" s="6"/>
      <c r="J2489" s="6"/>
      <c r="K2489" s="7">
        <v>2</v>
      </c>
      <c r="L2489" s="7">
        <v>2050.6</v>
      </c>
      <c r="M2489" t="s">
        <v>17</v>
      </c>
      <c r="N2489" s="16">
        <f>POWER(SQRT(WorkOrders2710[[#This Row],[WorkDate]]-WorkOrders2710[[#This Row],[ReqDate]]),2)</f>
        <v>34</v>
      </c>
      <c r="O2489" s="8">
        <f t="array" ref="O2489">INDEX(TechRate,MATCH(H2489,TechNum,0))</f>
        <v>140</v>
      </c>
      <c r="P2489" s="10">
        <f>WorkOrders2710[[#This Row],[Techs]]*(WorkOrders2710[[#This Row],[PartsCost]]*WorkOrders2710[[#This Row],[LbrHrs]])</f>
        <v>8202.4</v>
      </c>
      <c r="Q2489" s="10">
        <f t="shared" si="227"/>
        <v>8202.4</v>
      </c>
      <c r="R2489" s="10">
        <f t="shared" si="228"/>
        <v>2050.6</v>
      </c>
      <c r="S2489" s="10">
        <f t="shared" si="229"/>
        <v>10253</v>
      </c>
      <c r="T2489" s="10">
        <f t="shared" si="230"/>
        <v>10253</v>
      </c>
      <c r="U2489" s="8" t="str">
        <f t="shared" si="231"/>
        <v>Wed</v>
      </c>
      <c r="V2489" s="8" t="str">
        <f t="shared" si="232"/>
        <v>Tue</v>
      </c>
    </row>
    <row r="2490" spans="1:22" hidden="1" x14ac:dyDescent="0.25">
      <c r="A2490" t="s">
        <v>528</v>
      </c>
      <c r="B2490" t="s">
        <v>41</v>
      </c>
      <c r="C2490" t="s">
        <v>7</v>
      </c>
      <c r="D2490" t="s">
        <v>12</v>
      </c>
      <c r="F2490" s="5">
        <v>44293</v>
      </c>
      <c r="G2490" s="5"/>
      <c r="H2490" s="2">
        <v>2</v>
      </c>
      <c r="I2490" s="6"/>
      <c r="J2490" s="6" t="s">
        <v>3</v>
      </c>
      <c r="K2490" s="7"/>
      <c r="L2490" s="7">
        <v>1587.2547999999999</v>
      </c>
      <c r="M2490" t="s">
        <v>18</v>
      </c>
      <c r="N2490" s="16">
        <f>0</f>
        <v>0</v>
      </c>
      <c r="O2490" s="8">
        <f t="array" ref="O2490">INDEX(TechRate,MATCH(H2490,TechNum,0))</f>
        <v>140</v>
      </c>
      <c r="P2490" s="10">
        <f>WorkOrders2710[[#This Row],[Techs]]*(WorkOrders2710[[#This Row],[PartsCost]]*WorkOrders2710[[#This Row],[LbrHrs]])</f>
        <v>0</v>
      </c>
      <c r="Q2490" s="10">
        <f t="shared" si="227"/>
        <v>0</v>
      </c>
      <c r="R2490" s="10">
        <f t="shared" si="228"/>
        <v>0</v>
      </c>
      <c r="S2490" s="10">
        <f t="shared" si="229"/>
        <v>1587.2547999999999</v>
      </c>
      <c r="T2490" s="10">
        <f t="shared" si="230"/>
        <v>0</v>
      </c>
      <c r="U2490" s="8" t="str">
        <f t="shared" si="231"/>
        <v>Wed</v>
      </c>
      <c r="V2490" s="8" t="str">
        <f t="shared" si="232"/>
        <v>Sat</v>
      </c>
    </row>
    <row r="2491" spans="1:22" hidden="1" x14ac:dyDescent="0.25">
      <c r="A2491" t="s">
        <v>529</v>
      </c>
      <c r="B2491" t="s">
        <v>36</v>
      </c>
      <c r="C2491" t="s">
        <v>7</v>
      </c>
      <c r="D2491" t="s">
        <v>13</v>
      </c>
      <c r="F2491" s="5">
        <v>44294</v>
      </c>
      <c r="G2491" s="5">
        <v>44308</v>
      </c>
      <c r="H2491" s="2">
        <v>2</v>
      </c>
      <c r="I2491" s="6"/>
      <c r="J2491" s="6"/>
      <c r="K2491" s="7">
        <v>0.75</v>
      </c>
      <c r="L2491" s="7">
        <v>158</v>
      </c>
      <c r="M2491" t="s">
        <v>17</v>
      </c>
      <c r="N2491" s="16">
        <f>POWER(SQRT(WorkOrders2710[[#This Row],[WorkDate]]-WorkOrders2710[[#This Row],[ReqDate]]),2)</f>
        <v>14</v>
      </c>
      <c r="O2491" s="8">
        <f t="array" ref="O2491">INDEX(TechRate,MATCH(H2491,TechNum,0))</f>
        <v>140</v>
      </c>
      <c r="P2491" s="10">
        <f>WorkOrders2710[[#This Row],[Techs]]*(WorkOrders2710[[#This Row],[PartsCost]]*WorkOrders2710[[#This Row],[LbrHrs]])</f>
        <v>237</v>
      </c>
      <c r="Q2491" s="10">
        <f t="shared" si="227"/>
        <v>237</v>
      </c>
      <c r="R2491" s="10">
        <f t="shared" si="228"/>
        <v>158</v>
      </c>
      <c r="S2491" s="10">
        <f t="shared" si="229"/>
        <v>395</v>
      </c>
      <c r="T2491" s="10">
        <f t="shared" si="230"/>
        <v>395</v>
      </c>
      <c r="U2491" s="8" t="str">
        <f t="shared" si="231"/>
        <v>Thu</v>
      </c>
      <c r="V2491" s="8" t="str">
        <f t="shared" si="232"/>
        <v>Thu</v>
      </c>
    </row>
    <row r="2492" spans="1:22" hidden="1" x14ac:dyDescent="0.25">
      <c r="A2492" t="s">
        <v>530</v>
      </c>
      <c r="B2492" t="s">
        <v>34</v>
      </c>
      <c r="C2492" t="s">
        <v>8</v>
      </c>
      <c r="D2492" t="s">
        <v>11</v>
      </c>
      <c r="F2492" s="5">
        <v>44294</v>
      </c>
      <c r="G2492" s="5">
        <v>44314</v>
      </c>
      <c r="H2492" s="2">
        <v>1</v>
      </c>
      <c r="I2492" s="6" t="s">
        <v>3</v>
      </c>
      <c r="J2492" s="6" t="s">
        <v>3</v>
      </c>
      <c r="K2492" s="7">
        <v>0.25</v>
      </c>
      <c r="L2492" s="7">
        <v>30</v>
      </c>
      <c r="M2492" t="s">
        <v>20</v>
      </c>
      <c r="N2492" s="16">
        <f>POWER(SQRT(WorkOrders2710[[#This Row],[WorkDate]]-WorkOrders2710[[#This Row],[ReqDate]]),2)</f>
        <v>20.000000000000004</v>
      </c>
      <c r="O2492" s="8">
        <f t="array" ref="O2492">INDEX(TechRate,MATCH(H2492,TechNum,0))</f>
        <v>80</v>
      </c>
      <c r="P2492" s="10">
        <f>WorkOrders2710[[#This Row],[Techs]]*(WorkOrders2710[[#This Row],[PartsCost]]*WorkOrders2710[[#This Row],[LbrHrs]])</f>
        <v>7.5</v>
      </c>
      <c r="Q2492" s="10">
        <f t="shared" si="227"/>
        <v>0</v>
      </c>
      <c r="R2492" s="10">
        <f t="shared" si="228"/>
        <v>0</v>
      </c>
      <c r="S2492" s="10">
        <f t="shared" si="229"/>
        <v>37.5</v>
      </c>
      <c r="T2492" s="10">
        <f t="shared" si="230"/>
        <v>0</v>
      </c>
      <c r="U2492" s="8" t="str">
        <f t="shared" si="231"/>
        <v>Thu</v>
      </c>
      <c r="V2492" s="8" t="str">
        <f t="shared" si="232"/>
        <v>Wed</v>
      </c>
    </row>
    <row r="2493" spans="1:22" hidden="1" x14ac:dyDescent="0.25">
      <c r="A2493" t="s">
        <v>531</v>
      </c>
      <c r="B2493" t="s">
        <v>41</v>
      </c>
      <c r="C2493" t="s">
        <v>9</v>
      </c>
      <c r="D2493" t="s">
        <v>2</v>
      </c>
      <c r="F2493" s="5">
        <v>44294</v>
      </c>
      <c r="G2493" s="5">
        <v>44315</v>
      </c>
      <c r="H2493" s="2">
        <v>2</v>
      </c>
      <c r="I2493" s="6"/>
      <c r="J2493" s="6" t="s">
        <v>3</v>
      </c>
      <c r="K2493" s="7">
        <v>1</v>
      </c>
      <c r="L2493" s="7">
        <v>54.28</v>
      </c>
      <c r="M2493" t="s">
        <v>18</v>
      </c>
      <c r="N2493" s="16">
        <f>POWER(SQRT(WorkOrders2710[[#This Row],[WorkDate]]-WorkOrders2710[[#This Row],[ReqDate]]),2)</f>
        <v>21</v>
      </c>
      <c r="O2493" s="8">
        <f t="array" ref="O2493">INDEX(TechRate,MATCH(H2493,TechNum,0))</f>
        <v>140</v>
      </c>
      <c r="P2493" s="10">
        <f>WorkOrders2710[[#This Row],[Techs]]*(WorkOrders2710[[#This Row],[PartsCost]]*WorkOrders2710[[#This Row],[LbrHrs]])</f>
        <v>108.56</v>
      </c>
      <c r="Q2493" s="10">
        <f t="shared" si="227"/>
        <v>108.56</v>
      </c>
      <c r="R2493" s="10">
        <f t="shared" si="228"/>
        <v>0</v>
      </c>
      <c r="S2493" s="10">
        <f t="shared" si="229"/>
        <v>162.84</v>
      </c>
      <c r="T2493" s="10">
        <f t="shared" si="230"/>
        <v>108.56</v>
      </c>
      <c r="U2493" s="8" t="str">
        <f t="shared" si="231"/>
        <v>Thu</v>
      </c>
      <c r="V2493" s="8" t="str">
        <f t="shared" si="232"/>
        <v>Thu</v>
      </c>
    </row>
    <row r="2494" spans="1:22" hidden="1" x14ac:dyDescent="0.25">
      <c r="A2494" t="s">
        <v>532</v>
      </c>
      <c r="B2494" t="s">
        <v>36</v>
      </c>
      <c r="C2494" t="s">
        <v>7</v>
      </c>
      <c r="D2494" t="s">
        <v>11</v>
      </c>
      <c r="E2494" t="s">
        <v>3</v>
      </c>
      <c r="F2494" s="5">
        <v>44294</v>
      </c>
      <c r="G2494" s="5">
        <v>44319</v>
      </c>
      <c r="H2494" s="2">
        <v>1</v>
      </c>
      <c r="I2494" s="6"/>
      <c r="J2494" s="6"/>
      <c r="K2494" s="7">
        <v>0.25</v>
      </c>
      <c r="L2494" s="7">
        <v>85.32</v>
      </c>
      <c r="M2494" t="s">
        <v>18</v>
      </c>
      <c r="N2494" s="16">
        <f>POWER(SQRT(WorkOrders2710[[#This Row],[WorkDate]]-WorkOrders2710[[#This Row],[ReqDate]]),2)</f>
        <v>25</v>
      </c>
      <c r="O2494" s="8">
        <f t="array" ref="O2494">INDEX(TechRate,MATCH(H2494,TechNum,0))</f>
        <v>80</v>
      </c>
      <c r="P2494" s="10">
        <f>WorkOrders2710[[#This Row],[Techs]]*(WorkOrders2710[[#This Row],[PartsCost]]*WorkOrders2710[[#This Row],[LbrHrs]])</f>
        <v>21.33</v>
      </c>
      <c r="Q2494" s="10">
        <f t="shared" si="227"/>
        <v>21.33</v>
      </c>
      <c r="R2494" s="10">
        <f t="shared" si="228"/>
        <v>85.32</v>
      </c>
      <c r="S2494" s="10">
        <f t="shared" si="229"/>
        <v>106.64999999999999</v>
      </c>
      <c r="T2494" s="10">
        <f t="shared" si="230"/>
        <v>106.64999999999999</v>
      </c>
      <c r="U2494" s="8" t="str">
        <f t="shared" si="231"/>
        <v>Thu</v>
      </c>
      <c r="V2494" s="8" t="str">
        <f t="shared" si="232"/>
        <v>Mon</v>
      </c>
    </row>
    <row r="2495" spans="1:22" hidden="1" x14ac:dyDescent="0.25">
      <c r="A2495" t="s">
        <v>533</v>
      </c>
      <c r="B2495" t="s">
        <v>41</v>
      </c>
      <c r="C2495" t="s">
        <v>7</v>
      </c>
      <c r="D2495" t="s">
        <v>12</v>
      </c>
      <c r="F2495" s="5">
        <v>44294</v>
      </c>
      <c r="G2495" s="5">
        <v>44329</v>
      </c>
      <c r="H2495" s="2">
        <v>2</v>
      </c>
      <c r="I2495" s="6"/>
      <c r="J2495" s="6"/>
      <c r="K2495" s="7">
        <v>0.25</v>
      </c>
      <c r="L2495" s="7">
        <v>30</v>
      </c>
      <c r="M2495" t="s">
        <v>18</v>
      </c>
      <c r="N2495" s="16">
        <f>POWER(SQRT(WorkOrders2710[[#This Row],[WorkDate]]-WorkOrders2710[[#This Row],[ReqDate]]),2)</f>
        <v>35</v>
      </c>
      <c r="O2495" s="8">
        <f t="array" ref="O2495">INDEX(TechRate,MATCH(H2495,TechNum,0))</f>
        <v>140</v>
      </c>
      <c r="P2495" s="10">
        <f>WorkOrders2710[[#This Row],[Techs]]*(WorkOrders2710[[#This Row],[PartsCost]]*WorkOrders2710[[#This Row],[LbrHrs]])</f>
        <v>15</v>
      </c>
      <c r="Q2495" s="10">
        <f t="shared" si="227"/>
        <v>15</v>
      </c>
      <c r="R2495" s="10">
        <f t="shared" si="228"/>
        <v>30</v>
      </c>
      <c r="S2495" s="10">
        <f t="shared" si="229"/>
        <v>45</v>
      </c>
      <c r="T2495" s="10">
        <f t="shared" si="230"/>
        <v>45</v>
      </c>
      <c r="U2495" s="8" t="str">
        <f t="shared" si="231"/>
        <v>Thu</v>
      </c>
      <c r="V2495" s="8" t="str">
        <f t="shared" si="232"/>
        <v>Thu</v>
      </c>
    </row>
    <row r="2496" spans="1:22" hidden="1" x14ac:dyDescent="0.25">
      <c r="A2496" t="s">
        <v>534</v>
      </c>
      <c r="B2496" t="s">
        <v>35</v>
      </c>
      <c r="C2496" t="s">
        <v>44</v>
      </c>
      <c r="D2496" t="s">
        <v>12</v>
      </c>
      <c r="E2496" t="s">
        <v>3</v>
      </c>
      <c r="F2496" s="5">
        <v>44294</v>
      </c>
      <c r="G2496" s="5">
        <v>44337</v>
      </c>
      <c r="H2496" s="2">
        <v>2</v>
      </c>
      <c r="I2496" s="6"/>
      <c r="J2496" s="6"/>
      <c r="K2496" s="7">
        <v>0.25</v>
      </c>
      <c r="L2496" s="7">
        <v>2.54</v>
      </c>
      <c r="M2496" t="s">
        <v>17</v>
      </c>
      <c r="N2496" s="16">
        <f>POWER(SQRT(WorkOrders2710[[#This Row],[WorkDate]]-WorkOrders2710[[#This Row],[ReqDate]]),2)</f>
        <v>42.999999999999993</v>
      </c>
      <c r="O2496" s="8">
        <f t="array" ref="O2496">INDEX(TechRate,MATCH(H2496,TechNum,0))</f>
        <v>140</v>
      </c>
      <c r="P2496" s="10">
        <f>WorkOrders2710[[#This Row],[Techs]]*(WorkOrders2710[[#This Row],[PartsCost]]*WorkOrders2710[[#This Row],[LbrHrs]])</f>
        <v>1.27</v>
      </c>
      <c r="Q2496" s="10">
        <f t="shared" si="227"/>
        <v>1.27</v>
      </c>
      <c r="R2496" s="10">
        <f t="shared" si="228"/>
        <v>2.54</v>
      </c>
      <c r="S2496" s="10">
        <f t="shared" si="229"/>
        <v>3.81</v>
      </c>
      <c r="T2496" s="10">
        <f t="shared" si="230"/>
        <v>3.81</v>
      </c>
      <c r="U2496" s="8" t="str">
        <f t="shared" si="231"/>
        <v>Thu</v>
      </c>
      <c r="V2496" s="8" t="str">
        <f t="shared" si="232"/>
        <v>Fri</v>
      </c>
    </row>
    <row r="2497" spans="1:22" hidden="1" x14ac:dyDescent="0.25">
      <c r="A2497" t="s">
        <v>535</v>
      </c>
      <c r="B2497" t="s">
        <v>36</v>
      </c>
      <c r="C2497" t="s">
        <v>7</v>
      </c>
      <c r="D2497" t="s">
        <v>11</v>
      </c>
      <c r="F2497" s="5">
        <v>44294</v>
      </c>
      <c r="G2497" s="5">
        <v>44355</v>
      </c>
      <c r="H2497" s="2">
        <v>1</v>
      </c>
      <c r="I2497" s="6"/>
      <c r="J2497" s="6"/>
      <c r="K2497" s="7">
        <v>0.25</v>
      </c>
      <c r="L2497" s="7">
        <v>66.864900000000006</v>
      </c>
      <c r="M2497" t="s">
        <v>17</v>
      </c>
      <c r="N2497" s="16">
        <f>POWER(SQRT(WorkOrders2710[[#This Row],[WorkDate]]-WorkOrders2710[[#This Row],[ReqDate]]),2)</f>
        <v>60.999999999999993</v>
      </c>
      <c r="O2497" s="8">
        <f t="array" ref="O2497">INDEX(TechRate,MATCH(H2497,TechNum,0))</f>
        <v>80</v>
      </c>
      <c r="P2497" s="10">
        <f>WorkOrders2710[[#This Row],[Techs]]*(WorkOrders2710[[#This Row],[PartsCost]]*WorkOrders2710[[#This Row],[LbrHrs]])</f>
        <v>16.716225000000001</v>
      </c>
      <c r="Q2497" s="10">
        <f t="shared" si="227"/>
        <v>16.716225000000001</v>
      </c>
      <c r="R2497" s="10">
        <f t="shared" si="228"/>
        <v>66.864900000000006</v>
      </c>
      <c r="S2497" s="10">
        <f t="shared" si="229"/>
        <v>83.581125000000014</v>
      </c>
      <c r="T2497" s="10">
        <f t="shared" si="230"/>
        <v>83.581125000000014</v>
      </c>
      <c r="U2497" s="8" t="str">
        <f t="shared" si="231"/>
        <v>Thu</v>
      </c>
      <c r="V2497" s="8" t="str">
        <f t="shared" si="232"/>
        <v>Tue</v>
      </c>
    </row>
    <row r="2498" spans="1:22" hidden="1" x14ac:dyDescent="0.25">
      <c r="A2498" t="s">
        <v>536</v>
      </c>
      <c r="B2498" t="s">
        <v>36</v>
      </c>
      <c r="C2498" t="s">
        <v>7</v>
      </c>
      <c r="D2498" t="s">
        <v>13</v>
      </c>
      <c r="F2498" s="5">
        <v>44296</v>
      </c>
      <c r="G2498" s="5">
        <v>44307</v>
      </c>
      <c r="H2498" s="2">
        <v>2</v>
      </c>
      <c r="I2498" s="6"/>
      <c r="J2498" s="6"/>
      <c r="K2498" s="7">
        <v>0.75</v>
      </c>
      <c r="L2498" s="7">
        <v>108.9273</v>
      </c>
      <c r="M2498" t="s">
        <v>17</v>
      </c>
      <c r="N2498" s="16">
        <f>POWER(SQRT(WorkOrders2710[[#This Row],[WorkDate]]-WorkOrders2710[[#This Row],[ReqDate]]),2)</f>
        <v>11</v>
      </c>
      <c r="O2498" s="8">
        <f t="array" ref="O2498">INDEX(TechRate,MATCH(H2498,TechNum,0))</f>
        <v>140</v>
      </c>
      <c r="P2498" s="10">
        <f>WorkOrders2710[[#This Row],[Techs]]*(WorkOrders2710[[#This Row],[PartsCost]]*WorkOrders2710[[#This Row],[LbrHrs]])</f>
        <v>163.39095</v>
      </c>
      <c r="Q2498" s="10">
        <f t="shared" si="227"/>
        <v>163.39095</v>
      </c>
      <c r="R2498" s="10">
        <f t="shared" si="228"/>
        <v>108.9273</v>
      </c>
      <c r="S2498" s="10">
        <f t="shared" si="229"/>
        <v>272.31825000000003</v>
      </c>
      <c r="T2498" s="10">
        <f t="shared" si="230"/>
        <v>272.31825000000003</v>
      </c>
      <c r="U2498" s="8" t="str">
        <f t="shared" si="231"/>
        <v>Sat</v>
      </c>
      <c r="V2498" s="8" t="str">
        <f t="shared" si="232"/>
        <v>Wed</v>
      </c>
    </row>
    <row r="2499" spans="1:22" hidden="1" x14ac:dyDescent="0.25">
      <c r="A2499" t="s">
        <v>537</v>
      </c>
      <c r="B2499" t="s">
        <v>39</v>
      </c>
      <c r="C2499" t="s">
        <v>44</v>
      </c>
      <c r="D2499" t="s">
        <v>2</v>
      </c>
      <c r="F2499" s="5">
        <v>44296</v>
      </c>
      <c r="G2499" s="5">
        <v>44326</v>
      </c>
      <c r="H2499" s="2">
        <v>1</v>
      </c>
      <c r="I2499" s="6" t="s">
        <v>3</v>
      </c>
      <c r="J2499" s="6" t="s">
        <v>3</v>
      </c>
      <c r="K2499" s="7">
        <v>4.75</v>
      </c>
      <c r="L2499" s="7">
        <v>397.36099999999999</v>
      </c>
      <c r="M2499" t="s">
        <v>20</v>
      </c>
      <c r="N2499" s="16">
        <f>POWER(SQRT(WorkOrders2710[[#This Row],[WorkDate]]-WorkOrders2710[[#This Row],[ReqDate]]),2)</f>
        <v>30</v>
      </c>
      <c r="O2499" s="8">
        <f t="array" ref="O2499">INDEX(TechRate,MATCH(H2499,TechNum,0))</f>
        <v>80</v>
      </c>
      <c r="P2499" s="10">
        <f>WorkOrders2710[[#This Row],[Techs]]*(WorkOrders2710[[#This Row],[PartsCost]]*WorkOrders2710[[#This Row],[LbrHrs]])</f>
        <v>1887.4647499999999</v>
      </c>
      <c r="Q2499" s="10">
        <f t="shared" si="227"/>
        <v>0</v>
      </c>
      <c r="R2499" s="10">
        <f t="shared" si="228"/>
        <v>0</v>
      </c>
      <c r="S2499" s="10">
        <f t="shared" si="229"/>
        <v>2284.82575</v>
      </c>
      <c r="T2499" s="10">
        <f t="shared" si="230"/>
        <v>0</v>
      </c>
      <c r="U2499" s="8" t="str">
        <f t="shared" si="231"/>
        <v>Sat</v>
      </c>
      <c r="V2499" s="8" t="str">
        <f t="shared" si="232"/>
        <v>Mon</v>
      </c>
    </row>
    <row r="2500" spans="1:22" hidden="1" x14ac:dyDescent="0.25">
      <c r="A2500" t="s">
        <v>538</v>
      </c>
      <c r="B2500" t="s">
        <v>39</v>
      </c>
      <c r="C2500" t="s">
        <v>44</v>
      </c>
      <c r="D2500" t="s">
        <v>12</v>
      </c>
      <c r="F2500" s="5">
        <v>44298</v>
      </c>
      <c r="G2500" s="5">
        <v>44307</v>
      </c>
      <c r="H2500" s="2">
        <v>1</v>
      </c>
      <c r="I2500" s="6"/>
      <c r="J2500" s="6"/>
      <c r="K2500" s="7">
        <v>0.25</v>
      </c>
      <c r="L2500" s="7">
        <v>156.40209999999999</v>
      </c>
      <c r="M2500" t="s">
        <v>17</v>
      </c>
      <c r="N2500" s="16">
        <f>POWER(SQRT(WorkOrders2710[[#This Row],[WorkDate]]-WorkOrders2710[[#This Row],[ReqDate]]),2)</f>
        <v>9</v>
      </c>
      <c r="O2500" s="8">
        <f t="array" ref="O2500">INDEX(TechRate,MATCH(H2500,TechNum,0))</f>
        <v>80</v>
      </c>
      <c r="P2500" s="10">
        <f>WorkOrders2710[[#This Row],[Techs]]*(WorkOrders2710[[#This Row],[PartsCost]]*WorkOrders2710[[#This Row],[LbrHrs]])</f>
        <v>39.100524999999998</v>
      </c>
      <c r="Q2500" s="10">
        <f t="shared" si="227"/>
        <v>39.100524999999998</v>
      </c>
      <c r="R2500" s="10">
        <f t="shared" si="228"/>
        <v>156.40209999999999</v>
      </c>
      <c r="S2500" s="10">
        <f t="shared" si="229"/>
        <v>195.50262499999999</v>
      </c>
      <c r="T2500" s="10">
        <f t="shared" si="230"/>
        <v>195.50262499999999</v>
      </c>
      <c r="U2500" s="8" t="str">
        <f t="shared" si="231"/>
        <v>Mon</v>
      </c>
      <c r="V2500" s="8" t="str">
        <f t="shared" si="232"/>
        <v>Wed</v>
      </c>
    </row>
    <row r="2501" spans="1:22" hidden="1" x14ac:dyDescent="0.25">
      <c r="A2501" t="s">
        <v>539</v>
      </c>
      <c r="B2501" t="s">
        <v>34</v>
      </c>
      <c r="C2501" t="s">
        <v>44</v>
      </c>
      <c r="D2501" t="s">
        <v>12</v>
      </c>
      <c r="F2501" s="5">
        <v>44298</v>
      </c>
      <c r="G2501" s="5">
        <v>44307</v>
      </c>
      <c r="H2501" s="2">
        <v>2</v>
      </c>
      <c r="I2501" s="6"/>
      <c r="J2501" s="6" t="s">
        <v>3</v>
      </c>
      <c r="K2501" s="7">
        <v>0.5</v>
      </c>
      <c r="L2501" s="7">
        <v>176.22120000000001</v>
      </c>
      <c r="M2501" t="s">
        <v>18</v>
      </c>
      <c r="N2501" s="16">
        <f>POWER(SQRT(WorkOrders2710[[#This Row],[WorkDate]]-WorkOrders2710[[#This Row],[ReqDate]]),2)</f>
        <v>9</v>
      </c>
      <c r="O2501" s="8">
        <f t="array" ref="O2501">INDEX(TechRate,MATCH(H2501,TechNum,0))</f>
        <v>140</v>
      </c>
      <c r="P2501" s="10">
        <f>WorkOrders2710[[#This Row],[Techs]]*(WorkOrders2710[[#This Row],[PartsCost]]*WorkOrders2710[[#This Row],[LbrHrs]])</f>
        <v>176.22120000000001</v>
      </c>
      <c r="Q2501" s="10">
        <f t="shared" si="227"/>
        <v>176.22120000000001</v>
      </c>
      <c r="R2501" s="10">
        <f t="shared" si="228"/>
        <v>0</v>
      </c>
      <c r="S2501" s="10">
        <f t="shared" si="229"/>
        <v>352.44240000000002</v>
      </c>
      <c r="T2501" s="10">
        <f t="shared" si="230"/>
        <v>176.22120000000001</v>
      </c>
      <c r="U2501" s="8" t="str">
        <f t="shared" si="231"/>
        <v>Mon</v>
      </c>
      <c r="V2501" s="8" t="str">
        <f t="shared" si="232"/>
        <v>Wed</v>
      </c>
    </row>
    <row r="2502" spans="1:22" hidden="1" x14ac:dyDescent="0.25">
      <c r="A2502" t="s">
        <v>540</v>
      </c>
      <c r="B2502" t="s">
        <v>36</v>
      </c>
      <c r="C2502" t="s">
        <v>7</v>
      </c>
      <c r="D2502" t="s">
        <v>11</v>
      </c>
      <c r="F2502" s="5">
        <v>44298</v>
      </c>
      <c r="G2502" s="5">
        <v>44314</v>
      </c>
      <c r="H2502" s="2">
        <v>1</v>
      </c>
      <c r="I2502" s="6"/>
      <c r="J2502" s="6"/>
      <c r="K2502" s="7">
        <v>0.25</v>
      </c>
      <c r="L2502" s="7">
        <v>4.99</v>
      </c>
      <c r="M2502" t="s">
        <v>18</v>
      </c>
      <c r="N2502" s="16">
        <f>POWER(SQRT(WorkOrders2710[[#This Row],[WorkDate]]-WorkOrders2710[[#This Row],[ReqDate]]),2)</f>
        <v>16</v>
      </c>
      <c r="O2502" s="8">
        <f t="array" ref="O2502">INDEX(TechRate,MATCH(H2502,TechNum,0))</f>
        <v>80</v>
      </c>
      <c r="P2502" s="10">
        <f>WorkOrders2710[[#This Row],[Techs]]*(WorkOrders2710[[#This Row],[PartsCost]]*WorkOrders2710[[#This Row],[LbrHrs]])</f>
        <v>1.2475000000000001</v>
      </c>
      <c r="Q2502" s="10">
        <f t="shared" si="227"/>
        <v>1.2475000000000001</v>
      </c>
      <c r="R2502" s="10">
        <f t="shared" si="228"/>
        <v>4.99</v>
      </c>
      <c r="S2502" s="10">
        <f t="shared" si="229"/>
        <v>6.2375000000000007</v>
      </c>
      <c r="T2502" s="10">
        <f t="shared" si="230"/>
        <v>6.2375000000000007</v>
      </c>
      <c r="U2502" s="8" t="str">
        <f t="shared" si="231"/>
        <v>Mon</v>
      </c>
      <c r="V2502" s="8" t="str">
        <f t="shared" si="232"/>
        <v>Wed</v>
      </c>
    </row>
    <row r="2503" spans="1:22" hidden="1" x14ac:dyDescent="0.25">
      <c r="A2503" t="s">
        <v>541</v>
      </c>
      <c r="B2503" t="s">
        <v>35</v>
      </c>
      <c r="C2503" t="s">
        <v>9</v>
      </c>
      <c r="D2503" t="s">
        <v>11</v>
      </c>
      <c r="F2503" s="5">
        <v>44298</v>
      </c>
      <c r="G2503" s="5">
        <v>44319</v>
      </c>
      <c r="H2503" s="2">
        <v>1</v>
      </c>
      <c r="I2503" s="6"/>
      <c r="J2503" s="6"/>
      <c r="K2503" s="7">
        <v>0.25</v>
      </c>
      <c r="L2503" s="7">
        <v>83.462900000000005</v>
      </c>
      <c r="M2503" t="s">
        <v>17</v>
      </c>
      <c r="N2503" s="16">
        <f>POWER(SQRT(WorkOrders2710[[#This Row],[WorkDate]]-WorkOrders2710[[#This Row],[ReqDate]]),2)</f>
        <v>21</v>
      </c>
      <c r="O2503" s="8">
        <f t="array" ref="O2503">INDEX(TechRate,MATCH(H2503,TechNum,0))</f>
        <v>80</v>
      </c>
      <c r="P2503" s="10">
        <f>WorkOrders2710[[#This Row],[Techs]]*(WorkOrders2710[[#This Row],[PartsCost]]*WorkOrders2710[[#This Row],[LbrHrs]])</f>
        <v>20.865725000000001</v>
      </c>
      <c r="Q2503" s="10">
        <f t="shared" si="227"/>
        <v>20.865725000000001</v>
      </c>
      <c r="R2503" s="10">
        <f t="shared" si="228"/>
        <v>83.462900000000005</v>
      </c>
      <c r="S2503" s="10">
        <f t="shared" si="229"/>
        <v>104.328625</v>
      </c>
      <c r="T2503" s="10">
        <f t="shared" si="230"/>
        <v>104.328625</v>
      </c>
      <c r="U2503" s="8" t="str">
        <f t="shared" si="231"/>
        <v>Mon</v>
      </c>
      <c r="V2503" s="8" t="str">
        <f t="shared" si="232"/>
        <v>Mon</v>
      </c>
    </row>
    <row r="2504" spans="1:22" hidden="1" x14ac:dyDescent="0.25">
      <c r="A2504" t="s">
        <v>542</v>
      </c>
      <c r="B2504" t="s">
        <v>34</v>
      </c>
      <c r="C2504" t="s">
        <v>9</v>
      </c>
      <c r="D2504" t="s">
        <v>1</v>
      </c>
      <c r="F2504" s="5">
        <v>44298</v>
      </c>
      <c r="G2504" s="5">
        <v>44320</v>
      </c>
      <c r="H2504" s="2">
        <v>2</v>
      </c>
      <c r="I2504" s="6"/>
      <c r="J2504" s="6"/>
      <c r="K2504" s="7">
        <v>2.25</v>
      </c>
      <c r="L2504" s="7">
        <v>52</v>
      </c>
      <c r="M2504" t="s">
        <v>17</v>
      </c>
      <c r="N2504" s="16">
        <f>POWER(SQRT(WorkOrders2710[[#This Row],[WorkDate]]-WorkOrders2710[[#This Row],[ReqDate]]),2)</f>
        <v>22</v>
      </c>
      <c r="O2504" s="8">
        <f t="array" ref="O2504">INDEX(TechRate,MATCH(H2504,TechNum,0))</f>
        <v>140</v>
      </c>
      <c r="P2504" s="10">
        <f>WorkOrders2710[[#This Row],[Techs]]*(WorkOrders2710[[#This Row],[PartsCost]]*WorkOrders2710[[#This Row],[LbrHrs]])</f>
        <v>234</v>
      </c>
      <c r="Q2504" s="10">
        <f t="shared" si="227"/>
        <v>234</v>
      </c>
      <c r="R2504" s="10">
        <f t="shared" si="228"/>
        <v>52</v>
      </c>
      <c r="S2504" s="10">
        <f t="shared" si="229"/>
        <v>286</v>
      </c>
      <c r="T2504" s="10">
        <f t="shared" si="230"/>
        <v>286</v>
      </c>
      <c r="U2504" s="8" t="str">
        <f t="shared" si="231"/>
        <v>Mon</v>
      </c>
      <c r="V2504" s="8" t="str">
        <f t="shared" si="232"/>
        <v>Tue</v>
      </c>
    </row>
    <row r="2505" spans="1:22" hidden="1" x14ac:dyDescent="0.25">
      <c r="A2505" t="s">
        <v>543</v>
      </c>
      <c r="B2505" t="s">
        <v>37</v>
      </c>
      <c r="C2505" t="s">
        <v>43</v>
      </c>
      <c r="D2505" t="s">
        <v>12</v>
      </c>
      <c r="F2505" s="5">
        <v>44298</v>
      </c>
      <c r="G2505" s="5">
        <v>44320</v>
      </c>
      <c r="H2505" s="2">
        <v>1</v>
      </c>
      <c r="I2505" s="6"/>
      <c r="J2505" s="6"/>
      <c r="K2505" s="7">
        <v>0.5</v>
      </c>
      <c r="L2505" s="7">
        <v>743.18399999999997</v>
      </c>
      <c r="M2505" t="s">
        <v>19</v>
      </c>
      <c r="N2505" s="16">
        <f>POWER(SQRT(WorkOrders2710[[#This Row],[WorkDate]]-WorkOrders2710[[#This Row],[ReqDate]]),2)</f>
        <v>22</v>
      </c>
      <c r="O2505" s="8">
        <f t="array" ref="O2505">INDEX(TechRate,MATCH(H2505,TechNum,0))</f>
        <v>80</v>
      </c>
      <c r="P2505" s="10">
        <f>WorkOrders2710[[#This Row],[Techs]]*(WorkOrders2710[[#This Row],[PartsCost]]*WorkOrders2710[[#This Row],[LbrHrs]])</f>
        <v>371.59199999999998</v>
      </c>
      <c r="Q2505" s="10">
        <f t="shared" si="227"/>
        <v>371.59199999999998</v>
      </c>
      <c r="R2505" s="10">
        <f t="shared" si="228"/>
        <v>743.18399999999997</v>
      </c>
      <c r="S2505" s="10">
        <f t="shared" si="229"/>
        <v>1114.7759999999998</v>
      </c>
      <c r="T2505" s="10">
        <f t="shared" si="230"/>
        <v>1114.7759999999998</v>
      </c>
      <c r="U2505" s="8" t="str">
        <f t="shared" si="231"/>
        <v>Mon</v>
      </c>
      <c r="V2505" s="8" t="str">
        <f t="shared" si="232"/>
        <v>Tue</v>
      </c>
    </row>
    <row r="2506" spans="1:22" hidden="1" x14ac:dyDescent="0.25">
      <c r="A2506" t="s">
        <v>544</v>
      </c>
      <c r="B2506" t="s">
        <v>34</v>
      </c>
      <c r="C2506" t="s">
        <v>44</v>
      </c>
      <c r="D2506" t="s">
        <v>13</v>
      </c>
      <c r="F2506" s="5">
        <v>44298</v>
      </c>
      <c r="G2506" s="5">
        <v>44363</v>
      </c>
      <c r="H2506" s="2">
        <v>1</v>
      </c>
      <c r="I2506" s="6"/>
      <c r="J2506" s="6"/>
      <c r="K2506" s="7">
        <v>0.5</v>
      </c>
      <c r="L2506" s="7">
        <v>144</v>
      </c>
      <c r="M2506" t="s">
        <v>18</v>
      </c>
      <c r="N2506" s="16">
        <f>POWER(SQRT(WorkOrders2710[[#This Row],[WorkDate]]-WorkOrders2710[[#This Row],[ReqDate]]),2)</f>
        <v>64.999999999999986</v>
      </c>
      <c r="O2506" s="8">
        <f t="array" ref="O2506">INDEX(TechRate,MATCH(H2506,TechNum,0))</f>
        <v>80</v>
      </c>
      <c r="P2506" s="10">
        <f>WorkOrders2710[[#This Row],[Techs]]*(WorkOrders2710[[#This Row],[PartsCost]]*WorkOrders2710[[#This Row],[LbrHrs]])</f>
        <v>72</v>
      </c>
      <c r="Q2506" s="10">
        <f t="shared" si="227"/>
        <v>72</v>
      </c>
      <c r="R2506" s="10">
        <f t="shared" si="228"/>
        <v>144</v>
      </c>
      <c r="S2506" s="10">
        <f t="shared" si="229"/>
        <v>216</v>
      </c>
      <c r="T2506" s="10">
        <f t="shared" si="230"/>
        <v>216</v>
      </c>
      <c r="U2506" s="8" t="str">
        <f t="shared" si="231"/>
        <v>Mon</v>
      </c>
      <c r="V2506" s="8" t="str">
        <f t="shared" si="232"/>
        <v>Wed</v>
      </c>
    </row>
    <row r="2507" spans="1:22" hidden="1" x14ac:dyDescent="0.25">
      <c r="A2507" t="s">
        <v>545</v>
      </c>
      <c r="B2507" t="s">
        <v>36</v>
      </c>
      <c r="C2507" t="s">
        <v>7</v>
      </c>
      <c r="D2507" t="s">
        <v>11</v>
      </c>
      <c r="F2507" s="5">
        <v>44299</v>
      </c>
      <c r="G2507" s="5">
        <v>44314</v>
      </c>
      <c r="H2507" s="2">
        <v>1</v>
      </c>
      <c r="I2507" s="6" t="s">
        <v>3</v>
      </c>
      <c r="J2507" s="6" t="s">
        <v>3</v>
      </c>
      <c r="K2507" s="7">
        <v>0.25</v>
      </c>
      <c r="L2507" s="7">
        <v>38.124600000000001</v>
      </c>
      <c r="M2507" t="s">
        <v>20</v>
      </c>
      <c r="N2507" s="16">
        <f>POWER(SQRT(WorkOrders2710[[#This Row],[WorkDate]]-WorkOrders2710[[#This Row],[ReqDate]]),2)</f>
        <v>15.000000000000002</v>
      </c>
      <c r="O2507" s="8">
        <f t="array" ref="O2507">INDEX(TechRate,MATCH(H2507,TechNum,0))</f>
        <v>80</v>
      </c>
      <c r="P2507" s="10">
        <f>WorkOrders2710[[#This Row],[Techs]]*(WorkOrders2710[[#This Row],[PartsCost]]*WorkOrders2710[[#This Row],[LbrHrs]])</f>
        <v>9.5311500000000002</v>
      </c>
      <c r="Q2507" s="10">
        <f t="shared" si="227"/>
        <v>0</v>
      </c>
      <c r="R2507" s="10">
        <f t="shared" si="228"/>
        <v>0</v>
      </c>
      <c r="S2507" s="10">
        <f t="shared" si="229"/>
        <v>47.655749999999998</v>
      </c>
      <c r="T2507" s="10">
        <f t="shared" si="230"/>
        <v>0</v>
      </c>
      <c r="U2507" s="8" t="str">
        <f t="shared" si="231"/>
        <v>Tue</v>
      </c>
      <c r="V2507" s="8" t="str">
        <f t="shared" si="232"/>
        <v>Wed</v>
      </c>
    </row>
  </sheetData>
  <phoneticPr fontId="4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I7"/>
  <sheetViews>
    <sheetView zoomScale="130" zoomScaleNormal="130" workbookViewId="0">
      <selection activeCell="G13" sqref="G13"/>
    </sheetView>
  </sheetViews>
  <sheetFormatPr defaultRowHeight="15" x14ac:dyDescent="0.25"/>
  <cols>
    <col min="1" max="1" width="2.28515625" customWidth="1"/>
    <col min="4" max="4" width="3.7109375" customWidth="1"/>
    <col min="5" max="5" width="10.140625" customWidth="1"/>
    <col min="6" max="6" width="3" customWidth="1"/>
    <col min="7" max="7" width="10.5703125" customWidth="1"/>
    <col min="8" max="8" width="2.5703125" customWidth="1"/>
    <col min="9" max="9" width="12" bestFit="1" customWidth="1"/>
  </cols>
  <sheetData>
    <row r="1" spans="2:9" x14ac:dyDescent="0.25">
      <c r="B1" s="14" t="s">
        <v>4</v>
      </c>
      <c r="C1" s="14" t="s">
        <v>546</v>
      </c>
      <c r="E1" s="3" t="s">
        <v>16</v>
      </c>
      <c r="G1" s="3" t="s">
        <v>10</v>
      </c>
      <c r="I1" s="4" t="s">
        <v>0</v>
      </c>
    </row>
    <row r="2" spans="2:9" x14ac:dyDescent="0.25">
      <c r="B2" s="14">
        <v>1</v>
      </c>
      <c r="C2" s="14">
        <v>80</v>
      </c>
      <c r="E2" t="s">
        <v>17</v>
      </c>
      <c r="G2" s="15" t="s">
        <v>9</v>
      </c>
      <c r="I2" t="s">
        <v>12</v>
      </c>
    </row>
    <row r="3" spans="2:9" x14ac:dyDescent="0.25">
      <c r="B3" s="14">
        <v>2</v>
      </c>
      <c r="C3" s="14">
        <v>140</v>
      </c>
      <c r="E3" t="s">
        <v>18</v>
      </c>
      <c r="G3" s="15" t="s">
        <v>44</v>
      </c>
      <c r="I3" t="s">
        <v>11</v>
      </c>
    </row>
    <row r="4" spans="2:9" x14ac:dyDescent="0.25">
      <c r="B4" s="14">
        <v>3</v>
      </c>
      <c r="C4" s="14">
        <v>195</v>
      </c>
      <c r="E4" t="s">
        <v>21</v>
      </c>
      <c r="G4" s="15" t="s">
        <v>8</v>
      </c>
      <c r="I4" t="s">
        <v>1</v>
      </c>
    </row>
    <row r="5" spans="2:9" x14ac:dyDescent="0.25">
      <c r="E5" t="s">
        <v>19</v>
      </c>
      <c r="G5" s="15" t="s">
        <v>7</v>
      </c>
      <c r="I5" t="s">
        <v>2</v>
      </c>
    </row>
    <row r="6" spans="2:9" x14ac:dyDescent="0.25">
      <c r="E6" t="s">
        <v>20</v>
      </c>
      <c r="G6" s="15" t="s">
        <v>43</v>
      </c>
      <c r="I6" t="s">
        <v>13</v>
      </c>
    </row>
    <row r="7" spans="2:9" x14ac:dyDescent="0.25">
      <c r="G7" s="15" t="s">
        <v>6</v>
      </c>
    </row>
  </sheetData>
  <sortState ref="I2:I6">
    <sortCondition ref="I2:I6"/>
  </sortState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WOs</vt:lpstr>
      <vt:lpstr>AdminLists</vt:lpstr>
      <vt:lpstr>PmtList</vt:lpstr>
      <vt:lpstr>Rate01</vt:lpstr>
      <vt:lpstr>Rate02</vt:lpstr>
      <vt:lpstr>ServList</vt:lpstr>
      <vt:lpstr>TechList</vt:lpstr>
      <vt:lpstr>TechNum</vt:lpstr>
      <vt:lpstr>TechRate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i230523</cp:lastModifiedBy>
  <cp:revision/>
  <dcterms:created xsi:type="dcterms:W3CDTF">2007-02-11T02:54:46Z</dcterms:created>
  <dcterms:modified xsi:type="dcterms:W3CDTF">2023-11-01T10:15:17Z</dcterms:modified>
  <cp:category/>
  <cp:contentStatus/>
</cp:coreProperties>
</file>