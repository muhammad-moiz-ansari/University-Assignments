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Lab Tasks\ICT\Lab Task 5\"/>
    </mc:Choice>
  </mc:AlternateContent>
  <xr:revisionPtr revIDLastSave="0" documentId="13_ncr:1_{ECC070DD-D22C-4D82-A13E-7A78669565A7}" xr6:coauthVersionLast="47" xr6:coauthVersionMax="47" xr10:uidLastSave="{00000000-0000-0000-0000-000000000000}"/>
  <bookViews>
    <workbookView xWindow="-110" yWindow="-110" windowWidth="19420" windowHeight="10300" xr2:uid="{2D5C9C1F-06E8-4815-9C69-43F531786A8D}"/>
  </bookViews>
  <sheets>
    <sheet name="Sheet1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" l="1"/>
  <c r="P12" i="1"/>
  <c r="P11" i="1"/>
  <c r="P10" i="1"/>
  <c r="P9" i="1"/>
  <c r="O13" i="1"/>
  <c r="O12" i="1"/>
  <c r="O11" i="1"/>
  <c r="O10" i="1"/>
  <c r="O9" i="1"/>
  <c r="N13" i="1"/>
  <c r="N12" i="1"/>
  <c r="N11" i="1"/>
  <c r="N10" i="1"/>
  <c r="N9" i="1"/>
  <c r="J5" i="1"/>
  <c r="J4" i="1"/>
  <c r="J3" i="1"/>
</calcChain>
</file>

<file path=xl/sharedStrings.xml><?xml version="1.0" encoding="utf-8"?>
<sst xmlns="http://schemas.openxmlformats.org/spreadsheetml/2006/main" count="180" uniqueCount="53">
  <si>
    <t>OrderDate</t>
  </si>
  <si>
    <t>Region</t>
  </si>
  <si>
    <t>Rep</t>
  </si>
  <si>
    <t>Item</t>
  </si>
  <si>
    <t>Units</t>
  </si>
  <si>
    <t>Unit Cost</t>
  </si>
  <si>
    <t>Total</t>
  </si>
  <si>
    <t>Central</t>
  </si>
  <si>
    <t>Smith</t>
  </si>
  <si>
    <t>Desk</t>
  </si>
  <si>
    <t>Kivell</t>
  </si>
  <si>
    <t>Gill</t>
  </si>
  <si>
    <t>Pencil</t>
  </si>
  <si>
    <t>Jardine</t>
  </si>
  <si>
    <t>Binder</t>
  </si>
  <si>
    <t>Andrews</t>
  </si>
  <si>
    <t>Pen</t>
  </si>
  <si>
    <t>Morgan</t>
  </si>
  <si>
    <t>Pen Set</t>
  </si>
  <si>
    <t>East</t>
  </si>
  <si>
    <t>Jones</t>
  </si>
  <si>
    <t>Parent</t>
  </si>
  <si>
    <t>Howard</t>
  </si>
  <si>
    <t xml:space="preserve">Find these values: </t>
  </si>
  <si>
    <t>Mean</t>
  </si>
  <si>
    <t>Mode</t>
  </si>
  <si>
    <t>Median</t>
  </si>
  <si>
    <t>Bins</t>
  </si>
  <si>
    <t>Frequency</t>
  </si>
  <si>
    <t>Intervals</t>
  </si>
  <si>
    <t>Item Type</t>
  </si>
  <si>
    <t>Rel. Freq</t>
  </si>
  <si>
    <t>% Freq.</t>
  </si>
  <si>
    <t>West</t>
  </si>
  <si>
    <t>Sorvino</t>
  </si>
  <si>
    <t>Thompson</t>
  </si>
  <si>
    <t>Row Labels</t>
  </si>
  <si>
    <t>Grand Total</t>
  </si>
  <si>
    <t>(All)</t>
  </si>
  <si>
    <t>Column Labels</t>
  </si>
  <si>
    <t>Average of Total</t>
  </si>
  <si>
    <t>5-10</t>
  </si>
  <si>
    <t>0-5</t>
  </si>
  <si>
    <t>10-15</t>
  </si>
  <si>
    <t>25-30</t>
  </si>
  <si>
    <t>45-50</t>
  </si>
  <si>
    <t>50-55</t>
  </si>
  <si>
    <t>55-60</t>
  </si>
  <si>
    <t>60-65</t>
  </si>
  <si>
    <t>75-80</t>
  </si>
  <si>
    <t>80-85</t>
  </si>
  <si>
    <t>85-90</t>
  </si>
  <si>
    <t>90-95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</si>
</sst>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5" x14ac:knownFonts="1">
    <font>
      <sz val="11"/>
      <color theme="1"/>
      <name val="Calibri"/>
      <family val="2"/>
      <scheme val="minor"/>
    </font>
    <font>
      <sz val="12"/>
      <name val="Arial Narrow"/>
    </font>
    <font>
      <b/>
      <sz val="10"/>
      <color indexed="12"/>
      <name val="Arial"/>
      <family val="2"/>
    </font>
    <font>
      <sz val="10"/>
      <name val="Arial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25">
    <xf numFmtId="0" fontId="0" fillId="0" borderId="0" xfId="0"/>
    <xf numFmtId="0" fontId="2" fillId="0" borderId="0" xfId="1" applyFont="1" applyAlignment="1">
      <alignment horizontal="center" vertical="center"/>
    </xf>
    <xf numFmtId="1" fontId="2" fillId="0" borderId="0" xfId="1" applyNumberFormat="1" applyFont="1" applyAlignment="1">
      <alignment horizontal="left" vertical="center"/>
    </xf>
    <xf numFmtId="0" fontId="2" fillId="0" borderId="0" xfId="2" applyFont="1" applyAlignment="1">
      <alignment horizontal="left" vertical="center"/>
    </xf>
    <xf numFmtId="0" fontId="2" fillId="0" borderId="0" xfId="3" applyFont="1" applyFill="1" applyBorder="1" applyAlignment="1" applyProtection="1">
      <alignment horizontal="left" vertical="center"/>
      <protection locked="0"/>
    </xf>
    <xf numFmtId="0" fontId="2" fillId="0" borderId="0" xfId="3" applyFont="1" applyFill="1" applyBorder="1" applyAlignment="1" applyProtection="1">
      <alignment horizontal="left" vertical="center"/>
    </xf>
    <xf numFmtId="0" fontId="2" fillId="0" borderId="0" xfId="3" applyFont="1" applyBorder="1" applyAlignment="1" applyProtection="1">
      <alignment horizontal="left" vertical="center"/>
    </xf>
    <xf numFmtId="164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2" applyAlignment="1">
      <alignment horizontal="left" vertical="center"/>
    </xf>
    <xf numFmtId="0" fontId="3" fillId="0" borderId="0" xfId="1" applyFont="1" applyAlignment="1" applyProtection="1">
      <alignment vertical="center"/>
      <protection locked="0"/>
    </xf>
    <xf numFmtId="43" fontId="3" fillId="0" borderId="0" xfId="4" applyFont="1" applyFill="1" applyBorder="1" applyAlignment="1" applyProtection="1">
      <alignment horizontal="left" vertical="center"/>
    </xf>
    <xf numFmtId="43" fontId="3" fillId="0" borderId="0" xfId="4" applyFont="1" applyBorder="1" applyAlignment="1" applyProtection="1">
      <alignment vertical="center"/>
    </xf>
    <xf numFmtId="0" fontId="3" fillId="0" borderId="0" xfId="5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43" fontId="0" fillId="0" borderId="0" xfId="0" applyNumberFormat="1" applyBorder="1"/>
    <xf numFmtId="0" fontId="1" fillId="0" borderId="0" xfId="1" applyBorder="1" applyAlignment="1">
      <alignment vertical="center"/>
    </xf>
    <xf numFmtId="0" fontId="1" fillId="0" borderId="0" xfId="1" applyBorder="1"/>
    <xf numFmtId="0" fontId="4" fillId="0" borderId="0" xfId="1" applyFont="1" applyBorder="1" applyAlignment="1">
      <alignment vertical="center"/>
    </xf>
    <xf numFmtId="0" fontId="0" fillId="0" borderId="0" xfId="0" applyFill="1" applyBorder="1"/>
    <xf numFmtId="49" fontId="0" fillId="0" borderId="0" xfId="0" applyNumberFormat="1" applyBorder="1"/>
    <xf numFmtId="49" fontId="0" fillId="0" borderId="0" xfId="0" applyNumberFormat="1"/>
  </cellXfs>
  <cellStyles count="6">
    <cellStyle name="Comma 3" xfId="4" xr:uid="{47D212ED-16C9-488F-9703-E511412CE373}"/>
    <cellStyle name="Currency_TapePivot" xfId="3" xr:uid="{339FD550-E121-4117-8E45-3533220D2756}"/>
    <cellStyle name="Normal" xfId="0" builtinId="0"/>
    <cellStyle name="Normal 4" xfId="1" xr:uid="{94C9B62D-C37E-4BC8-8D80-D1C3B89ECB92}"/>
    <cellStyle name="Normal_Sheet1" xfId="5" xr:uid="{0D025F86-C6A1-4727-A3EB-EE28F9ADFB19}"/>
    <cellStyle name="Normal_TapePivot" xfId="2" xr:uid="{D08E48A2-010F-4C7C-AD8B-A4B6D29C1A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iz Ansari" refreshedDate="45196.64337002315" createdVersion="8" refreshedVersion="8" minRefreshableVersion="3" recordCount="43" xr:uid="{8F4876C2-243E-4526-8163-F32A355A2A90}">
  <cacheSource type="worksheet">
    <worksheetSource ref="A1:G44" sheet="Sheet1"/>
  </cacheSource>
  <cacheFields count="7">
    <cacheField name="OrderDate" numFmtId="164">
      <sharedItems containsSemiMixedTypes="0" containsNonDate="0" containsDate="1" containsString="0" minDate="2014-01-06T00:00:00" maxDate="2015-12-22T00:00:00"/>
    </cacheField>
    <cacheField name="Region" numFmtId="0">
      <sharedItems count="3">
        <s v="Central"/>
        <s v="East"/>
        <s v="West"/>
      </sharedItems>
    </cacheField>
    <cacheField name="Rep" numFmtId="0">
      <sharedItems count="11">
        <s v="Smith"/>
        <s v="Kivell"/>
        <s v="Gill"/>
        <s v="Jardine"/>
        <s v="Andrews"/>
        <s v="Morgan"/>
        <s v="Jones"/>
        <s v="Parent"/>
        <s v="Howard"/>
        <s v="Sorvino"/>
        <s v="Thompson"/>
      </sharedItems>
    </cacheField>
    <cacheField name="Item" numFmtId="0">
      <sharedItems count="5">
        <s v="Desk"/>
        <s v="Pencil"/>
        <s v="Binder"/>
        <s v="Pen"/>
        <s v="Pen Set"/>
      </sharedItems>
    </cacheField>
    <cacheField name="Units" numFmtId="0">
      <sharedItems containsSemiMixedTypes="0" containsString="0" containsNumber="1" containsInteger="1" minValue="2" maxValue="96"/>
    </cacheField>
    <cacheField name="Unit Cost" numFmtId="43">
      <sharedItems containsSemiMixedTypes="0" containsString="0" containsNumber="1" minValue="1.29" maxValue="275"/>
    </cacheField>
    <cacheField name="Total" numFmtId="43">
      <sharedItems containsSemiMixedTypes="0" containsString="0" containsNumber="1" minValue="9.0300000000000011" maxValue="1879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14-09-01T00:00:00"/>
    <x v="0"/>
    <x v="0"/>
    <x v="0"/>
    <n v="2"/>
    <n v="125"/>
    <n v="250"/>
  </r>
  <r>
    <d v="2015-06-17T00:00:00"/>
    <x v="0"/>
    <x v="1"/>
    <x v="0"/>
    <n v="5"/>
    <n v="125"/>
    <n v="625"/>
  </r>
  <r>
    <d v="2015-09-10T00:00:00"/>
    <x v="0"/>
    <x v="2"/>
    <x v="1"/>
    <n v="7"/>
    <n v="1.29"/>
    <n v="9.0300000000000011"/>
  </r>
  <r>
    <d v="2015-11-17T00:00:00"/>
    <x v="0"/>
    <x v="3"/>
    <x v="2"/>
    <n v="11"/>
    <n v="4.99"/>
    <n v="54.89"/>
  </r>
  <r>
    <d v="2015-10-31T00:00:00"/>
    <x v="0"/>
    <x v="4"/>
    <x v="1"/>
    <n v="14"/>
    <n v="1.29"/>
    <n v="18.060000000000002"/>
  </r>
  <r>
    <d v="2014-02-26T00:00:00"/>
    <x v="0"/>
    <x v="2"/>
    <x v="3"/>
    <n v="27"/>
    <n v="19.989999999999998"/>
    <n v="539.7299999999999"/>
  </r>
  <r>
    <d v="2014-10-05T00:00:00"/>
    <x v="0"/>
    <x v="5"/>
    <x v="2"/>
    <n v="28"/>
    <n v="8.99"/>
    <n v="251.72"/>
  </r>
  <r>
    <d v="2015-12-21T00:00:00"/>
    <x v="0"/>
    <x v="4"/>
    <x v="2"/>
    <n v="28"/>
    <n v="4.99"/>
    <n v="139.72"/>
  </r>
  <r>
    <d v="2014-02-09T00:00:00"/>
    <x v="0"/>
    <x v="3"/>
    <x v="1"/>
    <n v="36"/>
    <n v="4.99"/>
    <n v="179.64000000000001"/>
  </r>
  <r>
    <d v="2015-08-07T00:00:00"/>
    <x v="0"/>
    <x v="1"/>
    <x v="4"/>
    <n v="42"/>
    <n v="23.95"/>
    <n v="1005.9"/>
  </r>
  <r>
    <d v="2015-01-15T00:00:00"/>
    <x v="0"/>
    <x v="2"/>
    <x v="2"/>
    <n v="46"/>
    <n v="8.99"/>
    <n v="413.54"/>
  </r>
  <r>
    <d v="2014-01-23T00:00:00"/>
    <x v="0"/>
    <x v="1"/>
    <x v="2"/>
    <n v="50"/>
    <n v="19.989999999999998"/>
    <n v="999.49999999999989"/>
  </r>
  <r>
    <d v="2015-03-24T00:00:00"/>
    <x v="0"/>
    <x v="3"/>
    <x v="4"/>
    <n v="50"/>
    <n v="4.99"/>
    <n v="249.5"/>
  </r>
  <r>
    <d v="2015-05-14T00:00:00"/>
    <x v="0"/>
    <x v="2"/>
    <x v="1"/>
    <n v="53"/>
    <n v="1.29"/>
    <n v="68.37"/>
  </r>
  <r>
    <d v="2015-07-21T00:00:00"/>
    <x v="0"/>
    <x v="5"/>
    <x v="4"/>
    <n v="55"/>
    <n v="12.49"/>
    <n v="686.95"/>
  </r>
  <r>
    <d v="2015-04-10T00:00:00"/>
    <x v="0"/>
    <x v="4"/>
    <x v="1"/>
    <n v="66"/>
    <n v="1.99"/>
    <n v="131.34"/>
  </r>
  <r>
    <d v="2014-12-12T00:00:00"/>
    <x v="0"/>
    <x v="0"/>
    <x v="1"/>
    <n v="67"/>
    <n v="1.29"/>
    <n v="86.43"/>
  </r>
  <r>
    <d v="2014-04-18T00:00:00"/>
    <x v="0"/>
    <x v="4"/>
    <x v="1"/>
    <n v="75"/>
    <n v="1.99"/>
    <n v="149.25"/>
  </r>
  <r>
    <d v="2015-05-31T00:00:00"/>
    <x v="0"/>
    <x v="2"/>
    <x v="2"/>
    <n v="80"/>
    <n v="8.99"/>
    <n v="719.2"/>
  </r>
  <r>
    <d v="2015-02-01T00:00:00"/>
    <x v="0"/>
    <x v="0"/>
    <x v="2"/>
    <n v="87"/>
    <n v="15"/>
    <n v="1305"/>
  </r>
  <r>
    <d v="2014-05-05T00:00:00"/>
    <x v="0"/>
    <x v="3"/>
    <x v="1"/>
    <n v="90"/>
    <n v="4.99"/>
    <n v="449.1"/>
  </r>
  <r>
    <d v="2014-06-25T00:00:00"/>
    <x v="0"/>
    <x v="5"/>
    <x v="1"/>
    <n v="90"/>
    <n v="4.99"/>
    <n v="449.1"/>
  </r>
  <r>
    <d v="2015-12-04T00:00:00"/>
    <x v="0"/>
    <x v="3"/>
    <x v="2"/>
    <n v="94"/>
    <n v="19.989999999999998"/>
    <n v="1879.06"/>
  </r>
  <r>
    <d v="2014-11-25T00:00:00"/>
    <x v="0"/>
    <x v="1"/>
    <x v="4"/>
    <n v="96"/>
    <n v="4.99"/>
    <n v="479.04"/>
  </r>
  <r>
    <d v="2015-02-18T00:00:00"/>
    <x v="1"/>
    <x v="6"/>
    <x v="2"/>
    <n v="4"/>
    <n v="4.99"/>
    <n v="19.96"/>
  </r>
  <r>
    <d v="2014-11-08T00:00:00"/>
    <x v="1"/>
    <x v="7"/>
    <x v="3"/>
    <n v="15"/>
    <n v="19.989999999999998"/>
    <n v="299.84999999999997"/>
  </r>
  <r>
    <d v="2014-09-18T00:00:00"/>
    <x v="1"/>
    <x v="6"/>
    <x v="4"/>
    <n v="16"/>
    <n v="15.99"/>
    <n v="255.84"/>
  </r>
  <r>
    <d v="2014-07-12T00:00:00"/>
    <x v="1"/>
    <x v="8"/>
    <x v="2"/>
    <n v="29"/>
    <n v="1.99"/>
    <n v="57.71"/>
  </r>
  <r>
    <d v="2014-08-15T00:00:00"/>
    <x v="1"/>
    <x v="6"/>
    <x v="1"/>
    <n v="35"/>
    <n v="4.99"/>
    <n v="174.65"/>
  </r>
  <r>
    <d v="2014-04-01T00:00:00"/>
    <x v="1"/>
    <x v="6"/>
    <x v="2"/>
    <n v="60"/>
    <n v="4.99"/>
    <n v="299.40000000000003"/>
  </r>
  <r>
    <d v="2014-06-08T00:00:00"/>
    <x v="1"/>
    <x v="6"/>
    <x v="2"/>
    <n v="60"/>
    <n v="8.99"/>
    <n v="539.4"/>
  </r>
  <r>
    <d v="2015-07-04T00:00:00"/>
    <x v="1"/>
    <x v="6"/>
    <x v="4"/>
    <n v="62"/>
    <n v="4.99"/>
    <n v="309.38"/>
  </r>
  <r>
    <d v="2014-10-22T00:00:00"/>
    <x v="1"/>
    <x v="6"/>
    <x v="3"/>
    <n v="64"/>
    <n v="8.99"/>
    <n v="575.36"/>
  </r>
  <r>
    <d v="2014-12-29T00:00:00"/>
    <x v="1"/>
    <x v="7"/>
    <x v="4"/>
    <n v="74"/>
    <n v="15.99"/>
    <n v="1183.26"/>
  </r>
  <r>
    <d v="2014-07-29T00:00:00"/>
    <x v="1"/>
    <x v="7"/>
    <x v="2"/>
    <n v="81"/>
    <n v="19.989999999999998"/>
    <n v="1619.1899999999998"/>
  </r>
  <r>
    <d v="2014-01-06T00:00:00"/>
    <x v="1"/>
    <x v="6"/>
    <x v="1"/>
    <n v="95"/>
    <n v="1.99"/>
    <n v="189.05"/>
  </r>
  <r>
    <d v="2015-04-27T00:00:00"/>
    <x v="1"/>
    <x v="8"/>
    <x v="3"/>
    <n v="96"/>
    <n v="4.99"/>
    <n v="479.04"/>
  </r>
  <r>
    <d v="2015-08-24T00:00:00"/>
    <x v="2"/>
    <x v="9"/>
    <x v="0"/>
    <n v="3"/>
    <n v="275"/>
    <n v="825"/>
  </r>
  <r>
    <d v="2015-03-07T00:00:00"/>
    <x v="2"/>
    <x v="9"/>
    <x v="2"/>
    <n v="7"/>
    <n v="19.989999999999998"/>
    <n v="139.92999999999998"/>
  </r>
  <r>
    <d v="2014-05-22T00:00:00"/>
    <x v="2"/>
    <x v="10"/>
    <x v="1"/>
    <n v="32"/>
    <n v="1.99"/>
    <n v="63.68"/>
  </r>
  <r>
    <d v="2014-03-15T00:00:00"/>
    <x v="2"/>
    <x v="9"/>
    <x v="1"/>
    <n v="56"/>
    <n v="2.99"/>
    <n v="167.44"/>
  </r>
  <r>
    <d v="2015-10-14T00:00:00"/>
    <x v="2"/>
    <x v="10"/>
    <x v="2"/>
    <n v="57"/>
    <n v="19.989999999999998"/>
    <n v="1139.4299999999998"/>
  </r>
  <r>
    <d v="2015-09-27T00:00:00"/>
    <x v="2"/>
    <x v="9"/>
    <x v="3"/>
    <n v="76"/>
    <n v="1.99"/>
    <n v="151.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D436F-00C0-4698-B4BB-6CD00F84EAC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5:O30" firstHeaderRow="1" firstDataRow="2" firstDataCol="1" rowPageCount="1" colPageCount="1"/>
  <pivotFields count="7">
    <pivotField numFmtId="164" showAll="0"/>
    <pivotField axis="axisRow" showAll="0">
      <items count="4">
        <item x="0"/>
        <item x="1"/>
        <item x="2"/>
        <item t="default"/>
      </items>
    </pivotField>
    <pivotField axis="axisPage" showAll="0">
      <items count="12">
        <item x="4"/>
        <item x="2"/>
        <item x="8"/>
        <item x="3"/>
        <item x="6"/>
        <item x="1"/>
        <item x="5"/>
        <item x="7"/>
        <item x="0"/>
        <item x="9"/>
        <item x="10"/>
        <item t="default"/>
      </items>
    </pivotField>
    <pivotField axis="axisCol" showAll="0">
      <items count="6">
        <item x="2"/>
        <item x="0"/>
        <item x="3"/>
        <item x="4"/>
        <item x="1"/>
        <item t="default"/>
      </items>
    </pivotField>
    <pivotField showAll="0"/>
    <pivotField numFmtId="43" showAll="0"/>
    <pivotField dataField="1" numFmtId="43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hier="-1"/>
  </pageFields>
  <dataFields count="1">
    <dataField name="Average of Total" fld="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079B7-4F76-4D6C-9D79-38672CBB10C9}">
  <dimension ref="A1:P44"/>
  <sheetViews>
    <sheetView tabSelected="1" topLeftCell="B7" workbookViewId="0">
      <selection activeCell="M20" sqref="M20"/>
    </sheetView>
  </sheetViews>
  <sheetFormatPr defaultRowHeight="14.5" x14ac:dyDescent="0.35"/>
  <cols>
    <col min="7" max="7" width="9.1796875" bestFit="1" customWidth="1"/>
    <col min="9" max="9" width="14.54296875" bestFit="1" customWidth="1"/>
    <col min="10" max="10" width="15.26953125" bestFit="1" customWidth="1"/>
    <col min="11" max="15" width="11.8164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I1" s="17" t="s">
        <v>23</v>
      </c>
      <c r="J1" s="17"/>
      <c r="K1" s="17"/>
      <c r="L1" s="17"/>
      <c r="M1" s="17"/>
      <c r="N1" s="17"/>
      <c r="O1" s="17"/>
      <c r="P1" s="17"/>
    </row>
    <row r="2" spans="1:16" x14ac:dyDescent="0.35">
      <c r="A2" s="7">
        <v>41883</v>
      </c>
      <c r="B2" s="8" t="s">
        <v>7</v>
      </c>
      <c r="C2" s="8" t="s">
        <v>8</v>
      </c>
      <c r="D2" s="9" t="s">
        <v>9</v>
      </c>
      <c r="E2" s="10">
        <v>2</v>
      </c>
      <c r="F2" s="11">
        <v>125</v>
      </c>
      <c r="G2" s="12">
        <v>250</v>
      </c>
      <c r="I2" s="17"/>
      <c r="J2" s="17"/>
      <c r="K2" s="17"/>
      <c r="L2" s="17"/>
      <c r="M2" s="17"/>
      <c r="N2" s="17"/>
      <c r="O2" s="17"/>
      <c r="P2" s="17"/>
    </row>
    <row r="3" spans="1:16" x14ac:dyDescent="0.35">
      <c r="A3" s="7">
        <v>42172</v>
      </c>
      <c r="B3" s="13" t="s">
        <v>7</v>
      </c>
      <c r="C3" s="13" t="s">
        <v>10</v>
      </c>
      <c r="D3" s="9" t="s">
        <v>9</v>
      </c>
      <c r="E3" s="10">
        <v>5</v>
      </c>
      <c r="F3" s="11">
        <v>125</v>
      </c>
      <c r="G3" s="12">
        <v>625</v>
      </c>
      <c r="I3" s="17" t="s">
        <v>24</v>
      </c>
      <c r="J3" s="18">
        <f>AVERAGE(G2:G44)</f>
        <v>456.46232558139531</v>
      </c>
      <c r="K3" s="17"/>
      <c r="L3" s="17"/>
      <c r="M3" s="17"/>
      <c r="N3" s="17"/>
      <c r="O3" s="17"/>
      <c r="P3" s="17"/>
    </row>
    <row r="4" spans="1:16" x14ac:dyDescent="0.35">
      <c r="A4" s="7">
        <v>42257</v>
      </c>
      <c r="B4" s="8" t="s">
        <v>7</v>
      </c>
      <c r="C4" s="8" t="s">
        <v>11</v>
      </c>
      <c r="D4" s="9" t="s">
        <v>12</v>
      </c>
      <c r="E4" s="10">
        <v>7</v>
      </c>
      <c r="F4" s="11">
        <v>1.29</v>
      </c>
      <c r="G4" s="12">
        <v>9.0300000000000011</v>
      </c>
      <c r="I4" s="17" t="s">
        <v>25</v>
      </c>
      <c r="J4" s="17">
        <f>MODE(G2:G44)</f>
        <v>449.1</v>
      </c>
      <c r="K4" s="17"/>
      <c r="L4" s="17"/>
      <c r="M4" s="17"/>
      <c r="N4" s="17"/>
      <c r="O4" s="17"/>
      <c r="P4" s="17"/>
    </row>
    <row r="5" spans="1:16" x14ac:dyDescent="0.35">
      <c r="A5" s="7">
        <v>42325</v>
      </c>
      <c r="B5" s="13" t="s">
        <v>7</v>
      </c>
      <c r="C5" s="8" t="s">
        <v>13</v>
      </c>
      <c r="D5" s="9" t="s">
        <v>14</v>
      </c>
      <c r="E5" s="10">
        <v>11</v>
      </c>
      <c r="F5" s="11">
        <v>4.99</v>
      </c>
      <c r="G5" s="12">
        <v>54.89</v>
      </c>
      <c r="I5" s="17" t="s">
        <v>26</v>
      </c>
      <c r="J5" s="18">
        <f>MEDIAN(G2:G44)</f>
        <v>299.40000000000003</v>
      </c>
      <c r="K5" s="17"/>
      <c r="L5" s="17"/>
      <c r="M5" s="17"/>
      <c r="N5" s="17"/>
      <c r="O5" s="17"/>
      <c r="P5" s="17"/>
    </row>
    <row r="6" spans="1:16" x14ac:dyDescent="0.35">
      <c r="A6" s="7">
        <v>42308</v>
      </c>
      <c r="B6" s="8" t="s">
        <v>7</v>
      </c>
      <c r="C6" s="8" t="s">
        <v>15</v>
      </c>
      <c r="D6" s="9" t="s">
        <v>12</v>
      </c>
      <c r="E6" s="10">
        <v>14</v>
      </c>
      <c r="F6" s="11">
        <v>1.29</v>
      </c>
      <c r="G6" s="12">
        <v>18.060000000000002</v>
      </c>
      <c r="I6" s="17"/>
      <c r="J6" s="17"/>
      <c r="K6" s="17"/>
      <c r="L6" s="17"/>
      <c r="M6" s="17"/>
      <c r="N6" s="17"/>
      <c r="O6" s="17"/>
      <c r="P6" s="17"/>
    </row>
    <row r="7" spans="1:16" x14ac:dyDescent="0.35">
      <c r="A7" s="7">
        <v>41696</v>
      </c>
      <c r="B7" s="8" t="s">
        <v>7</v>
      </c>
      <c r="C7" s="8" t="s">
        <v>11</v>
      </c>
      <c r="D7" s="9" t="s">
        <v>16</v>
      </c>
      <c r="E7" s="10">
        <v>27</v>
      </c>
      <c r="F7" s="11">
        <v>19.989999999999998</v>
      </c>
      <c r="G7" s="12">
        <v>539.7299999999999</v>
      </c>
      <c r="I7" s="17"/>
      <c r="J7" s="17"/>
      <c r="K7" s="17"/>
      <c r="L7" s="17"/>
      <c r="M7" s="17"/>
      <c r="N7" s="17"/>
      <c r="O7" s="17"/>
      <c r="P7" s="17"/>
    </row>
    <row r="8" spans="1:16" ht="15.5" x14ac:dyDescent="0.35">
      <c r="A8" s="7">
        <v>41917</v>
      </c>
      <c r="B8" s="13" t="s">
        <v>7</v>
      </c>
      <c r="C8" s="13" t="s">
        <v>17</v>
      </c>
      <c r="D8" s="9" t="s">
        <v>14</v>
      </c>
      <c r="E8" s="10">
        <v>28</v>
      </c>
      <c r="F8" s="11">
        <v>8.99</v>
      </c>
      <c r="G8" s="12">
        <v>251.72</v>
      </c>
      <c r="I8" s="19" t="s">
        <v>27</v>
      </c>
      <c r="J8" s="19" t="s">
        <v>28</v>
      </c>
      <c r="K8" s="19" t="s">
        <v>29</v>
      </c>
      <c r="L8" s="20"/>
      <c r="M8" s="21" t="s">
        <v>30</v>
      </c>
      <c r="N8" s="21" t="s">
        <v>28</v>
      </c>
      <c r="O8" s="21" t="s">
        <v>31</v>
      </c>
      <c r="P8" s="21" t="s">
        <v>32</v>
      </c>
    </row>
    <row r="9" spans="1:16" x14ac:dyDescent="0.35">
      <c r="A9" s="7">
        <v>42359</v>
      </c>
      <c r="B9" s="8" t="s">
        <v>7</v>
      </c>
      <c r="C9" s="8" t="s">
        <v>15</v>
      </c>
      <c r="D9" s="9" t="s">
        <v>14</v>
      </c>
      <c r="E9" s="10">
        <v>28</v>
      </c>
      <c r="F9" s="11">
        <v>4.99</v>
      </c>
      <c r="G9" s="12">
        <v>139.72</v>
      </c>
      <c r="I9" s="22">
        <v>11</v>
      </c>
      <c r="J9" s="17">
        <v>1</v>
      </c>
      <c r="K9" s="23" t="s">
        <v>43</v>
      </c>
      <c r="L9" s="17"/>
      <c r="M9" s="17" t="s">
        <v>14</v>
      </c>
      <c r="N9" s="17">
        <f>COUNTIF(D2:D44,"Binder")</f>
        <v>15</v>
      </c>
      <c r="O9" s="17">
        <f>15/43</f>
        <v>0.34883720930232559</v>
      </c>
      <c r="P9" s="17">
        <f>O9*100</f>
        <v>34.883720930232556</v>
      </c>
    </row>
    <row r="10" spans="1:16" x14ac:dyDescent="0.35">
      <c r="A10" s="7">
        <v>41679</v>
      </c>
      <c r="B10" s="13" t="s">
        <v>7</v>
      </c>
      <c r="C10" s="8" t="s">
        <v>13</v>
      </c>
      <c r="D10" s="9" t="s">
        <v>12</v>
      </c>
      <c r="E10" s="10">
        <v>36</v>
      </c>
      <c r="F10" s="11">
        <v>4.99</v>
      </c>
      <c r="G10" s="12">
        <v>179.64000000000001</v>
      </c>
      <c r="I10">
        <v>28</v>
      </c>
      <c r="J10">
        <v>2</v>
      </c>
      <c r="K10" s="24" t="s">
        <v>44</v>
      </c>
      <c r="M10" t="s">
        <v>9</v>
      </c>
      <c r="N10">
        <f>COUNTIF(D2:D44,"Desk")</f>
        <v>3</v>
      </c>
      <c r="O10">
        <f>3/43</f>
        <v>6.9767441860465115E-2</v>
      </c>
      <c r="P10">
        <f>O10*100</f>
        <v>6.9767441860465116</v>
      </c>
    </row>
    <row r="11" spans="1:16" x14ac:dyDescent="0.35">
      <c r="A11" s="7">
        <v>42223</v>
      </c>
      <c r="B11" s="13" t="s">
        <v>7</v>
      </c>
      <c r="C11" s="8" t="s">
        <v>10</v>
      </c>
      <c r="D11" s="9" t="s">
        <v>18</v>
      </c>
      <c r="E11" s="10">
        <v>42</v>
      </c>
      <c r="F11" s="11">
        <v>23.95</v>
      </c>
      <c r="G11" s="12">
        <v>1005.9</v>
      </c>
      <c r="I11">
        <v>46</v>
      </c>
      <c r="J11">
        <v>1</v>
      </c>
      <c r="K11" s="24" t="s">
        <v>45</v>
      </c>
      <c r="M11" t="s">
        <v>16</v>
      </c>
      <c r="N11">
        <f>COUNTIF(D2:D44,"Pen")</f>
        <v>5</v>
      </c>
      <c r="O11">
        <f>5/43</f>
        <v>0.11627906976744186</v>
      </c>
      <c r="P11">
        <f>O11*100</f>
        <v>11.627906976744185</v>
      </c>
    </row>
    <row r="12" spans="1:16" x14ac:dyDescent="0.35">
      <c r="A12" s="7">
        <v>42019</v>
      </c>
      <c r="B12" s="8" t="s">
        <v>7</v>
      </c>
      <c r="C12" s="8" t="s">
        <v>11</v>
      </c>
      <c r="D12" s="9" t="s">
        <v>14</v>
      </c>
      <c r="E12" s="10">
        <v>46</v>
      </c>
      <c r="F12" s="11">
        <v>8.99</v>
      </c>
      <c r="G12" s="12">
        <v>413.54</v>
      </c>
      <c r="I12">
        <v>50</v>
      </c>
      <c r="J12">
        <v>1</v>
      </c>
      <c r="K12" s="24" t="s">
        <v>46</v>
      </c>
      <c r="M12" t="s">
        <v>18</v>
      </c>
      <c r="N12">
        <f>COUNTIF(D2:D44,"Pen Set")</f>
        <v>7</v>
      </c>
      <c r="O12">
        <f>7/43</f>
        <v>0.16279069767441862</v>
      </c>
      <c r="P12">
        <f>O12*100</f>
        <v>16.279069767441861</v>
      </c>
    </row>
    <row r="13" spans="1:16" x14ac:dyDescent="0.35">
      <c r="A13" s="7">
        <v>41662</v>
      </c>
      <c r="B13" s="13" t="s">
        <v>7</v>
      </c>
      <c r="C13" s="13" t="s">
        <v>10</v>
      </c>
      <c r="D13" s="9" t="s">
        <v>14</v>
      </c>
      <c r="E13" s="10">
        <v>50</v>
      </c>
      <c r="F13" s="11">
        <v>19.989999999999998</v>
      </c>
      <c r="G13" s="12">
        <v>999.49999999999989</v>
      </c>
      <c r="I13">
        <v>80</v>
      </c>
      <c r="J13">
        <v>1</v>
      </c>
      <c r="K13" s="24" t="s">
        <v>49</v>
      </c>
      <c r="M13" t="s">
        <v>12</v>
      </c>
      <c r="N13">
        <f>COUNTIF(D2:D44,"Pencil")</f>
        <v>13</v>
      </c>
      <c r="O13">
        <f>13/43</f>
        <v>0.30232558139534882</v>
      </c>
      <c r="P13">
        <f>O13*100</f>
        <v>30.232558139534881</v>
      </c>
    </row>
    <row r="14" spans="1:16" x14ac:dyDescent="0.35">
      <c r="A14" s="7">
        <v>42087</v>
      </c>
      <c r="B14" s="13" t="s">
        <v>7</v>
      </c>
      <c r="C14" s="8" t="s">
        <v>13</v>
      </c>
      <c r="D14" s="9" t="s">
        <v>18</v>
      </c>
      <c r="E14" s="10">
        <v>50</v>
      </c>
      <c r="F14" s="11">
        <v>4.99</v>
      </c>
      <c r="G14" s="12">
        <v>249.5</v>
      </c>
      <c r="I14">
        <v>87</v>
      </c>
      <c r="J14">
        <v>1</v>
      </c>
      <c r="K14" s="24" t="s">
        <v>51</v>
      </c>
      <c r="N14" s="17"/>
    </row>
    <row r="15" spans="1:16" x14ac:dyDescent="0.35">
      <c r="A15" s="7">
        <v>42138</v>
      </c>
      <c r="B15" s="8" t="s">
        <v>7</v>
      </c>
      <c r="C15" s="8" t="s">
        <v>11</v>
      </c>
      <c r="D15" s="9" t="s">
        <v>12</v>
      </c>
      <c r="E15" s="10">
        <v>53</v>
      </c>
      <c r="F15" s="11">
        <v>1.29</v>
      </c>
      <c r="G15" s="12">
        <v>68.37</v>
      </c>
      <c r="I15">
        <v>94</v>
      </c>
      <c r="J15">
        <v>1</v>
      </c>
      <c r="K15" s="24" t="s">
        <v>52</v>
      </c>
    </row>
    <row r="16" spans="1:16" x14ac:dyDescent="0.35">
      <c r="A16" s="7">
        <v>42206</v>
      </c>
      <c r="B16" s="13" t="s">
        <v>7</v>
      </c>
      <c r="C16" s="13" t="s">
        <v>17</v>
      </c>
      <c r="D16" s="9" t="s">
        <v>18</v>
      </c>
      <c r="E16" s="10">
        <v>55</v>
      </c>
      <c r="F16" s="11">
        <v>12.49</v>
      </c>
      <c r="G16" s="12">
        <v>686.95</v>
      </c>
      <c r="I16">
        <v>4</v>
      </c>
      <c r="J16">
        <v>1</v>
      </c>
      <c r="K16" s="24" t="s">
        <v>42</v>
      </c>
    </row>
    <row r="17" spans="1:15" x14ac:dyDescent="0.35">
      <c r="A17" s="7">
        <v>42104</v>
      </c>
      <c r="B17" s="8" t="s">
        <v>7</v>
      </c>
      <c r="C17" s="8" t="s">
        <v>15</v>
      </c>
      <c r="D17" s="9" t="s">
        <v>12</v>
      </c>
      <c r="E17" s="10">
        <v>66</v>
      </c>
      <c r="F17" s="11">
        <v>1.99</v>
      </c>
      <c r="G17" s="12">
        <v>131.34</v>
      </c>
      <c r="I17">
        <v>29</v>
      </c>
      <c r="J17">
        <v>1</v>
      </c>
      <c r="K17" s="24" t="s">
        <v>44</v>
      </c>
    </row>
    <row r="18" spans="1:15" x14ac:dyDescent="0.35">
      <c r="A18" s="7">
        <v>41985</v>
      </c>
      <c r="B18" s="8" t="s">
        <v>7</v>
      </c>
      <c r="C18" s="8" t="s">
        <v>8</v>
      </c>
      <c r="D18" s="9" t="s">
        <v>12</v>
      </c>
      <c r="E18" s="10">
        <v>67</v>
      </c>
      <c r="F18" s="11">
        <v>1.29</v>
      </c>
      <c r="G18" s="12">
        <v>86.43</v>
      </c>
      <c r="I18">
        <v>60</v>
      </c>
      <c r="J18">
        <v>2</v>
      </c>
      <c r="K18" s="24" t="s">
        <v>48</v>
      </c>
    </row>
    <row r="19" spans="1:15" x14ac:dyDescent="0.35">
      <c r="A19" s="7">
        <v>41747</v>
      </c>
      <c r="B19" s="8" t="s">
        <v>7</v>
      </c>
      <c r="C19" s="8" t="s">
        <v>15</v>
      </c>
      <c r="D19" s="9" t="s">
        <v>12</v>
      </c>
      <c r="E19" s="10">
        <v>75</v>
      </c>
      <c r="F19" s="11">
        <v>1.99</v>
      </c>
      <c r="G19" s="12">
        <v>149.25</v>
      </c>
      <c r="I19">
        <v>81</v>
      </c>
      <c r="J19">
        <v>1</v>
      </c>
      <c r="K19" s="24" t="s">
        <v>50</v>
      </c>
    </row>
    <row r="20" spans="1:15" x14ac:dyDescent="0.35">
      <c r="A20" s="7">
        <v>42155</v>
      </c>
      <c r="B20" s="8" t="s">
        <v>7</v>
      </c>
      <c r="C20" s="8" t="s">
        <v>11</v>
      </c>
      <c r="D20" s="9" t="s">
        <v>14</v>
      </c>
      <c r="E20" s="10">
        <v>80</v>
      </c>
      <c r="F20" s="11">
        <v>8.99</v>
      </c>
      <c r="G20" s="12">
        <v>719.2</v>
      </c>
      <c r="I20">
        <v>7</v>
      </c>
      <c r="J20">
        <v>1</v>
      </c>
      <c r="K20" s="24" t="s">
        <v>41</v>
      </c>
    </row>
    <row r="21" spans="1:15" x14ac:dyDescent="0.35">
      <c r="A21" s="7">
        <v>42036</v>
      </c>
      <c r="B21" s="8" t="s">
        <v>7</v>
      </c>
      <c r="C21" s="8" t="s">
        <v>8</v>
      </c>
      <c r="D21" s="9" t="s">
        <v>14</v>
      </c>
      <c r="E21" s="10">
        <v>87</v>
      </c>
      <c r="F21" s="11">
        <v>15</v>
      </c>
      <c r="G21" s="12">
        <v>1305</v>
      </c>
      <c r="I21">
        <v>57</v>
      </c>
      <c r="J21">
        <v>1</v>
      </c>
      <c r="K21" s="24" t="s">
        <v>47</v>
      </c>
    </row>
    <row r="22" spans="1:15" x14ac:dyDescent="0.35">
      <c r="A22" s="7">
        <v>41764</v>
      </c>
      <c r="B22" s="13" t="s">
        <v>7</v>
      </c>
      <c r="C22" s="8" t="s">
        <v>13</v>
      </c>
      <c r="D22" s="9" t="s">
        <v>12</v>
      </c>
      <c r="E22" s="10">
        <v>90</v>
      </c>
      <c r="F22" s="11">
        <v>4.99</v>
      </c>
      <c r="G22" s="12">
        <v>449.1</v>
      </c>
    </row>
    <row r="23" spans="1:15" x14ac:dyDescent="0.35">
      <c r="A23" s="7">
        <v>41815</v>
      </c>
      <c r="B23" s="13" t="s">
        <v>7</v>
      </c>
      <c r="C23" s="13" t="s">
        <v>17</v>
      </c>
      <c r="D23" s="9" t="s">
        <v>12</v>
      </c>
      <c r="E23" s="10">
        <v>90</v>
      </c>
      <c r="F23" s="11">
        <v>4.99</v>
      </c>
      <c r="G23" s="12">
        <v>449.1</v>
      </c>
      <c r="I23" s="14" t="s">
        <v>2</v>
      </c>
      <c r="J23" t="s">
        <v>38</v>
      </c>
    </row>
    <row r="24" spans="1:15" x14ac:dyDescent="0.35">
      <c r="A24" s="7">
        <v>42342</v>
      </c>
      <c r="B24" s="13" t="s">
        <v>7</v>
      </c>
      <c r="C24" s="8" t="s">
        <v>13</v>
      </c>
      <c r="D24" s="9" t="s">
        <v>14</v>
      </c>
      <c r="E24" s="10">
        <v>94</v>
      </c>
      <c r="F24" s="11">
        <v>19.989999999999998</v>
      </c>
      <c r="G24" s="12">
        <v>1879.06</v>
      </c>
    </row>
    <row r="25" spans="1:15" x14ac:dyDescent="0.35">
      <c r="A25" s="7">
        <v>41968</v>
      </c>
      <c r="B25" s="13" t="s">
        <v>7</v>
      </c>
      <c r="C25" s="8" t="s">
        <v>10</v>
      </c>
      <c r="D25" s="9" t="s">
        <v>18</v>
      </c>
      <c r="E25" s="10">
        <v>96</v>
      </c>
      <c r="F25" s="11">
        <v>4.99</v>
      </c>
      <c r="G25" s="12">
        <v>479.04</v>
      </c>
      <c r="I25" s="14" t="s">
        <v>40</v>
      </c>
      <c r="J25" s="14" t="s">
        <v>39</v>
      </c>
    </row>
    <row r="26" spans="1:15" x14ac:dyDescent="0.35">
      <c r="A26" s="7">
        <v>42053</v>
      </c>
      <c r="B26" s="13" t="s">
        <v>19</v>
      </c>
      <c r="C26" s="13" t="s">
        <v>20</v>
      </c>
      <c r="D26" s="9" t="s">
        <v>14</v>
      </c>
      <c r="E26" s="10">
        <v>4</v>
      </c>
      <c r="F26" s="11">
        <v>4.99</v>
      </c>
      <c r="G26" s="12">
        <v>19.96</v>
      </c>
      <c r="I26" s="14" t="s">
        <v>36</v>
      </c>
      <c r="J26" t="s">
        <v>14</v>
      </c>
      <c r="K26" t="s">
        <v>9</v>
      </c>
      <c r="L26" t="s">
        <v>16</v>
      </c>
      <c r="M26" t="s">
        <v>18</v>
      </c>
      <c r="N26" t="s">
        <v>12</v>
      </c>
      <c r="O26" t="s">
        <v>37</v>
      </c>
    </row>
    <row r="27" spans="1:15" x14ac:dyDescent="0.35">
      <c r="A27" s="7">
        <v>41951</v>
      </c>
      <c r="B27" s="8" t="s">
        <v>19</v>
      </c>
      <c r="C27" s="8" t="s">
        <v>21</v>
      </c>
      <c r="D27" s="9" t="s">
        <v>16</v>
      </c>
      <c r="E27" s="10">
        <v>15</v>
      </c>
      <c r="F27" s="11">
        <v>19.989999999999998</v>
      </c>
      <c r="G27" s="12">
        <v>299.84999999999997</v>
      </c>
      <c r="I27" s="15" t="s">
        <v>7</v>
      </c>
      <c r="J27" s="16">
        <v>720.3287499999999</v>
      </c>
      <c r="K27" s="16">
        <v>437.5</v>
      </c>
      <c r="L27" s="16">
        <v>539.7299999999999</v>
      </c>
      <c r="M27" s="16">
        <v>605.34750000000008</v>
      </c>
      <c r="N27" s="16">
        <v>171.14666666666668</v>
      </c>
      <c r="O27" s="16">
        <v>464.12791666666675</v>
      </c>
    </row>
    <row r="28" spans="1:15" x14ac:dyDescent="0.35">
      <c r="A28" s="7">
        <v>41900</v>
      </c>
      <c r="B28" s="13" t="s">
        <v>19</v>
      </c>
      <c r="C28" s="13" t="s">
        <v>20</v>
      </c>
      <c r="D28" s="9" t="s">
        <v>18</v>
      </c>
      <c r="E28" s="10">
        <v>16</v>
      </c>
      <c r="F28" s="11">
        <v>15.99</v>
      </c>
      <c r="G28" s="12">
        <v>255.84</v>
      </c>
      <c r="I28" s="15" t="s">
        <v>19</v>
      </c>
      <c r="J28" s="16">
        <v>507.13199999999995</v>
      </c>
      <c r="K28" s="16"/>
      <c r="L28" s="16">
        <v>451.41666666666669</v>
      </c>
      <c r="M28" s="16">
        <v>582.82666666666671</v>
      </c>
      <c r="N28" s="16">
        <v>181.85000000000002</v>
      </c>
      <c r="O28" s="16">
        <v>461.69923076923078</v>
      </c>
    </row>
    <row r="29" spans="1:15" x14ac:dyDescent="0.35">
      <c r="A29" s="7">
        <v>41832</v>
      </c>
      <c r="B29" s="13" t="s">
        <v>19</v>
      </c>
      <c r="C29" s="13" t="s">
        <v>22</v>
      </c>
      <c r="D29" s="9" t="s">
        <v>14</v>
      </c>
      <c r="E29" s="10">
        <v>29</v>
      </c>
      <c r="F29" s="11">
        <v>1.99</v>
      </c>
      <c r="G29" s="12">
        <v>57.71</v>
      </c>
      <c r="I29" s="15" t="s">
        <v>33</v>
      </c>
      <c r="J29" s="16">
        <v>639.67999999999995</v>
      </c>
      <c r="K29" s="16">
        <v>825</v>
      </c>
      <c r="L29" s="16">
        <v>151.24</v>
      </c>
      <c r="M29" s="16"/>
      <c r="N29" s="16">
        <v>115.56</v>
      </c>
      <c r="O29" s="16">
        <v>414.45333333333321</v>
      </c>
    </row>
    <row r="30" spans="1:15" x14ac:dyDescent="0.35">
      <c r="A30" s="7">
        <v>41866</v>
      </c>
      <c r="B30" s="13" t="s">
        <v>19</v>
      </c>
      <c r="C30" s="8" t="s">
        <v>20</v>
      </c>
      <c r="D30" s="9" t="s">
        <v>12</v>
      </c>
      <c r="E30" s="10">
        <v>35</v>
      </c>
      <c r="F30" s="11">
        <v>4.99</v>
      </c>
      <c r="G30" s="12">
        <v>174.65</v>
      </c>
      <c r="I30" s="15" t="s">
        <v>37</v>
      </c>
      <c r="J30" s="16">
        <v>638.51</v>
      </c>
      <c r="K30" s="16">
        <v>566.66666666666663</v>
      </c>
      <c r="L30" s="16">
        <v>409.04399999999998</v>
      </c>
      <c r="M30" s="16">
        <v>595.69571428571442</v>
      </c>
      <c r="N30" s="16">
        <v>164.24153846153848</v>
      </c>
      <c r="O30" s="16">
        <v>456.46232558139548</v>
      </c>
    </row>
    <row r="31" spans="1:15" x14ac:dyDescent="0.35">
      <c r="A31" s="7">
        <v>41730</v>
      </c>
      <c r="B31" s="13" t="s">
        <v>19</v>
      </c>
      <c r="C31" s="13" t="s">
        <v>20</v>
      </c>
      <c r="D31" s="9" t="s">
        <v>14</v>
      </c>
      <c r="E31" s="10">
        <v>60</v>
      </c>
      <c r="F31" s="11">
        <v>4.99</v>
      </c>
      <c r="G31" s="12">
        <v>299.40000000000003</v>
      </c>
    </row>
    <row r="32" spans="1:15" x14ac:dyDescent="0.35">
      <c r="A32" s="7">
        <v>41798</v>
      </c>
      <c r="B32" s="13" t="s">
        <v>19</v>
      </c>
      <c r="C32" s="13" t="s">
        <v>20</v>
      </c>
      <c r="D32" s="9" t="s">
        <v>14</v>
      </c>
      <c r="E32" s="10">
        <v>60</v>
      </c>
      <c r="F32" s="11">
        <v>8.99</v>
      </c>
      <c r="G32" s="12">
        <v>539.4</v>
      </c>
    </row>
    <row r="33" spans="1:7" x14ac:dyDescent="0.35">
      <c r="A33" s="7">
        <v>42189</v>
      </c>
      <c r="B33" s="13" t="s">
        <v>19</v>
      </c>
      <c r="C33" s="8" t="s">
        <v>20</v>
      </c>
      <c r="D33" s="9" t="s">
        <v>18</v>
      </c>
      <c r="E33" s="10">
        <v>62</v>
      </c>
      <c r="F33" s="11">
        <v>4.99</v>
      </c>
      <c r="G33" s="12">
        <v>309.38</v>
      </c>
    </row>
    <row r="34" spans="1:7" x14ac:dyDescent="0.35">
      <c r="A34" s="7">
        <v>41934</v>
      </c>
      <c r="B34" s="13" t="s">
        <v>19</v>
      </c>
      <c r="C34" s="13" t="s">
        <v>20</v>
      </c>
      <c r="D34" s="9" t="s">
        <v>16</v>
      </c>
      <c r="E34" s="10">
        <v>64</v>
      </c>
      <c r="F34" s="11">
        <v>8.99</v>
      </c>
      <c r="G34" s="12">
        <v>575.36</v>
      </c>
    </row>
    <row r="35" spans="1:7" x14ac:dyDescent="0.35">
      <c r="A35" s="7">
        <v>42002</v>
      </c>
      <c r="B35" s="8" t="s">
        <v>19</v>
      </c>
      <c r="C35" s="8" t="s">
        <v>21</v>
      </c>
      <c r="D35" s="9" t="s">
        <v>18</v>
      </c>
      <c r="E35" s="10">
        <v>74</v>
      </c>
      <c r="F35" s="11">
        <v>15.99</v>
      </c>
      <c r="G35" s="12">
        <v>1183.26</v>
      </c>
    </row>
    <row r="36" spans="1:7" x14ac:dyDescent="0.35">
      <c r="A36" s="7">
        <v>41849</v>
      </c>
      <c r="B36" s="8" t="s">
        <v>19</v>
      </c>
      <c r="C36" s="8" t="s">
        <v>21</v>
      </c>
      <c r="D36" s="9" t="s">
        <v>14</v>
      </c>
      <c r="E36" s="10">
        <v>81</v>
      </c>
      <c r="F36" s="11">
        <v>19.989999999999998</v>
      </c>
      <c r="G36" s="12">
        <v>1619.1899999999998</v>
      </c>
    </row>
    <row r="37" spans="1:7" x14ac:dyDescent="0.35">
      <c r="A37" s="7">
        <v>41645</v>
      </c>
      <c r="B37" s="13" t="s">
        <v>19</v>
      </c>
      <c r="C37" s="8" t="s">
        <v>20</v>
      </c>
      <c r="D37" s="9" t="s">
        <v>12</v>
      </c>
      <c r="E37" s="10">
        <v>95</v>
      </c>
      <c r="F37" s="11">
        <v>1.99</v>
      </c>
      <c r="G37" s="12">
        <v>189.05</v>
      </c>
    </row>
    <row r="38" spans="1:7" x14ac:dyDescent="0.35">
      <c r="A38" s="7">
        <v>42121</v>
      </c>
      <c r="B38" s="13" t="s">
        <v>19</v>
      </c>
      <c r="C38" s="13" t="s">
        <v>22</v>
      </c>
      <c r="D38" s="9" t="s">
        <v>16</v>
      </c>
      <c r="E38" s="10">
        <v>96</v>
      </c>
      <c r="F38" s="11">
        <v>4.99</v>
      </c>
      <c r="G38" s="12">
        <v>479.04</v>
      </c>
    </row>
    <row r="39" spans="1:7" x14ac:dyDescent="0.35">
      <c r="A39" s="7">
        <v>42240</v>
      </c>
      <c r="B39" s="13" t="s">
        <v>33</v>
      </c>
      <c r="C39" s="13" t="s">
        <v>34</v>
      </c>
      <c r="D39" s="9" t="s">
        <v>9</v>
      </c>
      <c r="E39" s="10">
        <v>3</v>
      </c>
      <c r="F39" s="11">
        <v>275</v>
      </c>
      <c r="G39" s="12">
        <v>825</v>
      </c>
    </row>
    <row r="40" spans="1:7" x14ac:dyDescent="0.35">
      <c r="A40" s="7">
        <v>42070</v>
      </c>
      <c r="B40" s="13" t="s">
        <v>33</v>
      </c>
      <c r="C40" s="8" t="s">
        <v>34</v>
      </c>
      <c r="D40" s="9" t="s">
        <v>14</v>
      </c>
      <c r="E40" s="10">
        <v>7</v>
      </c>
      <c r="F40" s="11">
        <v>19.989999999999998</v>
      </c>
      <c r="G40" s="12">
        <v>139.92999999999998</v>
      </c>
    </row>
    <row r="41" spans="1:7" x14ac:dyDescent="0.35">
      <c r="A41" s="7">
        <v>41781</v>
      </c>
      <c r="B41" s="13" t="s">
        <v>33</v>
      </c>
      <c r="C41" s="13" t="s">
        <v>35</v>
      </c>
      <c r="D41" s="9" t="s">
        <v>12</v>
      </c>
      <c r="E41" s="10">
        <v>32</v>
      </c>
      <c r="F41" s="11">
        <v>1.99</v>
      </c>
      <c r="G41" s="12">
        <v>63.68</v>
      </c>
    </row>
    <row r="42" spans="1:7" x14ac:dyDescent="0.35">
      <c r="A42" s="7">
        <v>41713</v>
      </c>
      <c r="B42" s="13" t="s">
        <v>33</v>
      </c>
      <c r="C42" s="8" t="s">
        <v>34</v>
      </c>
      <c r="D42" s="9" t="s">
        <v>12</v>
      </c>
      <c r="E42" s="10">
        <v>56</v>
      </c>
      <c r="F42" s="11">
        <v>2.99</v>
      </c>
      <c r="G42" s="12">
        <v>167.44</v>
      </c>
    </row>
    <row r="43" spans="1:7" x14ac:dyDescent="0.35">
      <c r="A43" s="7">
        <v>42291</v>
      </c>
      <c r="B43" s="13" t="s">
        <v>33</v>
      </c>
      <c r="C43" s="8" t="s">
        <v>35</v>
      </c>
      <c r="D43" s="9" t="s">
        <v>14</v>
      </c>
      <c r="E43" s="10">
        <v>57</v>
      </c>
      <c r="F43" s="11">
        <v>19.989999999999998</v>
      </c>
      <c r="G43" s="12">
        <v>1139.4299999999998</v>
      </c>
    </row>
    <row r="44" spans="1:7" x14ac:dyDescent="0.35">
      <c r="A44" s="7">
        <v>42274</v>
      </c>
      <c r="B44" s="13" t="s">
        <v>33</v>
      </c>
      <c r="C44" s="13" t="s">
        <v>34</v>
      </c>
      <c r="D44" s="9" t="s">
        <v>16</v>
      </c>
      <c r="E44" s="10">
        <v>76</v>
      </c>
      <c r="F44" s="11">
        <v>1.99</v>
      </c>
      <c r="G44" s="12">
        <v>151.24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Qurrat Ul Ain i220727</dc:creator>
  <cp:lastModifiedBy>Muhammad Moiz Ansari</cp:lastModifiedBy>
  <dcterms:created xsi:type="dcterms:W3CDTF">2023-09-27T03:32:45Z</dcterms:created>
  <dcterms:modified xsi:type="dcterms:W3CDTF">2023-09-27T11:46:19Z</dcterms:modified>
</cp:coreProperties>
</file>